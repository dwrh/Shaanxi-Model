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wrh1/Documents/Research/Energy/EF/EF_China/PANDA/PostProc/"/>
    </mc:Choice>
  </mc:AlternateContent>
  <bookViews>
    <workbookView xWindow="720" yWindow="2520" windowWidth="28080" windowHeight="15400" tabRatio="500"/>
  </bookViews>
  <sheets>
    <sheet name="VarPCt" sheetId="2" r:id="rId1"/>
    <sheet name="VarLvl" sheetId="9" r:id="rId2"/>
    <sheet name="SecPct" sheetId="5" r:id="rId3"/>
    <sheet name="SecDif" sheetId="12" r:id="rId4"/>
    <sheet name="ComPct" sheetId="10" r:id="rId5"/>
    <sheet name="HHPct" sheetId="11" r:id="rId6"/>
    <sheet name="HHLvl" sheetId="13" r:id="rId7"/>
    <sheet name="Projections" sheetId="4" r:id="rId8"/>
    <sheet name="Trends" sheetId="6" r:id="rId9"/>
    <sheet name="Labels" sheetId="8" r:id="rId10"/>
  </sheets>
  <externalReferences>
    <externalReference r:id="rId11"/>
  </externalReferences>
  <definedNames>
    <definedName name="_Regression_Int" hidden="1">1</definedName>
    <definedName name="ACwvu.Qrtrly." localSheetId="4" hidden="1">[1]Quarters!#REF!</definedName>
    <definedName name="ACwvu.Qrtrly." localSheetId="5" hidden="1">[1]Quarters!#REF!</definedName>
    <definedName name="ACwvu.Qrtrly." localSheetId="3" hidden="1">[1]Quarters!#REF!</definedName>
    <definedName name="ACwvu.Qrtrly." localSheetId="1" hidden="1">[1]Quarters!#REF!</definedName>
    <definedName name="ACwvu.Qrtrly." hidden="1">[1]Quarters!#REF!</definedName>
    <definedName name="Cwvu.Annual." localSheetId="4" hidden="1">[1]Quarters!#REF!,[1]Quarters!$A$79:$IV$80</definedName>
    <definedName name="Cwvu.Annual." localSheetId="5" hidden="1">[1]Quarters!#REF!,[1]Quarters!$A$79:$IV$80</definedName>
    <definedName name="Cwvu.Annual." localSheetId="3" hidden="1">[1]Quarters!#REF!,[1]Quarters!$A$79:$IV$80</definedName>
    <definedName name="Cwvu.Annual." localSheetId="1" hidden="1">[1]Quarters!#REF!,[1]Quarters!$A$79:$IV$80</definedName>
    <definedName name="Cwvu.Annual." hidden="1">[1]Quarters!#REF!,[1]Quarters!$A$79:$IV$80</definedName>
    <definedName name="Cwvu.Hist." localSheetId="4" hidden="1">[1]Quarters!#REF!,[1]Quarters!$A$79:$IV$80</definedName>
    <definedName name="Cwvu.Hist." localSheetId="5" hidden="1">[1]Quarters!#REF!,[1]Quarters!$A$79:$IV$80</definedName>
    <definedName name="Cwvu.Hist." localSheetId="3" hidden="1">[1]Quarters!#REF!,[1]Quarters!$A$79:$IV$80</definedName>
    <definedName name="Cwvu.Hist." localSheetId="1" hidden="1">[1]Quarters!#REF!,[1]Quarters!$A$79:$IV$80</definedName>
    <definedName name="Cwvu.Hist." hidden="1">[1]Quarters!#REF!,[1]Quarters!$A$79:$IV$80</definedName>
    <definedName name="Cwvu.Qrtrly." localSheetId="4" hidden="1">[1]Quarters!#REF!,[1]Quarters!$A$79:$IV$80</definedName>
    <definedName name="Cwvu.Qrtrly." localSheetId="5" hidden="1">[1]Quarters!#REF!,[1]Quarters!$A$79:$IV$80</definedName>
    <definedName name="Cwvu.Qrtrly." localSheetId="3" hidden="1">[1]Quarters!#REF!,[1]Quarters!$A$79:$IV$80</definedName>
    <definedName name="Cwvu.Qrtrly." localSheetId="1" hidden="1">[1]Quarters!#REF!,[1]Quarters!$A$79:$IV$80</definedName>
    <definedName name="Cwvu.Qrtrly." hidden="1">[1]Quarters!#REF!,[1]Quarters!$A$79:$IV$80</definedName>
    <definedName name="Rwvu.Annual." localSheetId="4" hidden="1">[1]Quarters!#REF!</definedName>
    <definedName name="Rwvu.Annual." localSheetId="5" hidden="1">[1]Quarters!#REF!</definedName>
    <definedName name="Rwvu.Annual." localSheetId="3" hidden="1">[1]Quarters!#REF!</definedName>
    <definedName name="Rwvu.Annual." localSheetId="1" hidden="1">[1]Quarters!#REF!</definedName>
    <definedName name="Rwvu.Annual." hidden="1">[1]Quarters!#REF!</definedName>
    <definedName name="Rwvu.Hist." localSheetId="4" hidden="1">[1]Quarters!#REF!</definedName>
    <definedName name="Rwvu.Hist." localSheetId="5" hidden="1">[1]Quarters!#REF!</definedName>
    <definedName name="Rwvu.Hist." localSheetId="3" hidden="1">[1]Quarters!#REF!</definedName>
    <definedName name="Rwvu.Hist." localSheetId="1" hidden="1">[1]Quarters!#REF!</definedName>
    <definedName name="Rwvu.Hist." hidden="1">[1]Quarters!#REF!</definedName>
    <definedName name="Rwvu.Qrtrly." localSheetId="4" hidden="1">[1]Quarters!#REF!</definedName>
    <definedName name="Rwvu.Qrtrly." localSheetId="5" hidden="1">[1]Quarters!#REF!</definedName>
    <definedName name="Rwvu.Qrtrly." localSheetId="3" hidden="1">[1]Quarters!#REF!</definedName>
    <definedName name="Rwvu.Qrtrly." localSheetId="1" hidden="1">[1]Quarters!#REF!</definedName>
    <definedName name="Rwvu.Qrtrly." hidden="1">[1]Quarters!#REF!</definedName>
    <definedName name="Swvu.Qrtrly." localSheetId="4" hidden="1">[1]Quarters!#REF!</definedName>
    <definedName name="Swvu.Qrtrly." localSheetId="5" hidden="1">[1]Quarters!#REF!</definedName>
    <definedName name="Swvu.Qrtrly." localSheetId="3" hidden="1">[1]Quarters!#REF!</definedName>
    <definedName name="Swvu.Qrtrly." localSheetId="1" hidden="1">[1]Quarters!#REF!</definedName>
    <definedName name="Swvu.Qrtrly." hidden="1">[1]Quarters!#REF!</definedName>
    <definedName name="uscpi" localSheetId="4">#REF!</definedName>
    <definedName name="uscpi" localSheetId="5">#REF!</definedName>
    <definedName name="uscpi" localSheetId="3">#REF!</definedName>
    <definedName name="uscpi" localSheetId="1">#REF!</definedName>
    <definedName name="uscpi">#REF!</definedName>
    <definedName name="wrn.FullReport." hidden="1">{"Annual",#N/A,FALSE,"Long Run";"SelectUSQtr_AnnlChg",#N/A,FALSE,"Long Run";"SelCalQtr_AnlChg",#N/A,FALSE,"Long Run";"PerIncQtr_AnlChg",#N/A,FALSE,"Long Run";"OthrCalQtr_AnlChg",#N/A,FALSE,"Long Run"}</definedName>
    <definedName name="wvu.Hist.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
April 1999&amp;R&amp;""Arial Rounded MT Bold,Bold""CALIFORNIA DEPARTMENT OF FINANCE","",TRUE,FALSE,FALSE,FALSE,2,100,#N/A,#N/A,"=R1C1:R36C21","=C1:C5","Rwvu.Hist.","Cwvu.Hist.",FALSE,FALSE,FALSE,1,#N/A,#N/A,FALSE,FALSE,TRUE,TRUE,TRUE}</definedName>
    <definedName name="wvu.OthrCalQtr_AnlChg." hidden="1">{TRUE,TRUE,-2.75,-17,604.5,345.75,FALSE,FALSE,TRUE,TRUE,0,1,37,1,55,1,14,4,TRUE,TRUE,3,TRUE,1,TRUE,75,"Swvu.OthrCalQtr_AnlChg.","ACwvu.OthrCalQtr_AnlChg.",#N/A,FALSE,FALSE,0.32,0.5,0.66,0.5,2,"&amp;C&amp;""Arial Rounded MT Bold,Bold"" 1999-2000 
BUDGET FORECAST
November, 1998&amp;R&amp;""Arial Rounded MT Bold,Bold""CALIFORNIA DEPARTMENT OF  FINANCE ","",FALSE,FALSE,FALSE,FALSE,2,100,#N/A,#N/A,"=R58C37:R228C47","=C1,R10:R14",#N/A,#N/A,FALSE,FALSE,TRUE,1,#N/A,#N/A,FALSE,FALSE,TRUE,TRUE,TRUE}</definedName>
    <definedName name="wvu.PerIncQtr_AnlChg." hidden="1">{TRUE,TRUE,-2.75,-17,604.5,345.75,FALSE,FALSE,TRUE,TRUE,0,1,23,1,217,1,14,4,TRUE,TRUE,3,TRUE,1,TRUE,75,"Swvu.PerIncQtr_AnlChg.","ACwvu.PerIncQtr_AnlChg.",#N/A,FALSE,FALSE,0.32,0.5,0.66,0.5,2,"&amp;C&amp;""Arial Rounded MT Bold,Bold"" 1999-2000 
BUDGET FORECAST
November, 1998&amp;R&amp;""Arial Rounded MT Bold,Bold""CALIFORNIA DEPARTMENT OF  FINANCE ","",FALSE,FALSE,FALSE,FALSE,2,100,#N/A,#N/A,"=R58C24:R228C36","=C1,R10:R14",#N/A,#N/A,FALSE,FALSE,TRUE,1,#N/A,#N/A,FALSE,FALSE,TRUE,TRUE,TRUE}</definedName>
    <definedName name="wvu.Qrtrly.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
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SelCalQtr_AnlChg." hidden="1">{TRUE,TRUE,-2.75,-17,604.5,345.75,FALSE,FALSE,TRUE,TRUE,0,1,12,1,40,1,14,4,TRUE,TRUE,3,TRUE,1,TRUE,75,"Swvu.SelCalQtr_AnlChg.","ACwvu.SelCalQtr_AnlChg.",#N/A,FALSE,FALSE,0.32,0.5,0.66,0.5,2,"&amp;C&amp;""Arial Rounded MT Bold,Bold"" 1999-2000 
BUDGET FORECAST
November, 1998&amp;R&amp;""Arial Rounded MT Bold,Bold""CALIFORNIA DEPARTMENT OF  FINANCE ","",FALSE,FALSE,FALSE,FALSE,2,100,#N/A,#N/A,"=R58C14:R228C23","=C1,R10:R14",#N/A,#N/A,FALSE,FALSE,TRUE,1,#N/A,#N/A,FALSE,FALSE,TRUE,TRUE,TRUE}</definedName>
    <definedName name="wvu.SelectUSQtr_AnnlChg." hidden="1">{TRUE,TRUE,-2.75,-17,604.5,345.75,FALSE,FALSE,TRUE,TRUE,0,1,2,1,212,1,14,4,TRUE,TRUE,3,TRUE,1,TRUE,75,"Swvu.SelectUSQtr_AnnlChg.","ACwvu.SelectUSQtr_AnnlChg.",#N/A,FALSE,FALSE,0.32,0.5,0.66,0.5,2,"&amp;C&amp;""Arial Rounded MT Bold,Bold"" 1999-2000 
BUDGET FORECAST
November, 1998&amp;R&amp;""Arial Rounded MT Bold,Bold""CALIFORNIA DEPARTMENT OF  FINANCE ","",FALSE,FALSE,FALSE,FALSE,2,100,#N/A,#N/A,"=R58C2:R228C13","=C1,R10:R14",#N/A,#N/A,FALSE,FALSE,TRUE,1,#N/A,#N/A,FALSE,FALSE,TRUE,TRUE,TRUE}</definedName>
    <definedName name="Z_1BE16F68_9D44_11D3_8909_0000834298E4_.wvu.PrintTitles" hidden="1">'[1]Long Run'!$A$1:$A$65536,'[1]Long Run'!$A$10:$IV$19</definedName>
    <definedName name="Z_1BE16F69_9D44_11D3_8909_0000834298E4_.wvu.PrintTitles" hidden="1">'[1]Long Run'!$A$1:$A$65536,'[1]Long Run'!$A$10:$IV$19</definedName>
    <definedName name="Z_1BE16F6A_9D44_11D3_8909_0000834298E4_.wvu.PrintTitles" hidden="1">'[1]Long Run'!$A$1:$A$65536,'[1]Long Run'!$A$10:$IV$19</definedName>
    <definedName name="Z_1BE16F6B_9D44_11D3_8909_0000834298E4_.wvu.PrintTitles" hidden="1">'[1]Long Run'!$A$1:$A$65536,'[1]Long Run'!$A$10:$IV$19</definedName>
    <definedName name="Z_1BE16F6C_9D44_11D3_8909_0000834298E4_.wvu.PrintTitles" hidden="1">'[1]Long Run'!$A$1:$A$65536,'[1]Long Run'!$A$10:$IV$19</definedName>
    <definedName name="Z_1D36A23A_A1C1_11D3_890B_0000834298E4_.wvu.PrintTitles" hidden="1">'[1]Long Run'!$A$1:$A$65536,'[1]Long Run'!$A$10:$IV$19</definedName>
    <definedName name="Z_1D36A23B_A1C1_11D3_890B_0000834298E4_.wvu.PrintTitles" hidden="1">'[1]Long Run'!$A$1:$A$65536,'[1]Long Run'!$A$10:$IV$19</definedName>
    <definedName name="Z_1D36A23C_A1C1_11D3_890B_0000834298E4_.wvu.PrintTitles" hidden="1">'[1]Long Run'!$A$1:$A$65536,'[1]Long Run'!$A$10:$IV$19</definedName>
    <definedName name="Z_1D36A23D_A1C1_11D3_890B_0000834298E4_.wvu.PrintTitles" hidden="1">'[1]Long Run'!$A$1:$A$65536,'[1]Long Run'!$A$10:$IV$19</definedName>
    <definedName name="Z_1D36A23E_A1C1_11D3_890B_0000834298E4_.wvu.PrintTitles" hidden="1">'[1]Long Run'!$A$1:$A$65536,'[1]Long Run'!$A$10:$IV$19</definedName>
    <definedName name="Z_1F455A30_7293_11D3_8901_0000834298E4_.wvu.PrintTitles" hidden="1">'[1]Long Run'!$A$1:$A$65536,'[1]Long Run'!$A$10:$IV$19</definedName>
    <definedName name="Z_1F455A31_7293_11D3_8901_0000834298E4_.wvu.PrintTitles" hidden="1">'[1]Long Run'!$A$1:$A$65536,'[1]Long Run'!$A$10:$IV$19</definedName>
    <definedName name="Z_1F455A32_7293_11D3_8901_0000834298E4_.wvu.PrintTitles" hidden="1">'[1]Long Run'!$A$1:$A$65536,'[1]Long Run'!$A$10:$IV$19</definedName>
    <definedName name="Z_1F455A33_7293_11D3_8901_0000834298E4_.wvu.PrintTitles" hidden="1">'[1]Long Run'!$A$1:$A$65536,'[1]Long Run'!$A$10:$IV$19</definedName>
    <definedName name="Z_1F455A34_7293_11D3_8901_0000834298E4_.wvu.PrintTitles" hidden="1">'[1]Long Run'!$A$1:$A$65536,'[1]Long Run'!$A$10:$IV$19</definedName>
    <definedName name="Z_1F455B2A_7293_11D3_8901_0000834298E4_.wvu.PrintTitles" hidden="1">'[1]Long Run'!$A$1:$A$65536,'[1]Long Run'!$A$10:$IV$19</definedName>
    <definedName name="Z_1F455B2B_7293_11D3_8901_0000834298E4_.wvu.PrintTitles" hidden="1">'[1]Long Run'!$A$1:$A$65536,'[1]Long Run'!$A$10:$IV$19</definedName>
    <definedName name="Z_1F455B2C_7293_11D3_8901_0000834298E4_.wvu.PrintTitles" hidden="1">'[1]Long Run'!$A$1:$A$65536,'[1]Long Run'!$A$10:$IV$19</definedName>
    <definedName name="Z_1F455B2D_7293_11D3_8901_0000834298E4_.wvu.PrintTitles" hidden="1">'[1]Long Run'!$A$1:$A$65536,'[1]Long Run'!$A$10:$IV$19</definedName>
    <definedName name="Z_1F455B2E_7293_11D3_8901_0000834298E4_.wvu.PrintTitles" hidden="1">'[1]Long Run'!$A$1:$A$65536,'[1]Long Run'!$A$10:$IV$19</definedName>
    <definedName name="Z_1F455C7F_7293_11D3_8901_0000834298E4_.wvu.PrintTitles" hidden="1">'[1]Long Run'!$A$1:$A$65536,'[1]Long Run'!$A$10:$IV$19</definedName>
    <definedName name="Z_1F455C80_7293_11D3_8901_0000834298E4_.wvu.PrintTitles" hidden="1">'[1]Long Run'!$A$1:$A$65536,'[1]Long Run'!$A$10:$IV$19</definedName>
    <definedName name="Z_1F455C81_7293_11D3_8901_0000834298E4_.wvu.PrintTitles" hidden="1">'[1]Long Run'!$A$1:$A$65536,'[1]Long Run'!$A$10:$IV$19</definedName>
    <definedName name="Z_1F455C82_7293_11D3_8901_0000834298E4_.wvu.PrintTitles" hidden="1">'[1]Long Run'!$A$1:$A$65536,'[1]Long Run'!$A$10:$IV$19</definedName>
    <definedName name="Z_1F455C83_7293_11D3_8901_0000834298E4_.wvu.PrintTitles" hidden="1">'[1]Long Run'!$A$1:$A$65536,'[1]Long Run'!$A$10:$IV$19</definedName>
    <definedName name="Z_1F455D42_7293_11D3_8901_0000834298E4_.wvu.PrintTitles" hidden="1">'[1]Long Run'!$A$1:$A$65536,'[1]Long Run'!$A$10:$IV$19</definedName>
    <definedName name="Z_1F455D43_7293_11D3_8901_0000834298E4_.wvu.PrintTitles" hidden="1">'[1]Long Run'!$A$1:$A$65536,'[1]Long Run'!$A$10:$IV$19</definedName>
    <definedName name="Z_1F455D44_7293_11D3_8901_0000834298E4_.wvu.PrintTitles" hidden="1">'[1]Long Run'!$A$1:$A$65536,'[1]Long Run'!$A$10:$IV$19</definedName>
    <definedName name="Z_1F455D45_7293_11D3_8901_0000834298E4_.wvu.PrintTitles" hidden="1">'[1]Long Run'!$A$1:$A$65536,'[1]Long Run'!$A$10:$IV$19</definedName>
    <definedName name="Z_1F455D46_7293_11D3_8901_0000834298E4_.wvu.PrintTitles" hidden="1">'[1]Long Run'!$A$1:$A$65536,'[1]Long Run'!$A$10:$IV$19</definedName>
    <definedName name="Z_20CC9B39_69FE_11D3_88F7_0000834298E4_.wvu.PrintTitles" localSheetId="4" hidden="1">[1]Quarters!#REF!</definedName>
    <definedName name="Z_20CC9B39_69FE_11D3_88F7_0000834298E4_.wvu.PrintTitles" localSheetId="5" hidden="1">[1]Quarters!#REF!</definedName>
    <definedName name="Z_20CC9B39_69FE_11D3_88F7_0000834298E4_.wvu.PrintTitles" localSheetId="3" hidden="1">[1]Quarters!#REF!</definedName>
    <definedName name="Z_20CC9B39_69FE_11D3_88F7_0000834298E4_.wvu.PrintTitles" localSheetId="1" hidden="1">[1]Quarters!#REF!</definedName>
    <definedName name="Z_20CC9B39_69FE_11D3_88F7_0000834298E4_.wvu.PrintTitles" hidden="1">[1]Quarters!#REF!</definedName>
    <definedName name="Z_20CC9B3B_69FE_11D3_88F7_0000834298E4_.wvu.PrintTitles" localSheetId="4" hidden="1">[1]Quarters!#REF!</definedName>
    <definedName name="Z_20CC9B3B_69FE_11D3_88F7_0000834298E4_.wvu.PrintTitles" localSheetId="5" hidden="1">[1]Quarters!#REF!</definedName>
    <definedName name="Z_20CC9B3B_69FE_11D3_88F7_0000834298E4_.wvu.PrintTitles" localSheetId="3" hidden="1">[1]Quarters!#REF!</definedName>
    <definedName name="Z_20CC9B3B_69FE_11D3_88F7_0000834298E4_.wvu.PrintTitles" localSheetId="1" hidden="1">[1]Quarters!#REF!</definedName>
    <definedName name="Z_20CC9B3B_69FE_11D3_88F7_0000834298E4_.wvu.PrintTitles" hidden="1">[1]Quarters!#REF!</definedName>
    <definedName name="Z_20CC9B3D_69FE_11D3_88F7_0000834298E4_.wvu.PrintTitles" localSheetId="4" hidden="1">[1]Quarters!#REF!</definedName>
    <definedName name="Z_20CC9B3D_69FE_11D3_88F7_0000834298E4_.wvu.PrintTitles" localSheetId="5" hidden="1">[1]Quarters!#REF!</definedName>
    <definedName name="Z_20CC9B3D_69FE_11D3_88F7_0000834298E4_.wvu.PrintTitles" localSheetId="3" hidden="1">[1]Quarters!#REF!</definedName>
    <definedName name="Z_20CC9B3D_69FE_11D3_88F7_0000834298E4_.wvu.PrintTitles" localSheetId="1" hidden="1">[1]Quarters!#REF!</definedName>
    <definedName name="Z_20CC9B3D_69FE_11D3_88F7_0000834298E4_.wvu.PrintTitles" hidden="1">[1]Quarters!#REF!</definedName>
    <definedName name="Z_20CC9BCC_69FE_11D3_88F7_0000834298E4_.wvu.PrintTitles" localSheetId="4" hidden="1">[1]Quarters!#REF!</definedName>
    <definedName name="Z_20CC9BCC_69FE_11D3_88F7_0000834298E4_.wvu.PrintTitles" localSheetId="5" hidden="1">[1]Quarters!#REF!</definedName>
    <definedName name="Z_20CC9BCC_69FE_11D3_88F7_0000834298E4_.wvu.PrintTitles" localSheetId="3" hidden="1">[1]Quarters!#REF!</definedName>
    <definedName name="Z_20CC9BCC_69FE_11D3_88F7_0000834298E4_.wvu.PrintTitles" localSheetId="1" hidden="1">[1]Quarters!#REF!</definedName>
    <definedName name="Z_20CC9BCC_69FE_11D3_88F7_0000834298E4_.wvu.PrintTitles" hidden="1">[1]Quarters!#REF!</definedName>
    <definedName name="Z_20CC9BCE_69FE_11D3_88F7_0000834298E4_.wvu.PrintTitles" localSheetId="4" hidden="1">[1]Quarters!#REF!</definedName>
    <definedName name="Z_20CC9BCE_69FE_11D3_88F7_0000834298E4_.wvu.PrintTitles" localSheetId="5" hidden="1">[1]Quarters!#REF!</definedName>
    <definedName name="Z_20CC9BCE_69FE_11D3_88F7_0000834298E4_.wvu.PrintTitles" localSheetId="3" hidden="1">[1]Quarters!#REF!</definedName>
    <definedName name="Z_20CC9BCE_69FE_11D3_88F7_0000834298E4_.wvu.PrintTitles" localSheetId="1" hidden="1">[1]Quarters!#REF!</definedName>
    <definedName name="Z_20CC9BCE_69FE_11D3_88F7_0000834298E4_.wvu.PrintTitles" hidden="1">[1]Quarters!#REF!</definedName>
    <definedName name="Z_31BD4071_6607_11D3_88F3_0000834298E4_.wvu.PrintTitles" localSheetId="4" hidden="1">[1]Quarters!#REF!</definedName>
    <definedName name="Z_31BD4071_6607_11D3_88F3_0000834298E4_.wvu.PrintTitles" localSheetId="5" hidden="1">[1]Quarters!#REF!</definedName>
    <definedName name="Z_31BD4071_6607_11D3_88F3_0000834298E4_.wvu.PrintTitles" localSheetId="3" hidden="1">[1]Quarters!#REF!</definedName>
    <definedName name="Z_31BD4071_6607_11D3_88F3_0000834298E4_.wvu.PrintTitles" localSheetId="1" hidden="1">[1]Quarters!#REF!</definedName>
    <definedName name="Z_31BD4071_6607_11D3_88F3_0000834298E4_.wvu.PrintTitles" hidden="1">[1]Quarters!#REF!</definedName>
    <definedName name="Z_31BD4073_6607_11D3_88F3_0000834298E4_.wvu.PrintTitles" localSheetId="4" hidden="1">[1]Quarters!#REF!</definedName>
    <definedName name="Z_31BD4073_6607_11D3_88F3_0000834298E4_.wvu.PrintTitles" localSheetId="5" hidden="1">[1]Quarters!#REF!</definedName>
    <definedName name="Z_31BD4073_6607_11D3_88F3_0000834298E4_.wvu.PrintTitles" localSheetId="3" hidden="1">[1]Quarters!#REF!</definedName>
    <definedName name="Z_31BD4073_6607_11D3_88F3_0000834298E4_.wvu.PrintTitles" localSheetId="1" hidden="1">[1]Quarters!#REF!</definedName>
    <definedName name="Z_31BD4073_6607_11D3_88F3_0000834298E4_.wvu.PrintTitles" hidden="1">[1]Quarters!#REF!</definedName>
    <definedName name="Z_31BD4075_6607_11D3_88F3_0000834298E4_.wvu.PrintTitles" localSheetId="4" hidden="1">[1]Quarters!#REF!</definedName>
    <definedName name="Z_31BD4075_6607_11D3_88F3_0000834298E4_.wvu.PrintTitles" localSheetId="5" hidden="1">[1]Quarters!#REF!</definedName>
    <definedName name="Z_31BD4075_6607_11D3_88F3_0000834298E4_.wvu.PrintTitles" localSheetId="3" hidden="1">[1]Quarters!#REF!</definedName>
    <definedName name="Z_31BD4075_6607_11D3_88F3_0000834298E4_.wvu.PrintTitles" localSheetId="1" hidden="1">[1]Quarters!#REF!</definedName>
    <definedName name="Z_31BD4075_6607_11D3_88F3_0000834298E4_.wvu.PrintTitles" hidden="1">[1]Quarters!#REF!</definedName>
    <definedName name="Z_31BD40E5_6607_11D3_88F3_0000834298E4_.wvu.PrintTitles" hidden="1">'[1]Long Run'!$A$1:$A$65536,'[1]Long Run'!$A$10:$IV$19</definedName>
    <definedName name="Z_31BD40E6_6607_11D3_88F3_0000834298E4_.wvu.PrintTitles" hidden="1">'[1]Long Run'!$A$1:$A$65536,'[1]Long Run'!$A$10:$IV$19</definedName>
    <definedName name="Z_31BD40E7_6607_11D3_88F3_0000834298E4_.wvu.PrintTitles" hidden="1">'[1]Long Run'!$A$1:$A$65536,'[1]Long Run'!$A$10:$IV$19</definedName>
    <definedName name="Z_31BD40E8_6607_11D3_88F3_0000834298E4_.wvu.PrintTitles" hidden="1">'[1]Long Run'!$A$1:$A$65536,'[1]Long Run'!$A$10:$IV$19</definedName>
    <definedName name="Z_31BD40E9_6607_11D3_88F3_0000834298E4_.wvu.PrintTitles" hidden="1">'[1]Long Run'!$A$1:$A$65536,'[1]Long Run'!$A$10:$IV$19</definedName>
    <definedName name="Z_31BD4177_6607_11D3_88F3_0000834298E4_.wvu.PrintTitles" localSheetId="4" hidden="1">[1]Quarters!#REF!</definedName>
    <definedName name="Z_31BD4177_6607_11D3_88F3_0000834298E4_.wvu.PrintTitles" localSheetId="5" hidden="1">[1]Quarters!#REF!</definedName>
    <definedName name="Z_31BD4177_6607_11D3_88F3_0000834298E4_.wvu.PrintTitles" localSheetId="3" hidden="1">[1]Quarters!#REF!</definedName>
    <definedName name="Z_31BD4177_6607_11D3_88F3_0000834298E4_.wvu.PrintTitles" localSheetId="1" hidden="1">[1]Quarters!#REF!</definedName>
    <definedName name="Z_31BD4177_6607_11D3_88F3_0000834298E4_.wvu.PrintTitles" hidden="1">[1]Quarters!#REF!</definedName>
    <definedName name="Z_31BD4179_6607_11D3_88F3_0000834298E4_.wvu.PrintTitles" localSheetId="4" hidden="1">[1]Quarters!#REF!</definedName>
    <definedName name="Z_31BD4179_6607_11D3_88F3_0000834298E4_.wvu.PrintTitles" localSheetId="5" hidden="1">[1]Quarters!#REF!</definedName>
    <definedName name="Z_31BD4179_6607_11D3_88F3_0000834298E4_.wvu.PrintTitles" localSheetId="3" hidden="1">[1]Quarters!#REF!</definedName>
    <definedName name="Z_31BD4179_6607_11D3_88F3_0000834298E4_.wvu.PrintTitles" localSheetId="1" hidden="1">[1]Quarters!#REF!</definedName>
    <definedName name="Z_31BD4179_6607_11D3_88F3_0000834298E4_.wvu.PrintTitles" hidden="1">[1]Quarters!#REF!</definedName>
    <definedName name="Z_31BD417B_6607_11D3_88F3_0000834298E4_.wvu.PrintTitles" localSheetId="4" hidden="1">[1]Quarters!#REF!</definedName>
    <definedName name="Z_31BD417B_6607_11D3_88F3_0000834298E4_.wvu.PrintTitles" localSheetId="5" hidden="1">[1]Quarters!#REF!</definedName>
    <definedName name="Z_31BD417B_6607_11D3_88F3_0000834298E4_.wvu.PrintTitles" localSheetId="3" hidden="1">[1]Quarters!#REF!</definedName>
    <definedName name="Z_31BD417B_6607_11D3_88F3_0000834298E4_.wvu.PrintTitles" localSheetId="1" hidden="1">[1]Quarters!#REF!</definedName>
    <definedName name="Z_31BD417B_6607_11D3_88F3_0000834298E4_.wvu.PrintTitles" hidden="1">[1]Quarters!#REF!</definedName>
    <definedName name="Z_31C0CC66_A0FA_11D3_890A_0000834298E4_.wvu.PrintTitles" hidden="1">'[1]Long Run'!$A$1:$A$65536,'[1]Long Run'!$A$10:$IV$19</definedName>
    <definedName name="Z_31C0CC67_A0FA_11D3_890A_0000834298E4_.wvu.PrintTitles" hidden="1">'[1]Long Run'!$A$1:$A$65536,'[1]Long Run'!$A$10:$IV$19</definedName>
    <definedName name="Z_31C0CC68_A0FA_11D3_890A_0000834298E4_.wvu.PrintTitles" hidden="1">'[1]Long Run'!$A$1:$A$65536,'[1]Long Run'!$A$10:$IV$19</definedName>
    <definedName name="Z_31C0CC69_A0FA_11D3_890A_0000834298E4_.wvu.PrintTitles" hidden="1">'[1]Long Run'!$A$1:$A$65536,'[1]Long Run'!$A$10:$IV$19</definedName>
    <definedName name="Z_31C0CC6A_A0FA_11D3_890A_0000834298E4_.wvu.PrintTitles" hidden="1">'[1]Long Run'!$A$1:$A$65536,'[1]Long Run'!$A$10:$IV$19</definedName>
    <definedName name="Z_33E04360_9D15_11D3_8909_0000834298E4_.wvu.PrintTitles" hidden="1">'[1]Long Run'!$A$1:$A$65536,'[1]Long Run'!$A$10:$IV$19</definedName>
    <definedName name="Z_33E04361_9D15_11D3_8909_0000834298E4_.wvu.PrintTitles" hidden="1">'[1]Long Run'!$A$1:$A$65536,'[1]Long Run'!$A$10:$IV$19</definedName>
    <definedName name="Z_33E04362_9D15_11D3_8909_0000834298E4_.wvu.PrintTitles" hidden="1">'[1]Long Run'!$A$1:$A$65536,'[1]Long Run'!$A$10:$IV$19</definedName>
    <definedName name="Z_33E04363_9D15_11D3_8909_0000834298E4_.wvu.PrintTitles" hidden="1">'[1]Long Run'!$A$1:$A$65536,'[1]Long Run'!$A$10:$IV$19</definedName>
    <definedName name="Z_33E04364_9D15_11D3_8909_0000834298E4_.wvu.PrintTitles" hidden="1">'[1]Long Run'!$A$1:$A$65536,'[1]Long Run'!$A$10:$IV$19</definedName>
    <definedName name="Z_372AD0D0_7071_11D3_88FD_0000834298E4_.wvu.PrintTitles" hidden="1">'[1]Long Run'!$A$1:$A$65536,'[1]Long Run'!$A$10:$IV$19</definedName>
    <definedName name="Z_372AD0D1_7071_11D3_88FD_0000834298E4_.wvu.PrintTitles" hidden="1">'[1]Long Run'!$A$1:$A$65536,'[1]Long Run'!$A$10:$IV$19</definedName>
    <definedName name="Z_372AD0D2_7071_11D3_88FD_0000834298E4_.wvu.PrintTitles" hidden="1">'[1]Long Run'!$A$1:$A$65536,'[1]Long Run'!$A$10:$IV$19</definedName>
    <definedName name="Z_372AD0D3_7071_11D3_88FD_0000834298E4_.wvu.PrintTitles" hidden="1">'[1]Long Run'!$A$1:$A$65536,'[1]Long Run'!$A$10:$IV$19</definedName>
    <definedName name="Z_372AD0D4_7071_11D3_88FD_0000834298E4_.wvu.PrintTitles" hidden="1">'[1]Long Run'!$A$1:$A$65536,'[1]Long Run'!$A$10:$IV$19</definedName>
    <definedName name="Z_3FDE5923_907D_11D3_88FB_0000834298E4_.wvu.PrintTitles" hidden="1">'[1]Long Run'!$A$1:$A$65536,'[1]Long Run'!$A$10:$IV$19</definedName>
    <definedName name="Z_3FDE5924_907D_11D3_88FB_0000834298E4_.wvu.PrintTitles" hidden="1">'[1]Long Run'!$A$1:$A$65536,'[1]Long Run'!$A$10:$IV$19</definedName>
    <definedName name="Z_3FDE5925_907D_11D3_88FB_0000834298E4_.wvu.PrintTitles" hidden="1">'[1]Long Run'!$A$1:$A$65536,'[1]Long Run'!$A$10:$IV$19</definedName>
    <definedName name="Z_3FDE5926_907D_11D3_88FB_0000834298E4_.wvu.PrintTitles" hidden="1">'[1]Long Run'!$A$1:$A$65536,'[1]Long Run'!$A$10:$IV$19</definedName>
    <definedName name="Z_3FDE5927_907D_11D3_88FB_0000834298E4_.wvu.PrintTitles" hidden="1">'[1]Long Run'!$A$1:$A$65536,'[1]Long Run'!$A$10:$IV$19</definedName>
    <definedName name="Z_52599C1A_5BCA_11D3_88E6_0000834298E4_.wvu.PrintTitles" localSheetId="4" hidden="1">[1]Quarters!#REF!</definedName>
    <definedName name="Z_52599C1A_5BCA_11D3_88E6_0000834298E4_.wvu.PrintTitles" localSheetId="5" hidden="1">[1]Quarters!#REF!</definedName>
    <definedName name="Z_52599C1A_5BCA_11D3_88E6_0000834298E4_.wvu.PrintTitles" localSheetId="3" hidden="1">[1]Quarters!#REF!</definedName>
    <definedName name="Z_52599C1A_5BCA_11D3_88E6_0000834298E4_.wvu.PrintTitles" localSheetId="1" hidden="1">[1]Quarters!#REF!</definedName>
    <definedName name="Z_52599C1A_5BCA_11D3_88E6_0000834298E4_.wvu.PrintTitles" hidden="1">[1]Quarters!#REF!</definedName>
    <definedName name="Z_52599C1C_5BCA_11D3_88E6_0000834298E4_.wvu.PrintTitles" localSheetId="4" hidden="1">[1]Quarters!#REF!</definedName>
    <definedName name="Z_52599C1C_5BCA_11D3_88E6_0000834298E4_.wvu.PrintTitles" localSheetId="5" hidden="1">[1]Quarters!#REF!</definedName>
    <definedName name="Z_52599C1C_5BCA_11D3_88E6_0000834298E4_.wvu.PrintTitles" localSheetId="3" hidden="1">[1]Quarters!#REF!</definedName>
    <definedName name="Z_52599C1C_5BCA_11D3_88E6_0000834298E4_.wvu.PrintTitles" localSheetId="1" hidden="1">[1]Quarters!#REF!</definedName>
    <definedName name="Z_52599C1C_5BCA_11D3_88E6_0000834298E4_.wvu.PrintTitles" hidden="1">[1]Quarters!#REF!</definedName>
    <definedName name="Z_52599C1E_5BCA_11D3_88E6_0000834298E4_.wvu.PrintTitles" localSheetId="4" hidden="1">[1]Quarters!#REF!</definedName>
    <definedName name="Z_52599C1E_5BCA_11D3_88E6_0000834298E4_.wvu.PrintTitles" localSheetId="5" hidden="1">[1]Quarters!#REF!</definedName>
    <definedName name="Z_52599C1E_5BCA_11D3_88E6_0000834298E4_.wvu.PrintTitles" localSheetId="3" hidden="1">[1]Quarters!#REF!</definedName>
    <definedName name="Z_52599C1E_5BCA_11D3_88E6_0000834298E4_.wvu.PrintTitles" localSheetId="1" hidden="1">[1]Quarters!#REF!</definedName>
    <definedName name="Z_52599C1E_5BCA_11D3_88E6_0000834298E4_.wvu.PrintTitles" hidden="1">[1]Quarters!#REF!</definedName>
    <definedName name="Z_52599EEC_5BCA_11D3_88E6_0000834298E4_.wvu.PrintTitles" localSheetId="4" hidden="1">[1]Quarters!#REF!</definedName>
    <definedName name="Z_52599EEC_5BCA_11D3_88E6_0000834298E4_.wvu.PrintTitles" localSheetId="5" hidden="1">[1]Quarters!#REF!</definedName>
    <definedName name="Z_52599EEC_5BCA_11D3_88E6_0000834298E4_.wvu.PrintTitles" localSheetId="3" hidden="1">[1]Quarters!#REF!</definedName>
    <definedName name="Z_52599EEC_5BCA_11D3_88E6_0000834298E4_.wvu.PrintTitles" localSheetId="1" hidden="1">[1]Quarters!#REF!</definedName>
    <definedName name="Z_52599EEC_5BCA_11D3_88E6_0000834298E4_.wvu.PrintTitles" hidden="1">[1]Quarters!#REF!</definedName>
    <definedName name="Z_52599EEE_5BCA_11D3_88E6_0000834298E4_.wvu.PrintTitles" localSheetId="4" hidden="1">[1]Quarters!#REF!</definedName>
    <definedName name="Z_52599EEE_5BCA_11D3_88E6_0000834298E4_.wvu.PrintTitles" localSheetId="5" hidden="1">[1]Quarters!#REF!</definedName>
    <definedName name="Z_52599EEE_5BCA_11D3_88E6_0000834298E4_.wvu.PrintTitles" localSheetId="3" hidden="1">[1]Quarters!#REF!</definedName>
    <definedName name="Z_52599EEE_5BCA_11D3_88E6_0000834298E4_.wvu.PrintTitles" localSheetId="1" hidden="1">[1]Quarters!#REF!</definedName>
    <definedName name="Z_52599EEE_5BCA_11D3_88E6_0000834298E4_.wvu.PrintTitles" hidden="1">[1]Quarters!#REF!</definedName>
    <definedName name="Z_52599EF0_5BCA_11D3_88E6_0000834298E4_.wvu.PrintTitles" localSheetId="4" hidden="1">[1]Quarters!#REF!</definedName>
    <definedName name="Z_52599EF0_5BCA_11D3_88E6_0000834298E4_.wvu.PrintTitles" localSheetId="5" hidden="1">[1]Quarters!#REF!</definedName>
    <definedName name="Z_52599EF0_5BCA_11D3_88E6_0000834298E4_.wvu.PrintTitles" localSheetId="3" hidden="1">[1]Quarters!#REF!</definedName>
    <definedName name="Z_52599EF0_5BCA_11D3_88E6_0000834298E4_.wvu.PrintTitles" localSheetId="1" hidden="1">[1]Quarters!#REF!</definedName>
    <definedName name="Z_52599EF0_5BCA_11D3_88E6_0000834298E4_.wvu.PrintTitles" hidden="1">[1]Quarters!#REF!</definedName>
    <definedName name="Z_5259A2CD_5BCA_11D3_88E6_0000834298E4_.wvu.PrintTitles" localSheetId="4" hidden="1">[1]Quarters!#REF!</definedName>
    <definedName name="Z_5259A2CD_5BCA_11D3_88E6_0000834298E4_.wvu.PrintTitles" localSheetId="5" hidden="1">[1]Quarters!#REF!</definedName>
    <definedName name="Z_5259A2CD_5BCA_11D3_88E6_0000834298E4_.wvu.PrintTitles" localSheetId="3" hidden="1">[1]Quarters!#REF!</definedName>
    <definedName name="Z_5259A2CD_5BCA_11D3_88E6_0000834298E4_.wvu.PrintTitles" localSheetId="1" hidden="1">[1]Quarters!#REF!</definedName>
    <definedName name="Z_5259A2CD_5BCA_11D3_88E6_0000834298E4_.wvu.PrintTitles" hidden="1">[1]Quarters!#REF!</definedName>
    <definedName name="Z_5259A2CF_5BCA_11D3_88E6_0000834298E4_.wvu.PrintTitles" localSheetId="4" hidden="1">[1]Quarters!#REF!</definedName>
    <definedName name="Z_5259A2CF_5BCA_11D3_88E6_0000834298E4_.wvu.PrintTitles" localSheetId="5" hidden="1">[1]Quarters!#REF!</definedName>
    <definedName name="Z_5259A2CF_5BCA_11D3_88E6_0000834298E4_.wvu.PrintTitles" localSheetId="3" hidden="1">[1]Quarters!#REF!</definedName>
    <definedName name="Z_5259A2CF_5BCA_11D3_88E6_0000834298E4_.wvu.PrintTitles" localSheetId="1" hidden="1">[1]Quarters!#REF!</definedName>
    <definedName name="Z_5259A2CF_5BCA_11D3_88E6_0000834298E4_.wvu.PrintTitles" hidden="1">[1]Quarters!#REF!</definedName>
    <definedName name="Z_5259A2D1_5BCA_11D3_88E6_0000834298E4_.wvu.PrintTitles" localSheetId="4" hidden="1">[1]Quarters!#REF!</definedName>
    <definedName name="Z_5259A2D1_5BCA_11D3_88E6_0000834298E4_.wvu.PrintTitles" localSheetId="5" hidden="1">[1]Quarters!#REF!</definedName>
    <definedName name="Z_5259A2D1_5BCA_11D3_88E6_0000834298E4_.wvu.PrintTitles" localSheetId="3" hidden="1">[1]Quarters!#REF!</definedName>
    <definedName name="Z_5259A2D1_5BCA_11D3_88E6_0000834298E4_.wvu.PrintTitles" localSheetId="1" hidden="1">[1]Quarters!#REF!</definedName>
    <definedName name="Z_5259A2D1_5BCA_11D3_88E6_0000834298E4_.wvu.PrintTitles" hidden="1">[1]Quarters!#REF!</definedName>
    <definedName name="Z_5259A4C0_5BCA_11D3_88E6_0000834298E4_.wvu.PrintTitles" localSheetId="4" hidden="1">[1]Quarters!#REF!</definedName>
    <definedName name="Z_5259A4C0_5BCA_11D3_88E6_0000834298E4_.wvu.PrintTitles" localSheetId="5" hidden="1">[1]Quarters!#REF!</definedName>
    <definedName name="Z_5259A4C0_5BCA_11D3_88E6_0000834298E4_.wvu.PrintTitles" localSheetId="3" hidden="1">[1]Quarters!#REF!</definedName>
    <definedName name="Z_5259A4C0_5BCA_11D3_88E6_0000834298E4_.wvu.PrintTitles" localSheetId="1" hidden="1">[1]Quarters!#REF!</definedName>
    <definedName name="Z_5259A4C0_5BCA_11D3_88E6_0000834298E4_.wvu.PrintTitles" hidden="1">[1]Quarters!#REF!</definedName>
    <definedName name="Z_5259A4C2_5BCA_11D3_88E6_0000834298E4_.wvu.PrintTitles" localSheetId="4" hidden="1">[1]Quarters!#REF!</definedName>
    <definedName name="Z_5259A4C2_5BCA_11D3_88E6_0000834298E4_.wvu.PrintTitles" localSheetId="5" hidden="1">[1]Quarters!#REF!</definedName>
    <definedName name="Z_5259A4C2_5BCA_11D3_88E6_0000834298E4_.wvu.PrintTitles" localSheetId="3" hidden="1">[1]Quarters!#REF!</definedName>
    <definedName name="Z_5259A4C2_5BCA_11D3_88E6_0000834298E4_.wvu.PrintTitles" localSheetId="1" hidden="1">[1]Quarters!#REF!</definedName>
    <definedName name="Z_5259A4C2_5BCA_11D3_88E6_0000834298E4_.wvu.PrintTitles" hidden="1">[1]Quarters!#REF!</definedName>
    <definedName name="Z_5259A4C4_5BCA_11D3_88E6_0000834298E4_.wvu.PrintTitles" localSheetId="4" hidden="1">[1]Quarters!#REF!</definedName>
    <definedName name="Z_5259A4C4_5BCA_11D3_88E6_0000834298E4_.wvu.PrintTitles" localSheetId="5" hidden="1">[1]Quarters!#REF!</definedName>
    <definedName name="Z_5259A4C4_5BCA_11D3_88E6_0000834298E4_.wvu.PrintTitles" localSheetId="3" hidden="1">[1]Quarters!#REF!</definedName>
    <definedName name="Z_5259A4C4_5BCA_11D3_88E6_0000834298E4_.wvu.PrintTitles" localSheetId="1" hidden="1">[1]Quarters!#REF!</definedName>
    <definedName name="Z_5259A4C4_5BCA_11D3_88E6_0000834298E4_.wvu.PrintTitles" hidden="1">[1]Quarters!#REF!</definedName>
    <definedName name="Z_575FE831_9D22_11D3_8909_0000834298E4_.wvu.PrintTitles" hidden="1">'[1]Long Run'!$A$1:$A$65536,'[1]Long Run'!$A$10:$IV$19</definedName>
    <definedName name="Z_575FE832_9D22_11D3_8909_0000834298E4_.wvu.PrintTitles" hidden="1">'[1]Long Run'!$A$1:$A$65536,'[1]Long Run'!$A$10:$IV$19</definedName>
    <definedName name="Z_575FE833_9D22_11D3_8909_0000834298E4_.wvu.PrintTitles" hidden="1">'[1]Long Run'!$A$1:$A$65536,'[1]Long Run'!$A$10:$IV$19</definedName>
    <definedName name="Z_575FE834_9D22_11D3_8909_0000834298E4_.wvu.PrintTitles" hidden="1">'[1]Long Run'!$A$1:$A$65536,'[1]Long Run'!$A$10:$IV$19</definedName>
    <definedName name="Z_575FE835_9D22_11D3_8909_0000834298E4_.wvu.PrintTitles" hidden="1">'[1]Long Run'!$A$1:$A$65536,'[1]Long Run'!$A$10:$IV$19</definedName>
    <definedName name="Z_58811516_5B2E_11D3_88E5_0000834298E4_.wvu.PrintTitles" localSheetId="4" hidden="1">[1]Quarters!#REF!</definedName>
    <definedName name="Z_58811516_5B2E_11D3_88E5_0000834298E4_.wvu.PrintTitles" localSheetId="5" hidden="1">[1]Quarters!#REF!</definedName>
    <definedName name="Z_58811516_5B2E_11D3_88E5_0000834298E4_.wvu.PrintTitles" localSheetId="3" hidden="1">[1]Quarters!#REF!</definedName>
    <definedName name="Z_58811516_5B2E_11D3_88E5_0000834298E4_.wvu.PrintTitles" localSheetId="1" hidden="1">[1]Quarters!#REF!</definedName>
    <definedName name="Z_58811516_5B2E_11D3_88E5_0000834298E4_.wvu.PrintTitles" hidden="1">[1]Quarters!#REF!</definedName>
    <definedName name="Z_58811518_5B2E_11D3_88E5_0000834298E4_.wvu.PrintTitles" localSheetId="4" hidden="1">[1]Quarters!#REF!</definedName>
    <definedName name="Z_58811518_5B2E_11D3_88E5_0000834298E4_.wvu.PrintTitles" localSheetId="5" hidden="1">[1]Quarters!#REF!</definedName>
    <definedName name="Z_58811518_5B2E_11D3_88E5_0000834298E4_.wvu.PrintTitles" localSheetId="3" hidden="1">[1]Quarters!#REF!</definedName>
    <definedName name="Z_58811518_5B2E_11D3_88E5_0000834298E4_.wvu.PrintTitles" localSheetId="1" hidden="1">[1]Quarters!#REF!</definedName>
    <definedName name="Z_58811518_5B2E_11D3_88E5_0000834298E4_.wvu.PrintTitles" hidden="1">[1]Quarters!#REF!</definedName>
    <definedName name="Z_5881151A_5B2E_11D3_88E5_0000834298E4_.wvu.PrintTitles" localSheetId="4" hidden="1">[1]Quarters!#REF!</definedName>
    <definedName name="Z_5881151A_5B2E_11D3_88E5_0000834298E4_.wvu.PrintTitles" localSheetId="5" hidden="1">[1]Quarters!#REF!</definedName>
    <definedName name="Z_5881151A_5B2E_11D3_88E5_0000834298E4_.wvu.PrintTitles" localSheetId="3" hidden="1">[1]Quarters!#REF!</definedName>
    <definedName name="Z_5881151A_5B2E_11D3_88E5_0000834298E4_.wvu.PrintTitles" localSheetId="1" hidden="1">[1]Quarters!#REF!</definedName>
    <definedName name="Z_5881151A_5B2E_11D3_88E5_0000834298E4_.wvu.PrintTitles" hidden="1">[1]Quarters!#REF!</definedName>
    <definedName name="Z_806DABE2_654D_11D3_88F1_0000834298E4_.wvu.PrintTitles" hidden="1">'[1]Long Run'!$A$1:$A$65536,'[1]Long Run'!$A$10:$IV$19</definedName>
    <definedName name="Z_806DABE3_654D_11D3_88F1_0000834298E4_.wvu.PrintTitles" hidden="1">'[1]Long Run'!$A$1:$A$65536,'[1]Long Run'!$A$10:$IV$19</definedName>
    <definedName name="Z_806DABE4_654D_11D3_88F1_0000834298E4_.wvu.PrintTitles" hidden="1">'[1]Long Run'!$A$1:$A$65536,'[1]Long Run'!$A$10:$IV$19</definedName>
    <definedName name="Z_806DABE5_654D_11D3_88F1_0000834298E4_.wvu.PrintTitles" hidden="1">'[1]Long Run'!$A$1:$A$65536,'[1]Long Run'!$A$10:$IV$19</definedName>
    <definedName name="Z_806DABE6_654D_11D3_88F1_0000834298E4_.wvu.PrintTitles" hidden="1">'[1]Long Run'!$A$1:$A$65536,'[1]Long Run'!$A$10:$IV$19</definedName>
    <definedName name="Z_806DAC53_654D_11D3_88F1_0000834298E4_.wvu.PrintTitles" hidden="1">'[1]Long Run'!$A$1:$A$65536,'[1]Long Run'!$A$10:$IV$19</definedName>
    <definedName name="Z_806DAC54_654D_11D3_88F1_0000834298E4_.wvu.PrintTitles" hidden="1">'[1]Long Run'!$A$1:$A$65536,'[1]Long Run'!$A$10:$IV$19</definedName>
    <definedName name="Z_806DAC55_654D_11D3_88F1_0000834298E4_.wvu.PrintTitles" hidden="1">'[1]Long Run'!$A$1:$A$65536,'[1]Long Run'!$A$10:$IV$19</definedName>
    <definedName name="Z_806DAC56_654D_11D3_88F1_0000834298E4_.wvu.PrintTitles" hidden="1">'[1]Long Run'!$A$1:$A$65536,'[1]Long Run'!$A$10:$IV$19</definedName>
    <definedName name="Z_806DAC57_654D_11D3_88F1_0000834298E4_.wvu.PrintTitles" hidden="1">'[1]Long Run'!$A$1:$A$65536,'[1]Long Run'!$A$10:$IV$19</definedName>
    <definedName name="Z_806DACFE_654D_11D3_88F1_0000834298E4_.wvu.PrintTitles" hidden="1">'[1]Long Run'!$A$1:$A$65536,'[1]Long Run'!$A$10:$IV$19</definedName>
    <definedName name="Z_806DACFF_654D_11D3_88F1_0000834298E4_.wvu.PrintTitles" hidden="1">'[1]Long Run'!$A$1:$A$65536,'[1]Long Run'!$A$10:$IV$19</definedName>
    <definedName name="Z_806DAD00_654D_11D3_88F1_0000834298E4_.wvu.PrintTitles" hidden="1">'[1]Long Run'!$A$1:$A$65536,'[1]Long Run'!$A$10:$IV$19</definedName>
    <definedName name="Z_806DAD01_654D_11D3_88F1_0000834298E4_.wvu.PrintTitles" hidden="1">'[1]Long Run'!$A$1:$A$65536,'[1]Long Run'!$A$10:$IV$19</definedName>
    <definedName name="Z_806DAD02_654D_11D3_88F1_0000834298E4_.wvu.PrintTitles" hidden="1">'[1]Long Run'!$A$1:$A$65536,'[1]Long Run'!$A$10:$IV$19</definedName>
    <definedName name="Z_87D90C58_8651_11D3_88F0_0000834298E4_.wvu.PrintTitles" hidden="1">'[1]Long Run'!$A$1:$A$65536,'[1]Long Run'!$A$10:$IV$19</definedName>
    <definedName name="Z_87D90C59_8651_11D3_88F0_0000834298E4_.wvu.PrintTitles" hidden="1">'[1]Long Run'!$A$1:$A$65536,'[1]Long Run'!$A$10:$IV$19</definedName>
    <definedName name="Z_87D90C5A_8651_11D3_88F0_0000834298E4_.wvu.PrintTitles" hidden="1">'[1]Long Run'!$A$1:$A$65536,'[1]Long Run'!$A$10:$IV$19</definedName>
    <definedName name="Z_87D90C5B_8651_11D3_88F0_0000834298E4_.wvu.PrintTitles" hidden="1">'[1]Long Run'!$A$1:$A$65536,'[1]Long Run'!$A$10:$IV$19</definedName>
    <definedName name="Z_87D90C5C_8651_11D3_88F0_0000834298E4_.wvu.PrintTitles" hidden="1">'[1]Long Run'!$A$1:$A$65536,'[1]Long Run'!$A$10:$IV$19</definedName>
    <definedName name="Z_92008C7C_75E1_11D3_8904_0000834298E4_.wvu.PrintTitles" hidden="1">'[1]Long Run'!$A$1:$A$65536,'[1]Long Run'!$A$10:$IV$19</definedName>
    <definedName name="Z_92008C7D_75E1_11D3_8904_0000834298E4_.wvu.PrintTitles" hidden="1">'[1]Long Run'!$A$1:$A$65536,'[1]Long Run'!$A$10:$IV$19</definedName>
    <definedName name="Z_92008C7E_75E1_11D3_8904_0000834298E4_.wvu.PrintTitles" hidden="1">'[1]Long Run'!$A$1:$A$65536,'[1]Long Run'!$A$10:$IV$19</definedName>
    <definedName name="Z_92008C7F_75E1_11D3_8904_0000834298E4_.wvu.PrintTitles" hidden="1">'[1]Long Run'!$A$1:$A$65536,'[1]Long Run'!$A$10:$IV$19</definedName>
    <definedName name="Z_92008C80_75E1_11D3_8904_0000834298E4_.wvu.PrintTitles" hidden="1">'[1]Long Run'!$A$1:$A$65536,'[1]Long Run'!$A$10:$IV$19</definedName>
    <definedName name="Z_96F242F7_9792_11D3_8905_0000834298E4_.wvu.PrintTitles" hidden="1">'[1]Long Run'!$A$1:$A$65536,'[1]Long Run'!$A$10:$IV$19</definedName>
    <definedName name="Z_96F242F8_9792_11D3_8905_0000834298E4_.wvu.PrintTitles" hidden="1">'[1]Long Run'!$A$1:$A$65536,'[1]Long Run'!$A$10:$IV$19</definedName>
    <definedName name="Z_96F242F9_9792_11D3_8905_0000834298E4_.wvu.PrintTitles" hidden="1">'[1]Long Run'!$A$1:$A$65536,'[1]Long Run'!$A$10:$IV$19</definedName>
    <definedName name="Z_96F242FA_9792_11D3_8905_0000834298E4_.wvu.PrintTitles" hidden="1">'[1]Long Run'!$A$1:$A$65536,'[1]Long Run'!$A$10:$IV$19</definedName>
    <definedName name="Z_96F242FB_9792_11D3_8905_0000834298E4_.wvu.PrintTitles" hidden="1">'[1]Long Run'!$A$1:$A$65536,'[1]Long Run'!$A$10:$IV$19</definedName>
    <definedName name="Z_9E133267_5193_11D3_9C74_0020352B7F13_.wvu.Cols" localSheetId="4" hidden="1">[1]Quarters!#REF!</definedName>
    <definedName name="Z_9E133267_5193_11D3_9C74_0020352B7F13_.wvu.Cols" localSheetId="5" hidden="1">[1]Quarters!#REF!</definedName>
    <definedName name="Z_9E133267_5193_11D3_9C74_0020352B7F13_.wvu.Cols" localSheetId="3" hidden="1">[1]Quarters!#REF!</definedName>
    <definedName name="Z_9E133267_5193_11D3_9C74_0020352B7F13_.wvu.Cols" localSheetId="1" hidden="1">[1]Quarters!#REF!</definedName>
    <definedName name="Z_9E133267_5193_11D3_9C74_0020352B7F13_.wvu.Cols" hidden="1">[1]Quarters!#REF!</definedName>
    <definedName name="Z_9E133267_5193_11D3_9C74_0020352B7F13_.wvu.PrintTitles" localSheetId="4" hidden="1">[1]Quarters!#REF!</definedName>
    <definedName name="Z_9E133267_5193_11D3_9C74_0020352B7F13_.wvu.PrintTitles" localSheetId="5" hidden="1">[1]Quarters!#REF!</definedName>
    <definedName name="Z_9E133267_5193_11D3_9C74_0020352B7F13_.wvu.PrintTitles" localSheetId="3" hidden="1">[1]Quarters!#REF!</definedName>
    <definedName name="Z_9E133267_5193_11D3_9C74_0020352B7F13_.wvu.PrintTitles" localSheetId="1" hidden="1">[1]Quarters!#REF!</definedName>
    <definedName name="Z_9E133267_5193_11D3_9C74_0020352B7F13_.wvu.PrintTitles" hidden="1">[1]Quarters!#REF!</definedName>
    <definedName name="Z_9E133268_5193_11D3_9C74_0020352B7F13_.wvu.Cols" localSheetId="4" hidden="1">[1]Quarters!#REF!</definedName>
    <definedName name="Z_9E133268_5193_11D3_9C74_0020352B7F13_.wvu.Cols" localSheetId="5" hidden="1">[1]Quarters!#REF!</definedName>
    <definedName name="Z_9E133268_5193_11D3_9C74_0020352B7F13_.wvu.Cols" localSheetId="3" hidden="1">[1]Quarters!#REF!</definedName>
    <definedName name="Z_9E133268_5193_11D3_9C74_0020352B7F13_.wvu.Cols" localSheetId="1" hidden="1">[1]Quarters!#REF!</definedName>
    <definedName name="Z_9E133268_5193_11D3_9C74_0020352B7F13_.wvu.Cols" hidden="1">[1]Quarters!#REF!</definedName>
    <definedName name="Z_9E133268_5193_11D3_9C74_0020352B7F13_.wvu.PrintTitles" localSheetId="4" hidden="1">[1]Quarters!#REF!</definedName>
    <definedName name="Z_9E133268_5193_11D3_9C74_0020352B7F13_.wvu.PrintTitles" localSheetId="5" hidden="1">[1]Quarters!#REF!</definedName>
    <definedName name="Z_9E133268_5193_11D3_9C74_0020352B7F13_.wvu.PrintTitles" localSheetId="3" hidden="1">[1]Quarters!#REF!</definedName>
    <definedName name="Z_9E133268_5193_11D3_9C74_0020352B7F13_.wvu.PrintTitles" localSheetId="1" hidden="1">[1]Quarters!#REF!</definedName>
    <definedName name="Z_9E133268_5193_11D3_9C74_0020352B7F13_.wvu.PrintTitles" hidden="1">[1]Quarters!#REF!</definedName>
    <definedName name="Z_9E133269_5193_11D3_9C74_0020352B7F13_.wvu.Cols" localSheetId="4" hidden="1">[1]Quarters!#REF!</definedName>
    <definedName name="Z_9E133269_5193_11D3_9C74_0020352B7F13_.wvu.Cols" localSheetId="5" hidden="1">[1]Quarters!#REF!</definedName>
    <definedName name="Z_9E133269_5193_11D3_9C74_0020352B7F13_.wvu.Cols" localSheetId="3" hidden="1">[1]Quarters!#REF!</definedName>
    <definedName name="Z_9E133269_5193_11D3_9C74_0020352B7F13_.wvu.Cols" localSheetId="1" hidden="1">[1]Quarters!#REF!</definedName>
    <definedName name="Z_9E133269_5193_11D3_9C74_0020352B7F13_.wvu.Cols" hidden="1">[1]Quarters!#REF!</definedName>
    <definedName name="Z_9E133269_5193_11D3_9C74_0020352B7F13_.wvu.PrintTitles" localSheetId="4" hidden="1">[1]Quarters!#REF!</definedName>
    <definedName name="Z_9E133269_5193_11D3_9C74_0020352B7F13_.wvu.PrintTitles" localSheetId="5" hidden="1">[1]Quarters!#REF!</definedName>
    <definedName name="Z_9E133269_5193_11D3_9C74_0020352B7F13_.wvu.PrintTitles" localSheetId="3" hidden="1">[1]Quarters!#REF!</definedName>
    <definedName name="Z_9E133269_5193_11D3_9C74_0020352B7F13_.wvu.PrintTitles" localSheetId="1" hidden="1">[1]Quarters!#REF!</definedName>
    <definedName name="Z_9E133269_5193_11D3_9C74_0020352B7F13_.wvu.PrintTitles" hidden="1">[1]Quarters!#REF!</definedName>
    <definedName name="Z_9E133318_5193_11D3_9C74_0020352B7F13_.wvu.PrintTitles" localSheetId="4" hidden="1">[1]Quarters!#REF!</definedName>
    <definedName name="Z_9E133318_5193_11D3_9C74_0020352B7F13_.wvu.PrintTitles" localSheetId="5" hidden="1">[1]Quarters!#REF!</definedName>
    <definedName name="Z_9E133318_5193_11D3_9C74_0020352B7F13_.wvu.PrintTitles" localSheetId="3" hidden="1">[1]Quarters!#REF!</definedName>
    <definedName name="Z_9E133318_5193_11D3_9C74_0020352B7F13_.wvu.PrintTitles" localSheetId="1" hidden="1">[1]Quarters!#REF!</definedName>
    <definedName name="Z_9E133318_5193_11D3_9C74_0020352B7F13_.wvu.PrintTitles" hidden="1">[1]Quarters!#REF!</definedName>
    <definedName name="Z_9E133319_5193_11D3_9C74_0020352B7F13_.wvu.PrintTitles" localSheetId="4" hidden="1">[1]Quarters!#REF!</definedName>
    <definedName name="Z_9E133319_5193_11D3_9C74_0020352B7F13_.wvu.PrintTitles" localSheetId="5" hidden="1">[1]Quarters!#REF!</definedName>
    <definedName name="Z_9E133319_5193_11D3_9C74_0020352B7F13_.wvu.PrintTitles" localSheetId="3" hidden="1">[1]Quarters!#REF!</definedName>
    <definedName name="Z_9E133319_5193_11D3_9C74_0020352B7F13_.wvu.PrintTitles" localSheetId="1" hidden="1">[1]Quarters!#REF!</definedName>
    <definedName name="Z_9E133319_5193_11D3_9C74_0020352B7F13_.wvu.PrintTitles" hidden="1">[1]Quarters!#REF!</definedName>
    <definedName name="Z_9E13331A_5193_11D3_9C74_0020352B7F13_.wvu.PrintTitles" localSheetId="4" hidden="1">[1]Quarters!#REF!</definedName>
    <definedName name="Z_9E13331A_5193_11D3_9C74_0020352B7F13_.wvu.PrintTitles" localSheetId="5" hidden="1">[1]Quarters!#REF!</definedName>
    <definedName name="Z_9E13331A_5193_11D3_9C74_0020352B7F13_.wvu.PrintTitles" localSheetId="3" hidden="1">[1]Quarters!#REF!</definedName>
    <definedName name="Z_9E13331A_5193_11D3_9C74_0020352B7F13_.wvu.PrintTitles" localSheetId="1" hidden="1">[1]Quarters!#REF!</definedName>
    <definedName name="Z_9E13331A_5193_11D3_9C74_0020352B7F13_.wvu.PrintTitles" hidden="1">[1]Quarters!#REF!</definedName>
    <definedName name="Z_AC271C04_66FD_11D3_88F4_0000834298E4_.wvu.PrintTitles" localSheetId="4" hidden="1">[1]Quarters!#REF!</definedName>
    <definedName name="Z_AC271C04_66FD_11D3_88F4_0000834298E4_.wvu.PrintTitles" localSheetId="5" hidden="1">[1]Quarters!#REF!</definedName>
    <definedName name="Z_AC271C04_66FD_11D3_88F4_0000834298E4_.wvu.PrintTitles" localSheetId="3" hidden="1">[1]Quarters!#REF!</definedName>
    <definedName name="Z_AC271C04_66FD_11D3_88F4_0000834298E4_.wvu.PrintTitles" localSheetId="1" hidden="1">[1]Quarters!#REF!</definedName>
    <definedName name="Z_AC271C04_66FD_11D3_88F4_0000834298E4_.wvu.PrintTitles" hidden="1">[1]Quarters!#REF!</definedName>
    <definedName name="Z_AC271C06_66FD_11D3_88F4_0000834298E4_.wvu.PrintTitles" localSheetId="4" hidden="1">[1]Quarters!#REF!</definedName>
    <definedName name="Z_AC271C06_66FD_11D3_88F4_0000834298E4_.wvu.PrintTitles" localSheetId="5" hidden="1">[1]Quarters!#REF!</definedName>
    <definedName name="Z_AC271C06_66FD_11D3_88F4_0000834298E4_.wvu.PrintTitles" localSheetId="3" hidden="1">[1]Quarters!#REF!</definedName>
    <definedName name="Z_AC271C06_66FD_11D3_88F4_0000834298E4_.wvu.PrintTitles" localSheetId="1" hidden="1">[1]Quarters!#REF!</definedName>
    <definedName name="Z_AC271C06_66FD_11D3_88F4_0000834298E4_.wvu.PrintTitles" hidden="1">[1]Quarters!#REF!</definedName>
    <definedName name="Z_AC271C08_66FD_11D3_88F4_0000834298E4_.wvu.PrintTitles" localSheetId="4" hidden="1">[1]Quarters!#REF!</definedName>
    <definedName name="Z_AC271C08_66FD_11D3_88F4_0000834298E4_.wvu.PrintTitles" localSheetId="5" hidden="1">[1]Quarters!#REF!</definedName>
    <definedName name="Z_AC271C08_66FD_11D3_88F4_0000834298E4_.wvu.PrintTitles" localSheetId="3" hidden="1">[1]Quarters!#REF!</definedName>
    <definedName name="Z_AC271C08_66FD_11D3_88F4_0000834298E4_.wvu.PrintTitles" localSheetId="1" hidden="1">[1]Quarters!#REF!</definedName>
    <definedName name="Z_AC271C08_66FD_11D3_88F4_0000834298E4_.wvu.PrintTitles" hidden="1">[1]Quarters!#REF!</definedName>
    <definedName name="Z_B46E469D_A288_11D3_890C_0000834298E4_.wvu.PrintTitles" hidden="1">'[1]Long Run'!$A$1:$A$65536,'[1]Long Run'!$A$10:$IV$19</definedName>
    <definedName name="Z_B46E469E_A288_11D3_890C_0000834298E4_.wvu.PrintTitles" hidden="1">'[1]Long Run'!$A$1:$A$65536,'[1]Long Run'!$A$10:$IV$19</definedName>
    <definedName name="Z_B46E469F_A288_11D3_890C_0000834298E4_.wvu.PrintTitles" hidden="1">'[1]Long Run'!$A$1:$A$65536,'[1]Long Run'!$A$10:$IV$19</definedName>
    <definedName name="Z_B46E46A0_A288_11D3_890C_0000834298E4_.wvu.PrintTitles" hidden="1">'[1]Long Run'!$A$1:$A$65536,'[1]Long Run'!$A$10:$IV$19</definedName>
    <definedName name="Z_B46E46A1_A288_11D3_890C_0000834298E4_.wvu.PrintTitles" hidden="1">'[1]Long Run'!$A$1:$A$65536,'[1]Long Run'!$A$10:$IV$19</definedName>
    <definedName name="Z_B46E4950_A288_11D3_890C_0000834298E4_.wvu.PrintTitles" hidden="1">'[1]Long Run'!$A$1:$A$65536,'[1]Long Run'!$A$10:$IV$19</definedName>
    <definedName name="Z_B46E4951_A288_11D3_890C_0000834298E4_.wvu.PrintTitles" hidden="1">'[1]Long Run'!$A$1:$A$65536,'[1]Long Run'!$A$10:$IV$19</definedName>
    <definedName name="Z_B46E4952_A288_11D3_890C_0000834298E4_.wvu.PrintTitles" hidden="1">'[1]Long Run'!$A$1:$A$65536,'[1]Long Run'!$A$10:$IV$19</definedName>
    <definedName name="Z_B46E4953_A288_11D3_890C_0000834298E4_.wvu.PrintTitles" hidden="1">'[1]Long Run'!$A$1:$A$65536,'[1]Long Run'!$A$10:$IV$19</definedName>
    <definedName name="Z_B46E4954_A288_11D3_890C_0000834298E4_.wvu.PrintTitles" hidden="1">'[1]Long Run'!$A$1:$A$65536,'[1]Long Run'!$A$10:$IV$19</definedName>
    <definedName name="Z_B4964D6E_51D3_11D3_9C74_0020352B7F13_.wvu.PrintTitles" localSheetId="4" hidden="1">[1]Quarters!#REF!</definedName>
    <definedName name="Z_B4964D6E_51D3_11D3_9C74_0020352B7F13_.wvu.PrintTitles" localSheetId="5" hidden="1">[1]Quarters!#REF!</definedName>
    <definedName name="Z_B4964D6E_51D3_11D3_9C74_0020352B7F13_.wvu.PrintTitles" localSheetId="3" hidden="1">[1]Quarters!#REF!</definedName>
    <definedName name="Z_B4964D6E_51D3_11D3_9C74_0020352B7F13_.wvu.PrintTitles" localSheetId="1" hidden="1">[1]Quarters!#REF!</definedName>
    <definedName name="Z_B4964D6E_51D3_11D3_9C74_0020352B7F13_.wvu.PrintTitles" hidden="1">[1]Quarters!#REF!</definedName>
    <definedName name="Z_B4964D6F_51D3_11D3_9C74_0020352B7F13_.wvu.PrintTitles" localSheetId="4" hidden="1">[1]Quarters!#REF!</definedName>
    <definedName name="Z_B4964D6F_51D3_11D3_9C74_0020352B7F13_.wvu.PrintTitles" localSheetId="5" hidden="1">[1]Quarters!#REF!</definedName>
    <definedName name="Z_B4964D6F_51D3_11D3_9C74_0020352B7F13_.wvu.PrintTitles" localSheetId="3" hidden="1">[1]Quarters!#REF!</definedName>
    <definedName name="Z_B4964D6F_51D3_11D3_9C74_0020352B7F13_.wvu.PrintTitles" localSheetId="1" hidden="1">[1]Quarters!#REF!</definedName>
    <definedName name="Z_B4964D6F_51D3_11D3_9C74_0020352B7F13_.wvu.PrintTitles" hidden="1">[1]Quarters!#REF!</definedName>
    <definedName name="Z_B4964D70_51D3_11D3_9C74_0020352B7F13_.wvu.PrintTitles" localSheetId="4" hidden="1">[1]Quarters!#REF!</definedName>
    <definedName name="Z_B4964D70_51D3_11D3_9C74_0020352B7F13_.wvu.PrintTitles" localSheetId="5" hidden="1">[1]Quarters!#REF!</definedName>
    <definedName name="Z_B4964D70_51D3_11D3_9C74_0020352B7F13_.wvu.PrintTitles" localSheetId="3" hidden="1">[1]Quarters!#REF!</definedName>
    <definedName name="Z_B4964D70_51D3_11D3_9C74_0020352B7F13_.wvu.PrintTitles" localSheetId="1" hidden="1">[1]Quarters!#REF!</definedName>
    <definedName name="Z_B4964D70_51D3_11D3_9C74_0020352B7F13_.wvu.PrintTitles" hidden="1">[1]Quarters!#REF!</definedName>
    <definedName name="Z_F1A2AD24_5C94_11D3_88E8_0000834298E4_.wvu.PrintTitles" localSheetId="4" hidden="1">[1]Quarters!#REF!</definedName>
    <definedName name="Z_F1A2AD24_5C94_11D3_88E8_0000834298E4_.wvu.PrintTitles" localSheetId="5" hidden="1">[1]Quarters!#REF!</definedName>
    <definedName name="Z_F1A2AD24_5C94_11D3_88E8_0000834298E4_.wvu.PrintTitles" localSheetId="3" hidden="1">[1]Quarters!#REF!</definedName>
    <definedName name="Z_F1A2AD24_5C94_11D3_88E8_0000834298E4_.wvu.PrintTitles" localSheetId="1" hidden="1">[1]Quarters!#REF!</definedName>
    <definedName name="Z_F1A2AD24_5C94_11D3_88E8_0000834298E4_.wvu.PrintTitles" hidden="1">[1]Quarters!#REF!</definedName>
    <definedName name="Z_F1A2AD26_5C94_11D3_88E8_0000834298E4_.wvu.PrintTitles" localSheetId="4" hidden="1">[1]Quarters!#REF!</definedName>
    <definedName name="Z_F1A2AD26_5C94_11D3_88E8_0000834298E4_.wvu.PrintTitles" localSheetId="5" hidden="1">[1]Quarters!#REF!</definedName>
    <definedName name="Z_F1A2AD26_5C94_11D3_88E8_0000834298E4_.wvu.PrintTitles" localSheetId="3" hidden="1">[1]Quarters!#REF!</definedName>
    <definedName name="Z_F1A2AD26_5C94_11D3_88E8_0000834298E4_.wvu.PrintTitles" localSheetId="1" hidden="1">[1]Quarters!#REF!</definedName>
    <definedName name="Z_F1A2AD26_5C94_11D3_88E8_0000834298E4_.wvu.PrintTitles" hidden="1">[1]Quarters!#REF!</definedName>
    <definedName name="Z_F1A2AD28_5C94_11D3_88E8_0000834298E4_.wvu.PrintTitles" localSheetId="4" hidden="1">[1]Quarters!#REF!</definedName>
    <definedName name="Z_F1A2AD28_5C94_11D3_88E8_0000834298E4_.wvu.PrintTitles" localSheetId="5" hidden="1">[1]Quarters!#REF!</definedName>
    <definedName name="Z_F1A2AD28_5C94_11D3_88E8_0000834298E4_.wvu.PrintTitles" localSheetId="3" hidden="1">[1]Quarters!#REF!</definedName>
    <definedName name="Z_F1A2AD28_5C94_11D3_88E8_0000834298E4_.wvu.PrintTitles" localSheetId="1" hidden="1">[1]Quarters!#REF!</definedName>
    <definedName name="Z_F1A2AD28_5C94_11D3_88E8_0000834298E4_.wvu.PrintTitles" hidden="1">[1]Quarters!#REF!</definedName>
    <definedName name="Z_F4B4FE18_7101_11D3_88FE_0000834298E4_.wvu.PrintTitles" hidden="1">'[1]Long Run'!$A$1:$A$65536,'[1]Long Run'!$A$10:$IV$19</definedName>
    <definedName name="Z_F4B4FE19_7101_11D3_88FE_0000834298E4_.wvu.PrintTitles" hidden="1">'[1]Long Run'!$A$1:$A$65536,'[1]Long Run'!$A$10:$IV$19</definedName>
    <definedName name="Z_F4B4FE1A_7101_11D3_88FE_0000834298E4_.wvu.PrintTitles" hidden="1">'[1]Long Run'!$A$1:$A$65536,'[1]Long Run'!$A$10:$IV$19</definedName>
    <definedName name="Z_F4B4FE1B_7101_11D3_88FE_0000834298E4_.wvu.PrintTitles" hidden="1">'[1]Long Run'!$A$1:$A$65536,'[1]Long Run'!$A$10:$IV$19</definedName>
    <definedName name="Z_F4B4FE1C_7101_11D3_88FE_0000834298E4_.wvu.PrintTitles" hidden="1">'[1]Long Run'!$A$1:$A$65536,'[1]Long Run'!$A$10:$IV$19</definedName>
    <definedName name="Z_F4B5003C_7101_11D3_88FE_0000834298E4_.wvu.PrintTitles" hidden="1">'[1]Long Run'!$A$1:$A$65536,'[1]Long Run'!$A$10:$IV$19</definedName>
    <definedName name="Z_F4B5003D_7101_11D3_88FE_0000834298E4_.wvu.PrintTitles" hidden="1">'[1]Long Run'!$A$1:$A$65536,'[1]Long Run'!$A$10:$IV$19</definedName>
    <definedName name="Z_F4B5003E_7101_11D3_88FE_0000834298E4_.wvu.PrintTitles" hidden="1">'[1]Long Run'!$A$1:$A$65536,'[1]Long Run'!$A$10:$IV$19</definedName>
    <definedName name="Z_F4B5003F_7101_11D3_88FE_0000834298E4_.wvu.PrintTitles" hidden="1">'[1]Long Run'!$A$1:$A$65536,'[1]Long Run'!$A$10:$IV$19</definedName>
    <definedName name="Z_F4B50040_7101_11D3_88FE_0000834298E4_.wvu.PrintTitles" hidden="1">'[1]Long Run'!$A$1:$A$65536,'[1]Long Run'!$A$10:$IV$19</definedName>
    <definedName name="Z_F4B500EF_7101_11D3_88FE_0000834298E4_.wvu.PrintTitles" hidden="1">'[1]Long Run'!$A$1:$A$65536,'[1]Long Run'!$A$10:$IV$19</definedName>
    <definedName name="Z_F4B500F0_7101_11D3_88FE_0000834298E4_.wvu.PrintTitles" hidden="1">'[1]Long Run'!$A$1:$A$65536,'[1]Long Run'!$A$10:$IV$19</definedName>
    <definedName name="Z_F4B500F1_7101_11D3_88FE_0000834298E4_.wvu.PrintTitles" hidden="1">'[1]Long Run'!$A$1:$A$65536,'[1]Long Run'!$A$10:$IV$19</definedName>
    <definedName name="Z_F4B500F2_7101_11D3_88FE_0000834298E4_.wvu.PrintTitles" hidden="1">'[1]Long Run'!$A$1:$A$65536,'[1]Long Run'!$A$10:$IV$19</definedName>
    <definedName name="Z_F4B500F3_7101_11D3_88FE_0000834298E4_.wvu.PrintTitles" hidden="1">'[1]Long Run'!$A$1:$A$65536,'[1]Long Run'!$A$10:$IV$19</definedName>
    <definedName name="Z_FA5DF41B_71D7_11D3_88FF_0000834298E4_.wvu.PrintTitles" localSheetId="4" hidden="1">[1]Quarters!#REF!</definedName>
    <definedName name="Z_FA5DF41B_71D7_11D3_88FF_0000834298E4_.wvu.PrintTitles" localSheetId="5" hidden="1">[1]Quarters!#REF!</definedName>
    <definedName name="Z_FA5DF41B_71D7_11D3_88FF_0000834298E4_.wvu.PrintTitles" localSheetId="3" hidden="1">[1]Quarters!#REF!</definedName>
    <definedName name="Z_FA5DF41B_71D7_11D3_88FF_0000834298E4_.wvu.PrintTitles" localSheetId="1" hidden="1">[1]Quarters!#REF!</definedName>
    <definedName name="Z_FA5DF41B_71D7_11D3_88FF_0000834298E4_.wvu.PrintTitles" hidden="1">[1]Quarters!#REF!</definedName>
    <definedName name="Z_FA5DF41D_71D7_11D3_88FF_0000834298E4_.wvu.PrintTitles" localSheetId="4" hidden="1">[1]Quarters!#REF!</definedName>
    <definedName name="Z_FA5DF41D_71D7_11D3_88FF_0000834298E4_.wvu.PrintTitles" localSheetId="5" hidden="1">[1]Quarters!#REF!</definedName>
    <definedName name="Z_FA5DF41D_71D7_11D3_88FF_0000834298E4_.wvu.PrintTitles" localSheetId="3" hidden="1">[1]Quarters!#REF!</definedName>
    <definedName name="Z_FA5DF41D_71D7_11D3_88FF_0000834298E4_.wvu.PrintTitles" localSheetId="1" hidden="1">[1]Quarters!#REF!</definedName>
    <definedName name="Z_FA5DF41D_71D7_11D3_88FF_0000834298E4_.wvu.PrintTitles" hidden="1">[1]Quarters!#REF!</definedName>
    <definedName name="Z_FA5DF41F_71D7_11D3_88FF_0000834298E4_.wvu.PrintTitles" localSheetId="4" hidden="1">[1]Quarters!#REF!</definedName>
    <definedName name="Z_FA5DF41F_71D7_11D3_88FF_0000834298E4_.wvu.PrintTitles" localSheetId="5" hidden="1">[1]Quarters!#REF!</definedName>
    <definedName name="Z_FA5DF41F_71D7_11D3_88FF_0000834298E4_.wvu.PrintTitles" localSheetId="3" hidden="1">[1]Quarters!#REF!</definedName>
    <definedName name="Z_FA5DF41F_71D7_11D3_88FF_0000834298E4_.wvu.PrintTitles" localSheetId="1" hidden="1">[1]Quarters!#REF!</definedName>
    <definedName name="Z_FA5DF41F_71D7_11D3_88FF_0000834298E4_.wvu.PrintTitles" hidden="1">[1]Quarters!#REF!</definedName>
  </definedNames>
  <calcPr calcId="150001" concurrentCalc="0"/>
  <pivotCaches>
    <pivotCache cacheId="7" r:id="rId1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" i="2" l="1"/>
  <c r="R5" i="2"/>
  <c r="S5" i="2"/>
  <c r="T5" i="2"/>
  <c r="U5" i="2"/>
  <c r="V5" i="2"/>
  <c r="W5" i="2"/>
  <c r="X5" i="2"/>
  <c r="P5" i="2"/>
  <c r="Q2" i="2"/>
  <c r="R2" i="2"/>
  <c r="S2" i="2"/>
  <c r="T2" i="2"/>
  <c r="U2" i="2"/>
  <c r="V2" i="2"/>
  <c r="W2" i="2"/>
  <c r="X2" i="2"/>
  <c r="Q3" i="2"/>
  <c r="R3" i="2"/>
  <c r="S3" i="2"/>
  <c r="T3" i="2"/>
  <c r="U3" i="2"/>
  <c r="V3" i="2"/>
  <c r="W3" i="2"/>
  <c r="X3" i="2"/>
  <c r="Q4" i="2"/>
  <c r="R4" i="2"/>
  <c r="S4" i="2"/>
  <c r="T4" i="2"/>
  <c r="U4" i="2"/>
  <c r="V4" i="2"/>
  <c r="W4" i="2"/>
  <c r="X4" i="2"/>
  <c r="P4" i="2"/>
  <c r="P3" i="2"/>
  <c r="P2" i="2"/>
  <c r="P8" i="11"/>
  <c r="Q8" i="11"/>
  <c r="R8" i="11"/>
  <c r="S8" i="11"/>
  <c r="T8" i="11"/>
  <c r="U8" i="11"/>
  <c r="V8" i="11"/>
  <c r="W8" i="11"/>
  <c r="X8" i="11"/>
  <c r="P9" i="11"/>
  <c r="Q9" i="11"/>
  <c r="R9" i="11"/>
  <c r="S9" i="11"/>
  <c r="T9" i="11"/>
  <c r="U9" i="11"/>
  <c r="V9" i="11"/>
  <c r="W9" i="11"/>
  <c r="X9" i="11"/>
  <c r="P10" i="11"/>
  <c r="Q10" i="11"/>
  <c r="R10" i="11"/>
  <c r="S10" i="11"/>
  <c r="T10" i="11"/>
  <c r="U10" i="11"/>
  <c r="V10" i="11"/>
  <c r="W10" i="11"/>
  <c r="X10" i="11"/>
  <c r="P11" i="11"/>
  <c r="Q11" i="11"/>
  <c r="R11" i="11"/>
  <c r="S11" i="11"/>
  <c r="T11" i="11"/>
  <c r="U11" i="11"/>
  <c r="V11" i="11"/>
  <c r="W11" i="11"/>
  <c r="X11" i="11"/>
  <c r="P12" i="11"/>
  <c r="Q12" i="11"/>
  <c r="R12" i="11"/>
  <c r="S12" i="11"/>
  <c r="T12" i="11"/>
  <c r="U12" i="11"/>
  <c r="V12" i="11"/>
  <c r="W12" i="11"/>
  <c r="X12" i="11"/>
  <c r="P13" i="11"/>
  <c r="Q13" i="11"/>
  <c r="R13" i="11"/>
  <c r="S13" i="11"/>
  <c r="T13" i="11"/>
  <c r="U13" i="11"/>
  <c r="V13" i="11"/>
  <c r="W13" i="11"/>
  <c r="X13" i="11"/>
  <c r="P14" i="11"/>
  <c r="Q14" i="11"/>
  <c r="R14" i="11"/>
  <c r="S14" i="11"/>
  <c r="T14" i="11"/>
  <c r="U14" i="11"/>
  <c r="V14" i="11"/>
  <c r="W14" i="11"/>
  <c r="X14" i="11"/>
  <c r="P15" i="11"/>
  <c r="Q15" i="11"/>
  <c r="R15" i="11"/>
  <c r="S15" i="11"/>
  <c r="T15" i="11"/>
  <c r="U15" i="11"/>
  <c r="V15" i="11"/>
  <c r="W15" i="11"/>
  <c r="X15" i="11"/>
  <c r="P16" i="11"/>
  <c r="Q16" i="11"/>
  <c r="R16" i="11"/>
  <c r="S16" i="11"/>
  <c r="T16" i="11"/>
  <c r="U16" i="11"/>
  <c r="V16" i="11"/>
  <c r="W16" i="11"/>
  <c r="X16" i="11"/>
  <c r="P17" i="11"/>
  <c r="Q17" i="11"/>
  <c r="R17" i="11"/>
  <c r="S17" i="11"/>
  <c r="T17" i="11"/>
  <c r="U17" i="11"/>
  <c r="V17" i="11"/>
  <c r="W17" i="11"/>
  <c r="X17" i="11"/>
  <c r="Q7" i="11"/>
  <c r="R7" i="11"/>
  <c r="S7" i="11"/>
  <c r="T7" i="11"/>
  <c r="U7" i="11"/>
  <c r="V7" i="11"/>
  <c r="W7" i="11"/>
  <c r="X7" i="11"/>
  <c r="P7" i="11"/>
  <c r="P23" i="11"/>
  <c r="Q23" i="11"/>
  <c r="R23" i="11"/>
  <c r="S23" i="11"/>
  <c r="T23" i="11"/>
  <c r="U23" i="11"/>
  <c r="V23" i="11"/>
  <c r="W23" i="11"/>
  <c r="X23" i="11"/>
  <c r="P24" i="11"/>
  <c r="Q24" i="11"/>
  <c r="R24" i="11"/>
  <c r="S24" i="11"/>
  <c r="T24" i="11"/>
  <c r="U24" i="11"/>
  <c r="V24" i="11"/>
  <c r="W24" i="11"/>
  <c r="X24" i="11"/>
  <c r="P25" i="11"/>
  <c r="Q25" i="11"/>
  <c r="R25" i="11"/>
  <c r="S25" i="11"/>
  <c r="T25" i="11"/>
  <c r="U25" i="11"/>
  <c r="V25" i="11"/>
  <c r="W25" i="11"/>
  <c r="X25" i="11"/>
  <c r="P26" i="11"/>
  <c r="Q26" i="11"/>
  <c r="R26" i="11"/>
  <c r="S26" i="11"/>
  <c r="T26" i="11"/>
  <c r="U26" i="11"/>
  <c r="V26" i="11"/>
  <c r="W26" i="11"/>
  <c r="X26" i="11"/>
  <c r="P27" i="11"/>
  <c r="Q27" i="11"/>
  <c r="R27" i="11"/>
  <c r="S27" i="11"/>
  <c r="T27" i="11"/>
  <c r="U27" i="11"/>
  <c r="V27" i="11"/>
  <c r="W27" i="11"/>
  <c r="X27" i="11"/>
  <c r="P28" i="11"/>
  <c r="Q28" i="11"/>
  <c r="R28" i="11"/>
  <c r="S28" i="11"/>
  <c r="T28" i="11"/>
  <c r="U28" i="11"/>
  <c r="V28" i="11"/>
  <c r="W28" i="11"/>
  <c r="X28" i="11"/>
  <c r="P29" i="11"/>
  <c r="Q29" i="11"/>
  <c r="R29" i="11"/>
  <c r="S29" i="11"/>
  <c r="T29" i="11"/>
  <c r="U29" i="11"/>
  <c r="V29" i="11"/>
  <c r="W29" i="11"/>
  <c r="X29" i="11"/>
  <c r="P30" i="11"/>
  <c r="Q30" i="11"/>
  <c r="R30" i="11"/>
  <c r="S30" i="11"/>
  <c r="T30" i="11"/>
  <c r="U30" i="11"/>
  <c r="V30" i="11"/>
  <c r="W30" i="11"/>
  <c r="X30" i="11"/>
  <c r="P31" i="11"/>
  <c r="Q31" i="11"/>
  <c r="R31" i="11"/>
  <c r="S31" i="11"/>
  <c r="T31" i="11"/>
  <c r="U31" i="11"/>
  <c r="V31" i="11"/>
  <c r="W31" i="11"/>
  <c r="X31" i="11"/>
  <c r="P32" i="11"/>
  <c r="Q32" i="11"/>
  <c r="R32" i="11"/>
  <c r="S32" i="11"/>
  <c r="T32" i="11"/>
  <c r="U32" i="11"/>
  <c r="V32" i="11"/>
  <c r="W32" i="11"/>
  <c r="X32" i="11"/>
  <c r="Q22" i="11"/>
  <c r="R22" i="11"/>
  <c r="S22" i="11"/>
  <c r="T22" i="11"/>
  <c r="U22" i="11"/>
  <c r="V22" i="11"/>
  <c r="W22" i="11"/>
  <c r="X22" i="11"/>
  <c r="P22" i="11"/>
  <c r="O7" i="11"/>
  <c r="O22" i="11"/>
  <c r="O8" i="11"/>
  <c r="O23" i="11"/>
  <c r="O9" i="11"/>
  <c r="O24" i="11"/>
  <c r="O10" i="11"/>
  <c r="O25" i="11"/>
  <c r="O11" i="11"/>
  <c r="O26" i="11"/>
  <c r="O12" i="11"/>
  <c r="O27" i="11"/>
  <c r="O13" i="11"/>
  <c r="O28" i="11"/>
  <c r="O14" i="11"/>
  <c r="O29" i="11"/>
  <c r="O15" i="11"/>
  <c r="O30" i="11"/>
  <c r="O16" i="11"/>
  <c r="O31" i="11"/>
  <c r="P6" i="11"/>
  <c r="P21" i="11"/>
  <c r="Q6" i="11"/>
  <c r="Q21" i="11"/>
  <c r="R6" i="11"/>
  <c r="R21" i="11"/>
  <c r="S6" i="11"/>
  <c r="S21" i="11"/>
  <c r="T6" i="11"/>
  <c r="T21" i="11"/>
  <c r="U6" i="11"/>
  <c r="U21" i="11"/>
  <c r="V6" i="11"/>
  <c r="V21" i="11"/>
  <c r="W6" i="11"/>
  <c r="W21" i="11"/>
  <c r="X6" i="11"/>
  <c r="X21" i="11"/>
  <c r="O17" i="11"/>
  <c r="P9" i="2"/>
  <c r="Q9" i="2"/>
  <c r="R9" i="2"/>
  <c r="S9" i="2"/>
  <c r="T9" i="2"/>
  <c r="U9" i="2"/>
  <c r="V9" i="2"/>
  <c r="W9" i="2"/>
  <c r="X9" i="2"/>
  <c r="P10" i="2"/>
  <c r="Q10" i="2"/>
  <c r="R10" i="2"/>
  <c r="S10" i="2"/>
  <c r="T10" i="2"/>
  <c r="U10" i="2"/>
  <c r="V10" i="2"/>
  <c r="W10" i="2"/>
  <c r="X10" i="2"/>
  <c r="Q8" i="2"/>
  <c r="R8" i="2"/>
  <c r="S8" i="2"/>
  <c r="T8" i="2"/>
  <c r="U8" i="2"/>
  <c r="V8" i="2"/>
  <c r="W8" i="2"/>
  <c r="X8" i="2"/>
  <c r="P8" i="2"/>
  <c r="X1" i="2"/>
  <c r="W1" i="2"/>
  <c r="V1" i="2"/>
  <c r="U1" i="2"/>
  <c r="T1" i="2"/>
  <c r="S1" i="2"/>
  <c r="R1" i="2"/>
  <c r="Q1" i="2"/>
  <c r="P1" i="2"/>
  <c r="P8" i="9"/>
  <c r="Q8" i="9"/>
  <c r="R8" i="9"/>
  <c r="S8" i="9"/>
  <c r="T8" i="9"/>
  <c r="U8" i="9"/>
  <c r="V8" i="9"/>
  <c r="W8" i="9"/>
  <c r="X8" i="9"/>
  <c r="P9" i="9"/>
  <c r="Q9" i="9"/>
  <c r="R9" i="9"/>
  <c r="S9" i="9"/>
  <c r="T9" i="9"/>
  <c r="U9" i="9"/>
  <c r="V9" i="9"/>
  <c r="W9" i="9"/>
  <c r="X9" i="9"/>
  <c r="Q7" i="9"/>
  <c r="R7" i="9"/>
  <c r="S7" i="9"/>
  <c r="T7" i="9"/>
  <c r="U7" i="9"/>
  <c r="V7" i="9"/>
  <c r="W7" i="9"/>
  <c r="X7" i="9"/>
  <c r="P7" i="9"/>
  <c r="AC60" i="12"/>
  <c r="AB60" i="12"/>
  <c r="AA60" i="12"/>
  <c r="Z60" i="12"/>
  <c r="Y60" i="12"/>
  <c r="X60" i="12"/>
  <c r="V60" i="12"/>
  <c r="AC59" i="12"/>
  <c r="AB59" i="12"/>
  <c r="AA59" i="12"/>
  <c r="Z59" i="12"/>
  <c r="Y59" i="12"/>
  <c r="X59" i="12"/>
  <c r="V59" i="12"/>
  <c r="AC58" i="12"/>
  <c r="AB58" i="12"/>
  <c r="AA58" i="12"/>
  <c r="Z58" i="12"/>
  <c r="Y58" i="12"/>
  <c r="X58" i="12"/>
  <c r="V58" i="12"/>
  <c r="AC57" i="12"/>
  <c r="AB57" i="12"/>
  <c r="AA57" i="12"/>
  <c r="Z57" i="12"/>
  <c r="Y57" i="12"/>
  <c r="X57" i="12"/>
  <c r="V57" i="12"/>
  <c r="AC56" i="12"/>
  <c r="AB56" i="12"/>
  <c r="AA56" i="12"/>
  <c r="Z56" i="12"/>
  <c r="Y56" i="12"/>
  <c r="X56" i="12"/>
  <c r="V56" i="12"/>
  <c r="AC55" i="12"/>
  <c r="AB55" i="12"/>
  <c r="AA55" i="12"/>
  <c r="Z55" i="12"/>
  <c r="Y55" i="12"/>
  <c r="X55" i="12"/>
  <c r="V55" i="12"/>
  <c r="AC54" i="12"/>
  <c r="AB54" i="12"/>
  <c r="AA54" i="12"/>
  <c r="Z54" i="12"/>
  <c r="Y54" i="12"/>
  <c r="X54" i="12"/>
  <c r="V54" i="12"/>
  <c r="AC53" i="12"/>
  <c r="AB53" i="12"/>
  <c r="AA53" i="12"/>
  <c r="Z53" i="12"/>
  <c r="Y53" i="12"/>
  <c r="X53" i="12"/>
  <c r="V53" i="12"/>
  <c r="AC52" i="12"/>
  <c r="AB52" i="12"/>
  <c r="AA52" i="12"/>
  <c r="Z52" i="12"/>
  <c r="Y52" i="12"/>
  <c r="X52" i="12"/>
  <c r="V52" i="12"/>
  <c r="AC51" i="12"/>
  <c r="AB51" i="12"/>
  <c r="AA51" i="12"/>
  <c r="Z51" i="12"/>
  <c r="Y51" i="12"/>
  <c r="X51" i="12"/>
  <c r="V51" i="12"/>
  <c r="AC50" i="12"/>
  <c r="AB50" i="12"/>
  <c r="AA50" i="12"/>
  <c r="Z50" i="12"/>
  <c r="Y50" i="12"/>
  <c r="X50" i="12"/>
  <c r="V50" i="12"/>
  <c r="AC49" i="12"/>
  <c r="AB49" i="12"/>
  <c r="AA49" i="12"/>
  <c r="Z49" i="12"/>
  <c r="Y49" i="12"/>
  <c r="X49" i="12"/>
  <c r="V49" i="12"/>
  <c r="AC48" i="12"/>
  <c r="AB48" i="12"/>
  <c r="AA48" i="12"/>
  <c r="Z48" i="12"/>
  <c r="Y48" i="12"/>
  <c r="X48" i="12"/>
  <c r="V48" i="12"/>
  <c r="V47" i="12"/>
  <c r="AC46" i="12"/>
  <c r="AB46" i="12"/>
  <c r="AA46" i="12"/>
  <c r="Z46" i="12"/>
  <c r="Y46" i="12"/>
  <c r="X46" i="12"/>
  <c r="V46" i="12"/>
  <c r="AC45" i="12"/>
  <c r="AB45" i="12"/>
  <c r="AA45" i="12"/>
  <c r="Z45" i="12"/>
  <c r="Y45" i="12"/>
  <c r="X45" i="12"/>
  <c r="V45" i="12"/>
  <c r="AC44" i="12"/>
  <c r="AB44" i="12"/>
  <c r="AA44" i="12"/>
  <c r="Z44" i="12"/>
  <c r="Y44" i="12"/>
  <c r="X44" i="12"/>
  <c r="V44" i="12"/>
  <c r="AC43" i="12"/>
  <c r="AB43" i="12"/>
  <c r="AA43" i="12"/>
  <c r="Z43" i="12"/>
  <c r="Y43" i="12"/>
  <c r="X43" i="12"/>
  <c r="V43" i="12"/>
  <c r="AC42" i="12"/>
  <c r="AB42" i="12"/>
  <c r="AA42" i="12"/>
  <c r="Z42" i="12"/>
  <c r="Y42" i="12"/>
  <c r="X42" i="12"/>
  <c r="V42" i="12"/>
  <c r="AC41" i="12"/>
  <c r="AB41" i="12"/>
  <c r="AA41" i="12"/>
  <c r="Z41" i="12"/>
  <c r="Y41" i="12"/>
  <c r="X41" i="12"/>
  <c r="V41" i="12"/>
  <c r="AC40" i="12"/>
  <c r="AB40" i="12"/>
  <c r="AA40" i="12"/>
  <c r="Z40" i="12"/>
  <c r="Y40" i="12"/>
  <c r="X40" i="12"/>
  <c r="V40" i="12"/>
  <c r="AC39" i="12"/>
  <c r="AB39" i="12"/>
  <c r="AA39" i="12"/>
  <c r="Z39" i="12"/>
  <c r="Y39" i="12"/>
  <c r="X39" i="12"/>
  <c r="V39" i="12"/>
  <c r="AC38" i="12"/>
  <c r="AB38" i="12"/>
  <c r="AA38" i="12"/>
  <c r="Z38" i="12"/>
  <c r="Y38" i="12"/>
  <c r="X38" i="12"/>
  <c r="V38" i="12"/>
  <c r="AC37" i="12"/>
  <c r="AB37" i="12"/>
  <c r="AA37" i="12"/>
  <c r="Z37" i="12"/>
  <c r="Y37" i="12"/>
  <c r="X37" i="12"/>
  <c r="V37" i="12"/>
  <c r="AC36" i="12"/>
  <c r="AB36" i="12"/>
  <c r="AA36" i="12"/>
  <c r="Z36" i="12"/>
  <c r="Y36" i="12"/>
  <c r="X36" i="12"/>
  <c r="V36" i="12"/>
  <c r="AC35" i="12"/>
  <c r="AB35" i="12"/>
  <c r="AA35" i="12"/>
  <c r="Z35" i="12"/>
  <c r="Y35" i="12"/>
  <c r="X35" i="12"/>
  <c r="V35" i="12"/>
  <c r="AC34" i="12"/>
  <c r="AB34" i="12"/>
  <c r="AA34" i="12"/>
  <c r="Z34" i="12"/>
  <c r="Y34" i="12"/>
  <c r="X34" i="12"/>
  <c r="W34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V23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V20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V18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V14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V6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AC60" i="11"/>
  <c r="AB60" i="11"/>
  <c r="AA60" i="11"/>
  <c r="Z60" i="11"/>
  <c r="Y60" i="11"/>
  <c r="X60" i="11"/>
  <c r="V60" i="11"/>
  <c r="AC59" i="11"/>
  <c r="AB59" i="11"/>
  <c r="AA59" i="11"/>
  <c r="Z59" i="11"/>
  <c r="Y59" i="11"/>
  <c r="X59" i="11"/>
  <c r="V59" i="11"/>
  <c r="AC58" i="11"/>
  <c r="AB58" i="11"/>
  <c r="AA58" i="11"/>
  <c r="Z58" i="11"/>
  <c r="Y58" i="11"/>
  <c r="X58" i="11"/>
  <c r="V58" i="11"/>
  <c r="AC57" i="11"/>
  <c r="AB57" i="11"/>
  <c r="AA57" i="11"/>
  <c r="Z57" i="11"/>
  <c r="Y57" i="11"/>
  <c r="X57" i="11"/>
  <c r="V57" i="11"/>
  <c r="AC56" i="11"/>
  <c r="AB56" i="11"/>
  <c r="AA56" i="11"/>
  <c r="Z56" i="11"/>
  <c r="Y56" i="11"/>
  <c r="X56" i="11"/>
  <c r="V56" i="11"/>
  <c r="AC55" i="11"/>
  <c r="AB55" i="11"/>
  <c r="AA55" i="11"/>
  <c r="Z55" i="11"/>
  <c r="Y55" i="11"/>
  <c r="X55" i="11"/>
  <c r="V55" i="11"/>
  <c r="AC54" i="11"/>
  <c r="AB54" i="11"/>
  <c r="AA54" i="11"/>
  <c r="Z54" i="11"/>
  <c r="Y54" i="11"/>
  <c r="X54" i="11"/>
  <c r="V54" i="11"/>
  <c r="AC53" i="11"/>
  <c r="AB53" i="11"/>
  <c r="AA53" i="11"/>
  <c r="Z53" i="11"/>
  <c r="Y53" i="11"/>
  <c r="X53" i="11"/>
  <c r="V53" i="11"/>
  <c r="AC52" i="11"/>
  <c r="AB52" i="11"/>
  <c r="AA52" i="11"/>
  <c r="Z52" i="11"/>
  <c r="Y52" i="11"/>
  <c r="X52" i="11"/>
  <c r="V52" i="11"/>
  <c r="AC51" i="11"/>
  <c r="AB51" i="11"/>
  <c r="AA51" i="11"/>
  <c r="Z51" i="11"/>
  <c r="Y51" i="11"/>
  <c r="X51" i="11"/>
  <c r="V51" i="11"/>
  <c r="AC50" i="11"/>
  <c r="AB50" i="11"/>
  <c r="AA50" i="11"/>
  <c r="Z50" i="11"/>
  <c r="Y50" i="11"/>
  <c r="X50" i="11"/>
  <c r="V50" i="11"/>
  <c r="AC49" i="11"/>
  <c r="AB49" i="11"/>
  <c r="AA49" i="11"/>
  <c r="Z49" i="11"/>
  <c r="Y49" i="11"/>
  <c r="X49" i="11"/>
  <c r="V49" i="11"/>
  <c r="AC48" i="11"/>
  <c r="AB48" i="11"/>
  <c r="AA48" i="11"/>
  <c r="Z48" i="11"/>
  <c r="Y48" i="11"/>
  <c r="X48" i="11"/>
  <c r="V48" i="11"/>
  <c r="V47" i="11"/>
  <c r="AC46" i="11"/>
  <c r="AB46" i="11"/>
  <c r="AA46" i="11"/>
  <c r="Z46" i="11"/>
  <c r="Y46" i="11"/>
  <c r="X46" i="11"/>
  <c r="V46" i="11"/>
  <c r="AC45" i="11"/>
  <c r="AB45" i="11"/>
  <c r="AA45" i="11"/>
  <c r="Z45" i="11"/>
  <c r="Y45" i="11"/>
  <c r="X45" i="11"/>
  <c r="V45" i="11"/>
  <c r="AC44" i="11"/>
  <c r="AB44" i="11"/>
  <c r="AA44" i="11"/>
  <c r="Z44" i="11"/>
  <c r="Y44" i="11"/>
  <c r="X44" i="11"/>
  <c r="V44" i="11"/>
  <c r="AC43" i="11"/>
  <c r="AB43" i="11"/>
  <c r="AA43" i="11"/>
  <c r="Z43" i="11"/>
  <c r="Y43" i="11"/>
  <c r="X43" i="11"/>
  <c r="V43" i="11"/>
  <c r="AC42" i="11"/>
  <c r="AB42" i="11"/>
  <c r="AA42" i="11"/>
  <c r="Z42" i="11"/>
  <c r="Y42" i="11"/>
  <c r="X42" i="11"/>
  <c r="V42" i="11"/>
  <c r="AC41" i="11"/>
  <c r="AB41" i="11"/>
  <c r="AA41" i="11"/>
  <c r="Z41" i="11"/>
  <c r="Y41" i="11"/>
  <c r="X41" i="11"/>
  <c r="V41" i="11"/>
  <c r="AC40" i="11"/>
  <c r="AB40" i="11"/>
  <c r="AA40" i="11"/>
  <c r="Z40" i="11"/>
  <c r="Y40" i="11"/>
  <c r="X40" i="11"/>
  <c r="V40" i="11"/>
  <c r="AC39" i="11"/>
  <c r="AB39" i="11"/>
  <c r="AA39" i="11"/>
  <c r="Z39" i="11"/>
  <c r="Y39" i="11"/>
  <c r="X39" i="11"/>
  <c r="V39" i="11"/>
  <c r="AC38" i="11"/>
  <c r="AB38" i="11"/>
  <c r="AA38" i="11"/>
  <c r="Z38" i="11"/>
  <c r="Y38" i="11"/>
  <c r="X38" i="11"/>
  <c r="V38" i="11"/>
  <c r="AC37" i="11"/>
  <c r="AB37" i="11"/>
  <c r="AA37" i="11"/>
  <c r="Z37" i="11"/>
  <c r="Y37" i="11"/>
  <c r="X37" i="11"/>
  <c r="V37" i="11"/>
  <c r="AC36" i="11"/>
  <c r="AB36" i="11"/>
  <c r="AA36" i="11"/>
  <c r="Z36" i="11"/>
  <c r="Y36" i="11"/>
  <c r="X36" i="11"/>
  <c r="V36" i="11"/>
  <c r="AC35" i="11"/>
  <c r="AB35" i="11"/>
  <c r="AA35" i="11"/>
  <c r="Z35" i="11"/>
  <c r="Y35" i="11"/>
  <c r="X35" i="11"/>
  <c r="V35" i="11"/>
  <c r="AC34" i="11"/>
  <c r="AB34" i="11"/>
  <c r="AA34" i="11"/>
  <c r="Z34" i="11"/>
  <c r="Y34" i="11"/>
  <c r="X34" i="11"/>
  <c r="W34" i="11"/>
  <c r="AC60" i="10"/>
  <c r="AB60" i="10"/>
  <c r="AA60" i="10"/>
  <c r="Z60" i="10"/>
  <c r="Y60" i="10"/>
  <c r="X60" i="10"/>
  <c r="V60" i="10"/>
  <c r="AC59" i="10"/>
  <c r="AB59" i="10"/>
  <c r="AA59" i="10"/>
  <c r="Z59" i="10"/>
  <c r="Y59" i="10"/>
  <c r="X59" i="10"/>
  <c r="V59" i="10"/>
  <c r="AC58" i="10"/>
  <c r="AB58" i="10"/>
  <c r="AA58" i="10"/>
  <c r="Z58" i="10"/>
  <c r="Y58" i="10"/>
  <c r="X58" i="10"/>
  <c r="V58" i="10"/>
  <c r="AC57" i="10"/>
  <c r="AB57" i="10"/>
  <c r="AA57" i="10"/>
  <c r="Z57" i="10"/>
  <c r="Y57" i="10"/>
  <c r="X57" i="10"/>
  <c r="V57" i="10"/>
  <c r="AC56" i="10"/>
  <c r="AB56" i="10"/>
  <c r="AA56" i="10"/>
  <c r="Z56" i="10"/>
  <c r="Y56" i="10"/>
  <c r="X56" i="10"/>
  <c r="V56" i="10"/>
  <c r="AC55" i="10"/>
  <c r="AB55" i="10"/>
  <c r="AA55" i="10"/>
  <c r="Z55" i="10"/>
  <c r="Y55" i="10"/>
  <c r="X55" i="10"/>
  <c r="V55" i="10"/>
  <c r="AC54" i="10"/>
  <c r="AB54" i="10"/>
  <c r="AA54" i="10"/>
  <c r="Z54" i="10"/>
  <c r="Y54" i="10"/>
  <c r="X54" i="10"/>
  <c r="V54" i="10"/>
  <c r="AC53" i="10"/>
  <c r="AB53" i="10"/>
  <c r="AA53" i="10"/>
  <c r="Z53" i="10"/>
  <c r="Y53" i="10"/>
  <c r="X53" i="10"/>
  <c r="V53" i="10"/>
  <c r="AC52" i="10"/>
  <c r="AB52" i="10"/>
  <c r="AA52" i="10"/>
  <c r="Z52" i="10"/>
  <c r="Y52" i="10"/>
  <c r="X52" i="10"/>
  <c r="V52" i="10"/>
  <c r="AC51" i="10"/>
  <c r="AB51" i="10"/>
  <c r="AA51" i="10"/>
  <c r="Z51" i="10"/>
  <c r="Y51" i="10"/>
  <c r="X51" i="10"/>
  <c r="V51" i="10"/>
  <c r="AC50" i="10"/>
  <c r="AB50" i="10"/>
  <c r="AA50" i="10"/>
  <c r="Z50" i="10"/>
  <c r="Y50" i="10"/>
  <c r="X50" i="10"/>
  <c r="V50" i="10"/>
  <c r="AC49" i="10"/>
  <c r="AB49" i="10"/>
  <c r="AA49" i="10"/>
  <c r="Z49" i="10"/>
  <c r="Y49" i="10"/>
  <c r="X49" i="10"/>
  <c r="V49" i="10"/>
  <c r="AC48" i="10"/>
  <c r="AB48" i="10"/>
  <c r="AA48" i="10"/>
  <c r="Z48" i="10"/>
  <c r="Y48" i="10"/>
  <c r="X48" i="10"/>
  <c r="V48" i="10"/>
  <c r="V47" i="10"/>
  <c r="AC46" i="10"/>
  <c r="AB46" i="10"/>
  <c r="AA46" i="10"/>
  <c r="Z46" i="10"/>
  <c r="Y46" i="10"/>
  <c r="X46" i="10"/>
  <c r="V46" i="10"/>
  <c r="AC45" i="10"/>
  <c r="AB45" i="10"/>
  <c r="AA45" i="10"/>
  <c r="Z45" i="10"/>
  <c r="Y45" i="10"/>
  <c r="X45" i="10"/>
  <c r="V45" i="10"/>
  <c r="AC44" i="10"/>
  <c r="AB44" i="10"/>
  <c r="AA44" i="10"/>
  <c r="Z44" i="10"/>
  <c r="Y44" i="10"/>
  <c r="X44" i="10"/>
  <c r="V44" i="10"/>
  <c r="AC43" i="10"/>
  <c r="AB43" i="10"/>
  <c r="AA43" i="10"/>
  <c r="Z43" i="10"/>
  <c r="Y43" i="10"/>
  <c r="X43" i="10"/>
  <c r="V43" i="10"/>
  <c r="AC42" i="10"/>
  <c r="AB42" i="10"/>
  <c r="AA42" i="10"/>
  <c r="Z42" i="10"/>
  <c r="Y42" i="10"/>
  <c r="X42" i="10"/>
  <c r="V42" i="10"/>
  <c r="AC41" i="10"/>
  <c r="AB41" i="10"/>
  <c r="AA41" i="10"/>
  <c r="Z41" i="10"/>
  <c r="Y41" i="10"/>
  <c r="X41" i="10"/>
  <c r="V41" i="10"/>
  <c r="AC40" i="10"/>
  <c r="AB40" i="10"/>
  <c r="AA40" i="10"/>
  <c r="Z40" i="10"/>
  <c r="Y40" i="10"/>
  <c r="X40" i="10"/>
  <c r="V40" i="10"/>
  <c r="AC39" i="10"/>
  <c r="AB39" i="10"/>
  <c r="AA39" i="10"/>
  <c r="Z39" i="10"/>
  <c r="Y39" i="10"/>
  <c r="X39" i="10"/>
  <c r="V39" i="10"/>
  <c r="AC38" i="10"/>
  <c r="AB38" i="10"/>
  <c r="AA38" i="10"/>
  <c r="Z38" i="10"/>
  <c r="Y38" i="10"/>
  <c r="X38" i="10"/>
  <c r="V38" i="10"/>
  <c r="AC37" i="10"/>
  <c r="AB37" i="10"/>
  <c r="AA37" i="10"/>
  <c r="Z37" i="10"/>
  <c r="Y37" i="10"/>
  <c r="X37" i="10"/>
  <c r="V37" i="10"/>
  <c r="AC36" i="10"/>
  <c r="AB36" i="10"/>
  <c r="AA36" i="10"/>
  <c r="Z36" i="10"/>
  <c r="Y36" i="10"/>
  <c r="X36" i="10"/>
  <c r="V36" i="10"/>
  <c r="AC35" i="10"/>
  <c r="AB35" i="10"/>
  <c r="AA35" i="10"/>
  <c r="Z35" i="10"/>
  <c r="Y35" i="10"/>
  <c r="X35" i="10"/>
  <c r="V35" i="10"/>
  <c r="AC34" i="10"/>
  <c r="AB34" i="10"/>
  <c r="AA34" i="10"/>
  <c r="Z34" i="10"/>
  <c r="Y34" i="10"/>
  <c r="X34" i="10"/>
  <c r="W34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V31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V30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V29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V28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V27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V26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V25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V24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V23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V22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V21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V20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V19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V18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V17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V16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V15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V14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V13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V12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V11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V10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V9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V8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V7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V6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Q2" i="9"/>
  <c r="Q3" i="9"/>
  <c r="Q4" i="9"/>
  <c r="R2" i="9"/>
  <c r="R3" i="9"/>
  <c r="R4" i="9"/>
  <c r="S2" i="9"/>
  <c r="S3" i="9"/>
  <c r="S4" i="9"/>
  <c r="T2" i="9"/>
  <c r="T3" i="9"/>
  <c r="T4" i="9"/>
  <c r="U2" i="9"/>
  <c r="U3" i="9"/>
  <c r="U4" i="9"/>
  <c r="V2" i="9"/>
  <c r="V3" i="9"/>
  <c r="V4" i="9"/>
  <c r="W2" i="9"/>
  <c r="W3" i="9"/>
  <c r="W4" i="9"/>
  <c r="X2" i="9"/>
  <c r="X3" i="9"/>
  <c r="X4" i="9"/>
  <c r="P2" i="9"/>
  <c r="P3" i="9"/>
  <c r="P4" i="9"/>
  <c r="Q1" i="9"/>
  <c r="R1" i="9"/>
  <c r="S1" i="9"/>
  <c r="T1" i="9"/>
  <c r="U1" i="9"/>
  <c r="V1" i="9"/>
  <c r="W1" i="9"/>
  <c r="X1" i="9"/>
  <c r="P1" i="9"/>
  <c r="Y47" i="5" a="1"/>
  <c r="Z47" i="5" a="1"/>
  <c r="AA47" i="5" a="1"/>
  <c r="AB47" i="5" a="1"/>
  <c r="AC47" i="5" a="1"/>
  <c r="X47" i="5" a="1"/>
  <c r="C25" i="6"/>
  <c r="B27" i="6"/>
  <c r="B28" i="6"/>
  <c r="X19" i="5"/>
  <c r="C28" i="6"/>
  <c r="Y19" i="5"/>
  <c r="D28" i="6"/>
  <c r="Z19" i="5"/>
  <c r="E28" i="6"/>
  <c r="AA19" i="5"/>
  <c r="F28" i="6"/>
  <c r="AB19" i="5"/>
  <c r="G28" i="6"/>
  <c r="AC19" i="5"/>
  <c r="H28" i="6"/>
  <c r="AD19" i="5"/>
  <c r="I28" i="6"/>
  <c r="AE19" i="5"/>
  <c r="J28" i="6"/>
  <c r="AF19" i="5"/>
  <c r="K28" i="6"/>
  <c r="AG19" i="5"/>
  <c r="L28" i="6"/>
  <c r="AH19" i="5"/>
  <c r="M28" i="6"/>
  <c r="AI19" i="5"/>
  <c r="N28" i="6"/>
  <c r="AJ19" i="5"/>
  <c r="O28" i="6"/>
  <c r="AK19" i="5"/>
  <c r="P28" i="6"/>
  <c r="AL19" i="5"/>
  <c r="Q28" i="6"/>
  <c r="AM19" i="5"/>
  <c r="R28" i="6"/>
  <c r="AN19" i="5"/>
  <c r="S28" i="6"/>
  <c r="X60" i="5"/>
  <c r="C27" i="6"/>
  <c r="Y60" i="5"/>
  <c r="D27" i="6"/>
  <c r="Z60" i="5"/>
  <c r="E27" i="6"/>
  <c r="AA60" i="5"/>
  <c r="F27" i="6"/>
  <c r="AB60" i="5"/>
  <c r="G27" i="6"/>
  <c r="AC60" i="5"/>
  <c r="H27" i="6"/>
  <c r="B22" i="6"/>
  <c r="B23" i="6"/>
  <c r="X6" i="5"/>
  <c r="C23" i="6"/>
  <c r="Y6" i="5"/>
  <c r="D23" i="6"/>
  <c r="Z6" i="5"/>
  <c r="E23" i="6"/>
  <c r="AA6" i="5"/>
  <c r="F23" i="6"/>
  <c r="AB6" i="5"/>
  <c r="G23" i="6"/>
  <c r="AC6" i="5"/>
  <c r="H23" i="6"/>
  <c r="AD6" i="5"/>
  <c r="I23" i="6"/>
  <c r="AE6" i="5"/>
  <c r="J23" i="6"/>
  <c r="AF6" i="5"/>
  <c r="K23" i="6"/>
  <c r="AG6" i="5"/>
  <c r="L23" i="6"/>
  <c r="AH6" i="5"/>
  <c r="M23" i="6"/>
  <c r="AI6" i="5"/>
  <c r="N23" i="6"/>
  <c r="AJ6" i="5"/>
  <c r="O23" i="6"/>
  <c r="AK6" i="5"/>
  <c r="P23" i="6"/>
  <c r="AL6" i="5"/>
  <c r="Q23" i="6"/>
  <c r="AM6" i="5"/>
  <c r="R23" i="6"/>
  <c r="AN6" i="5"/>
  <c r="S23" i="6"/>
  <c r="A25" i="6"/>
  <c r="C20" i="6"/>
  <c r="B9" i="6"/>
  <c r="X48" i="5"/>
  <c r="C9" i="6"/>
  <c r="B4" i="6"/>
  <c r="X35" i="5"/>
  <c r="C4" i="6"/>
  <c r="V60" i="5"/>
  <c r="V4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B28" i="4"/>
  <c r="B30" i="4"/>
  <c r="C16" i="4"/>
  <c r="C28" i="4"/>
  <c r="D28" i="4"/>
  <c r="D32" i="4"/>
  <c r="E28" i="4"/>
  <c r="E32" i="4"/>
  <c r="F28" i="4"/>
  <c r="F32" i="4"/>
  <c r="G28" i="4"/>
  <c r="G32" i="4"/>
  <c r="H28" i="4"/>
  <c r="H32" i="4"/>
  <c r="I28" i="4"/>
  <c r="I32" i="4"/>
  <c r="J28" i="4"/>
  <c r="J32" i="4"/>
  <c r="K28" i="4"/>
  <c r="K32" i="4"/>
  <c r="L28" i="4"/>
  <c r="L32" i="4"/>
  <c r="M28" i="4"/>
  <c r="M32" i="4"/>
  <c r="N28" i="4"/>
  <c r="N32" i="4"/>
  <c r="O28" i="4"/>
  <c r="O32" i="4"/>
  <c r="P28" i="4"/>
  <c r="P32" i="4"/>
  <c r="Q28" i="4"/>
  <c r="Q32" i="4"/>
  <c r="R28" i="4"/>
  <c r="R32" i="4"/>
  <c r="S28" i="4"/>
  <c r="S32" i="4"/>
  <c r="T28" i="4"/>
  <c r="T32" i="4"/>
  <c r="C32" i="4"/>
  <c r="D16" i="4"/>
  <c r="D31" i="4"/>
  <c r="E16" i="4"/>
  <c r="E31" i="4"/>
  <c r="F16" i="4"/>
  <c r="F31" i="4"/>
  <c r="G16" i="4"/>
  <c r="G31" i="4"/>
  <c r="H16" i="4"/>
  <c r="H31" i="4"/>
  <c r="I16" i="4"/>
  <c r="I31" i="4"/>
  <c r="C31" i="4"/>
  <c r="D6" i="4"/>
  <c r="D2" i="4"/>
  <c r="D30" i="4"/>
  <c r="E6" i="4"/>
  <c r="E2" i="4"/>
  <c r="E30" i="4"/>
  <c r="F6" i="4"/>
  <c r="F2" i="4"/>
  <c r="F30" i="4"/>
  <c r="G6" i="4"/>
  <c r="G2" i="4"/>
  <c r="G30" i="4"/>
  <c r="H6" i="4"/>
  <c r="H2" i="4"/>
  <c r="H30" i="4"/>
  <c r="I6" i="4"/>
  <c r="I2" i="4"/>
  <c r="I30" i="4"/>
  <c r="J6" i="4"/>
  <c r="J2" i="4"/>
  <c r="J30" i="4"/>
  <c r="K6" i="4"/>
  <c r="K2" i="4"/>
  <c r="K30" i="4"/>
  <c r="L6" i="4"/>
  <c r="L2" i="4"/>
  <c r="L30" i="4"/>
  <c r="M6" i="4"/>
  <c r="M2" i="4"/>
  <c r="M30" i="4"/>
  <c r="N6" i="4"/>
  <c r="N2" i="4"/>
  <c r="N30" i="4"/>
  <c r="O6" i="4"/>
  <c r="O2" i="4"/>
  <c r="O30" i="4"/>
  <c r="P6" i="4"/>
  <c r="P2" i="4"/>
  <c r="P30" i="4"/>
  <c r="Q6" i="4"/>
  <c r="Q2" i="4"/>
  <c r="Q30" i="4"/>
  <c r="R6" i="4"/>
  <c r="R2" i="4"/>
  <c r="R30" i="4"/>
  <c r="S6" i="4"/>
  <c r="S2" i="4"/>
  <c r="S30" i="4"/>
  <c r="T6" i="4"/>
  <c r="T2" i="4"/>
  <c r="T30" i="4"/>
  <c r="C2" i="4"/>
  <c r="C30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C19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C5" i="4"/>
  <c r="V18" i="5"/>
  <c r="V7" i="5"/>
  <c r="A2" i="6"/>
  <c r="A7" i="6"/>
  <c r="C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X59" i="5"/>
  <c r="Y59" i="5"/>
  <c r="Y48" i="5"/>
  <c r="D9" i="6"/>
  <c r="Z59" i="5"/>
  <c r="Z48" i="5"/>
  <c r="E9" i="6"/>
  <c r="AA59" i="5"/>
  <c r="AA48" i="5"/>
  <c r="F9" i="6"/>
  <c r="AB59" i="5"/>
  <c r="AB48" i="5"/>
  <c r="G9" i="6"/>
  <c r="AC59" i="5"/>
  <c r="AC48" i="5"/>
  <c r="H9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X46" i="5"/>
  <c r="Y46" i="5"/>
  <c r="Y35" i="5"/>
  <c r="D4" i="6"/>
  <c r="Z46" i="5"/>
  <c r="Z35" i="5"/>
  <c r="E4" i="6"/>
  <c r="AA46" i="5"/>
  <c r="AA35" i="5"/>
  <c r="F4" i="6"/>
  <c r="AB46" i="5"/>
  <c r="AB35" i="5"/>
  <c r="G4" i="6"/>
  <c r="AC46" i="5"/>
  <c r="AC35" i="5"/>
  <c r="H4" i="6"/>
  <c r="X49" i="5"/>
  <c r="Y49" i="5"/>
  <c r="Z49" i="5"/>
  <c r="AA49" i="5"/>
  <c r="AB49" i="5"/>
  <c r="AC49" i="5"/>
  <c r="X36" i="5"/>
  <c r="Y36" i="5"/>
  <c r="Z36" i="5"/>
  <c r="AA36" i="5"/>
  <c r="AB36" i="5"/>
  <c r="AC36" i="5"/>
  <c r="V8" i="5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B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C77" i="6"/>
  <c r="D77" i="6"/>
  <c r="E77" i="6"/>
  <c r="F77" i="6"/>
  <c r="G77" i="6"/>
  <c r="H77" i="6"/>
  <c r="A75" i="6"/>
  <c r="C75" i="6"/>
  <c r="B73" i="6"/>
  <c r="X57" i="5"/>
  <c r="C73" i="6"/>
  <c r="Y57" i="5"/>
  <c r="D73" i="6"/>
  <c r="Z57" i="5"/>
  <c r="E73" i="6"/>
  <c r="AA57" i="5"/>
  <c r="F73" i="6"/>
  <c r="AB57" i="5"/>
  <c r="G73" i="6"/>
  <c r="AC57" i="5"/>
  <c r="H73" i="6"/>
  <c r="I73" i="6"/>
  <c r="J73" i="6"/>
  <c r="K73" i="6"/>
  <c r="L73" i="6"/>
  <c r="M73" i="6"/>
  <c r="N73" i="6"/>
  <c r="O73" i="6"/>
  <c r="P73" i="6"/>
  <c r="Q73" i="6"/>
  <c r="R73" i="6"/>
  <c r="S73" i="6"/>
  <c r="B72" i="6"/>
  <c r="C72" i="6"/>
  <c r="D72" i="6"/>
  <c r="E72" i="6"/>
  <c r="F72" i="6"/>
  <c r="G72" i="6"/>
  <c r="H72" i="6"/>
  <c r="V57" i="5"/>
  <c r="A70" i="6"/>
  <c r="C70" i="6"/>
  <c r="B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C67" i="6"/>
  <c r="D67" i="6"/>
  <c r="E67" i="6"/>
  <c r="F67" i="6"/>
  <c r="G67" i="6"/>
  <c r="H67" i="6"/>
  <c r="V52" i="5"/>
  <c r="A65" i="6"/>
  <c r="C65" i="6"/>
  <c r="B63" i="6"/>
  <c r="B62" i="6"/>
  <c r="C62" i="6"/>
  <c r="D62" i="6"/>
  <c r="E62" i="6"/>
  <c r="F62" i="6"/>
  <c r="G62" i="6"/>
  <c r="H62" i="6"/>
  <c r="A60" i="6"/>
  <c r="C60" i="6"/>
  <c r="B57" i="6"/>
  <c r="B58" i="6"/>
  <c r="X50" i="5"/>
  <c r="C58" i="6"/>
  <c r="Y50" i="5"/>
  <c r="D58" i="6"/>
  <c r="Z50" i="5"/>
  <c r="E58" i="6"/>
  <c r="AA50" i="5"/>
  <c r="F58" i="6"/>
  <c r="AB50" i="5"/>
  <c r="G58" i="6"/>
  <c r="AC50" i="5"/>
  <c r="H58" i="6"/>
  <c r="I58" i="6"/>
  <c r="J58" i="6"/>
  <c r="K58" i="6"/>
  <c r="L58" i="6"/>
  <c r="M58" i="6"/>
  <c r="N58" i="6"/>
  <c r="O58" i="6"/>
  <c r="P58" i="6"/>
  <c r="Q58" i="6"/>
  <c r="R58" i="6"/>
  <c r="S58" i="6"/>
  <c r="C57" i="6"/>
  <c r="D57" i="6"/>
  <c r="E57" i="6"/>
  <c r="F57" i="6"/>
  <c r="G57" i="6"/>
  <c r="H57" i="6"/>
  <c r="V42" i="5"/>
  <c r="A55" i="6"/>
  <c r="C55" i="6"/>
  <c r="B53" i="6"/>
  <c r="X37" i="5"/>
  <c r="C53" i="6"/>
  <c r="Y37" i="5"/>
  <c r="D53" i="6"/>
  <c r="Z37" i="5"/>
  <c r="E53" i="6"/>
  <c r="AA37" i="5"/>
  <c r="F53" i="6"/>
  <c r="AB37" i="5"/>
  <c r="G53" i="6"/>
  <c r="AC37" i="5"/>
  <c r="H53" i="6"/>
  <c r="I53" i="6"/>
  <c r="J53" i="6"/>
  <c r="K53" i="6"/>
  <c r="L53" i="6"/>
  <c r="M53" i="6"/>
  <c r="N53" i="6"/>
  <c r="O53" i="6"/>
  <c r="P53" i="6"/>
  <c r="Q53" i="6"/>
  <c r="R53" i="6"/>
  <c r="S53" i="6"/>
  <c r="B52" i="6"/>
  <c r="C52" i="6"/>
  <c r="D52" i="6"/>
  <c r="E52" i="6"/>
  <c r="F52" i="6"/>
  <c r="G52" i="6"/>
  <c r="H52" i="6"/>
  <c r="V37" i="5"/>
  <c r="A50" i="6"/>
  <c r="C50" i="6"/>
  <c r="B43" i="6"/>
  <c r="B44" i="6"/>
  <c r="X40" i="5"/>
  <c r="C44" i="6"/>
  <c r="Y40" i="5"/>
  <c r="D44" i="6"/>
  <c r="Z40" i="5"/>
  <c r="E44" i="6"/>
  <c r="AA40" i="5"/>
  <c r="F44" i="6"/>
  <c r="AB40" i="5"/>
  <c r="G44" i="6"/>
  <c r="AC40" i="5"/>
  <c r="H44" i="6"/>
  <c r="I44" i="6"/>
  <c r="J44" i="6"/>
  <c r="K44" i="6"/>
  <c r="L44" i="6"/>
  <c r="M44" i="6"/>
  <c r="N44" i="6"/>
  <c r="O44" i="6"/>
  <c r="P44" i="6"/>
  <c r="Q44" i="6"/>
  <c r="R44" i="6"/>
  <c r="S44" i="6"/>
  <c r="C43" i="6"/>
  <c r="D43" i="6"/>
  <c r="E43" i="6"/>
  <c r="F43" i="6"/>
  <c r="G43" i="6"/>
  <c r="H43" i="6"/>
  <c r="A41" i="6"/>
  <c r="C41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B38" i="6"/>
  <c r="X55" i="5"/>
  <c r="C38" i="6"/>
  <c r="Y55" i="5"/>
  <c r="D38" i="6"/>
  <c r="Z55" i="5"/>
  <c r="E38" i="6"/>
  <c r="AA55" i="5"/>
  <c r="F38" i="6"/>
  <c r="AB55" i="5"/>
  <c r="G38" i="6"/>
  <c r="AC55" i="5"/>
  <c r="H38" i="6"/>
  <c r="V27" i="5"/>
  <c r="A36" i="6"/>
  <c r="C36" i="6"/>
  <c r="C2" i="6"/>
  <c r="Y38" i="5"/>
  <c r="Z38" i="5"/>
  <c r="AA38" i="5"/>
  <c r="AB38" i="5"/>
  <c r="AC38" i="5"/>
  <c r="Y39" i="5"/>
  <c r="Z39" i="5"/>
  <c r="AA39" i="5"/>
  <c r="AB39" i="5"/>
  <c r="AC39" i="5"/>
  <c r="Y41" i="5"/>
  <c r="Z41" i="5"/>
  <c r="AA41" i="5"/>
  <c r="AB41" i="5"/>
  <c r="AC41" i="5"/>
  <c r="Y42" i="5"/>
  <c r="Z42" i="5"/>
  <c r="AA42" i="5"/>
  <c r="AB42" i="5"/>
  <c r="AC42" i="5"/>
  <c r="Y43" i="5"/>
  <c r="Z43" i="5"/>
  <c r="AA43" i="5"/>
  <c r="AB43" i="5"/>
  <c r="AC43" i="5"/>
  <c r="Y44" i="5"/>
  <c r="Z44" i="5"/>
  <c r="AA44" i="5"/>
  <c r="AB44" i="5"/>
  <c r="AC44" i="5"/>
  <c r="Y45" i="5"/>
  <c r="Z45" i="5"/>
  <c r="AA45" i="5"/>
  <c r="AB45" i="5"/>
  <c r="AC45" i="5"/>
  <c r="Y51" i="5"/>
  <c r="Z51" i="5"/>
  <c r="AA51" i="5"/>
  <c r="AB51" i="5"/>
  <c r="AC51" i="5"/>
  <c r="Y52" i="5"/>
  <c r="Z52" i="5"/>
  <c r="AA52" i="5"/>
  <c r="AB52" i="5"/>
  <c r="AC52" i="5"/>
  <c r="Y53" i="5"/>
  <c r="Z53" i="5"/>
  <c r="AA53" i="5"/>
  <c r="AB53" i="5"/>
  <c r="AC53" i="5"/>
  <c r="Y54" i="5"/>
  <c r="Z54" i="5"/>
  <c r="AA54" i="5"/>
  <c r="AB54" i="5"/>
  <c r="AC54" i="5"/>
  <c r="Y56" i="5"/>
  <c r="Z56" i="5"/>
  <c r="AA56" i="5"/>
  <c r="AB56" i="5"/>
  <c r="AC56" i="5"/>
  <c r="Y58" i="5"/>
  <c r="Z58" i="5"/>
  <c r="AA58" i="5"/>
  <c r="AB58" i="5"/>
  <c r="AC58" i="5"/>
  <c r="X38" i="5"/>
  <c r="X39" i="5"/>
  <c r="X41" i="5"/>
  <c r="X42" i="5"/>
  <c r="X43" i="5"/>
  <c r="X44" i="5"/>
  <c r="X45" i="5"/>
  <c r="X51" i="5"/>
  <c r="X52" i="5"/>
  <c r="X53" i="5"/>
  <c r="X54" i="5"/>
  <c r="X56" i="5"/>
  <c r="X58" i="5"/>
  <c r="X34" i="5"/>
  <c r="Y34" i="5"/>
  <c r="Z34" i="5"/>
  <c r="AA34" i="5"/>
  <c r="AB34" i="5"/>
  <c r="AC34" i="5"/>
  <c r="V36" i="5"/>
  <c r="V38" i="5"/>
  <c r="V39" i="5"/>
  <c r="V40" i="5"/>
  <c r="V41" i="5"/>
  <c r="V43" i="5"/>
  <c r="V44" i="5"/>
  <c r="V45" i="5"/>
  <c r="V46" i="5"/>
  <c r="V48" i="5"/>
  <c r="V49" i="5"/>
  <c r="V50" i="5"/>
  <c r="V51" i="5"/>
  <c r="V53" i="5"/>
  <c r="V54" i="5"/>
  <c r="V55" i="5"/>
  <c r="V56" i="5"/>
  <c r="V58" i="5"/>
  <c r="V59" i="5"/>
  <c r="V35" i="5"/>
  <c r="W34" i="5"/>
  <c r="V9" i="5"/>
  <c r="V10" i="5"/>
  <c r="V11" i="5"/>
  <c r="V12" i="5"/>
  <c r="V13" i="5"/>
  <c r="V14" i="5"/>
  <c r="V15" i="5"/>
  <c r="V16" i="5"/>
  <c r="V17" i="5"/>
  <c r="V19" i="5"/>
  <c r="V20" i="5"/>
  <c r="V21" i="5"/>
  <c r="V22" i="5"/>
  <c r="V23" i="5"/>
  <c r="V24" i="5"/>
  <c r="V25" i="5"/>
  <c r="V26" i="5"/>
  <c r="V28" i="5"/>
  <c r="V29" i="5"/>
  <c r="V30" i="5"/>
  <c r="V31" i="5"/>
  <c r="J9" i="4"/>
  <c r="K9" i="4"/>
  <c r="L9" i="4"/>
  <c r="M9" i="4"/>
  <c r="N9" i="4"/>
  <c r="O9" i="4"/>
  <c r="P9" i="4"/>
  <c r="Q9" i="4"/>
  <c r="R9" i="4"/>
  <c r="S9" i="4"/>
  <c r="T9" i="4"/>
  <c r="D25" i="4"/>
  <c r="E25" i="4"/>
  <c r="F25" i="4"/>
  <c r="G25" i="4"/>
  <c r="H25" i="4"/>
  <c r="I25" i="4"/>
  <c r="D23" i="4"/>
  <c r="E23" i="4"/>
  <c r="F23" i="4"/>
  <c r="G23" i="4"/>
  <c r="H23" i="4"/>
  <c r="I23" i="4"/>
  <c r="D24" i="4"/>
  <c r="E24" i="4"/>
  <c r="F24" i="4"/>
  <c r="G24" i="4"/>
  <c r="H24" i="4"/>
  <c r="I24" i="4"/>
  <c r="D22" i="4"/>
  <c r="E22" i="4"/>
  <c r="F22" i="4"/>
  <c r="G22" i="4"/>
  <c r="H22" i="4"/>
  <c r="I22" i="4"/>
  <c r="B2" i="4"/>
  <c r="J22" i="4"/>
  <c r="K22" i="4"/>
  <c r="L22" i="4"/>
  <c r="M22" i="4"/>
  <c r="N22" i="4"/>
  <c r="O22" i="4"/>
  <c r="P22" i="4"/>
  <c r="Q22" i="4"/>
  <c r="R22" i="4"/>
  <c r="S22" i="4"/>
  <c r="T22" i="4"/>
  <c r="J11" i="4"/>
  <c r="K11" i="4"/>
  <c r="L11" i="4"/>
  <c r="M11" i="4"/>
  <c r="N11" i="4"/>
  <c r="O11" i="4"/>
  <c r="P11" i="4"/>
  <c r="Q11" i="4"/>
  <c r="R11" i="4"/>
  <c r="S11" i="4"/>
  <c r="T11" i="4"/>
  <c r="J10" i="4"/>
  <c r="K10" i="4"/>
  <c r="L10" i="4"/>
  <c r="M10" i="4"/>
  <c r="N10" i="4"/>
  <c r="O10" i="4"/>
  <c r="P10" i="4"/>
  <c r="Q10" i="4"/>
  <c r="R10" i="4"/>
  <c r="S10" i="4"/>
  <c r="T10" i="4"/>
  <c r="J12" i="4"/>
  <c r="K12" i="4"/>
  <c r="L12" i="4"/>
  <c r="M12" i="4"/>
  <c r="N12" i="4"/>
  <c r="O12" i="4"/>
  <c r="P12" i="4"/>
  <c r="Q12" i="4"/>
  <c r="R12" i="4"/>
  <c r="S12" i="4"/>
  <c r="T12" i="4"/>
  <c r="J13" i="4"/>
  <c r="K13" i="4"/>
  <c r="L13" i="4"/>
  <c r="M13" i="4"/>
  <c r="N13" i="4"/>
  <c r="O13" i="4"/>
  <c r="P13" i="4"/>
  <c r="Q13" i="4"/>
  <c r="R13" i="4"/>
  <c r="S13" i="4"/>
  <c r="T13" i="4"/>
  <c r="I14" i="4"/>
  <c r="F14" i="4"/>
  <c r="G14" i="4"/>
  <c r="H14" i="4"/>
  <c r="E14" i="4"/>
  <c r="J14" i="4"/>
  <c r="K14" i="4"/>
  <c r="L14" i="4"/>
  <c r="M14" i="4"/>
  <c r="N14" i="4"/>
  <c r="O14" i="4"/>
  <c r="P14" i="4"/>
  <c r="Q14" i="4"/>
  <c r="R14" i="4"/>
  <c r="S14" i="4"/>
  <c r="T14" i="4"/>
  <c r="I15" i="4"/>
  <c r="F15" i="4"/>
  <c r="G15" i="4"/>
  <c r="H15" i="4"/>
  <c r="E15" i="4"/>
  <c r="J15" i="4"/>
  <c r="K15" i="4"/>
  <c r="L15" i="4"/>
  <c r="M15" i="4"/>
  <c r="N15" i="4"/>
  <c r="O15" i="4"/>
  <c r="P15" i="4"/>
  <c r="Q15" i="4"/>
  <c r="R15" i="4"/>
  <c r="S15" i="4"/>
  <c r="T15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J23" i="4"/>
  <c r="K23" i="4"/>
  <c r="L23" i="4"/>
  <c r="M23" i="4"/>
  <c r="N23" i="4"/>
  <c r="O23" i="4"/>
  <c r="P23" i="4"/>
  <c r="Q23" i="4"/>
  <c r="R23" i="4"/>
  <c r="S23" i="4"/>
  <c r="T23" i="4"/>
  <c r="J24" i="4"/>
  <c r="K24" i="4"/>
  <c r="L24" i="4"/>
  <c r="M24" i="4"/>
  <c r="N24" i="4"/>
  <c r="O24" i="4"/>
  <c r="P24" i="4"/>
  <c r="Q24" i="4"/>
  <c r="R24" i="4"/>
  <c r="S24" i="4"/>
  <c r="T24" i="4"/>
  <c r="J25" i="4"/>
  <c r="K25" i="4"/>
  <c r="L25" i="4"/>
  <c r="M25" i="4"/>
  <c r="N25" i="4"/>
  <c r="O25" i="4"/>
  <c r="P25" i="4"/>
  <c r="Q25" i="4"/>
  <c r="R25" i="4"/>
  <c r="S25" i="4"/>
  <c r="T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W5" i="5"/>
  <c r="V6" i="5"/>
  <c r="V5" i="5"/>
  <c r="D14" i="4"/>
  <c r="D15" i="4"/>
  <c r="C15" i="4"/>
  <c r="C14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C3" i="4"/>
  <c r="C4" i="4"/>
  <c r="A20" i="4"/>
  <c r="A21" i="4"/>
  <c r="A22" i="4"/>
  <c r="A23" i="4"/>
  <c r="A24" i="4"/>
  <c r="A25" i="4"/>
  <c r="A26" i="4"/>
  <c r="A27" i="4"/>
  <c r="A28" i="4"/>
  <c r="A8" i="4"/>
  <c r="A9" i="4"/>
  <c r="A10" i="4"/>
  <c r="A11" i="4"/>
  <c r="A12" i="4"/>
  <c r="A13" i="4"/>
  <c r="A14" i="4"/>
  <c r="A15" i="4"/>
  <c r="A16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X47" i="5"/>
  <c r="C63" i="6"/>
  <c r="Y47" i="5"/>
  <c r="D63" i="6"/>
  <c r="Z47" i="5"/>
  <c r="E63" i="6"/>
  <c r="AA47" i="5"/>
  <c r="F63" i="6"/>
  <c r="AB47" i="5"/>
  <c r="G63" i="6"/>
  <c r="AC47" i="5"/>
  <c r="H63" i="6"/>
  <c r="I63" i="6"/>
  <c r="J63" i="6"/>
  <c r="K63" i="6"/>
  <c r="L63" i="6"/>
  <c r="M63" i="6"/>
  <c r="N63" i="6"/>
  <c r="O63" i="6"/>
  <c r="P63" i="6"/>
  <c r="Q63" i="6"/>
  <c r="R63" i="6"/>
  <c r="S63" i="6"/>
  <c r="C22" i="6"/>
  <c r="D22" i="6"/>
  <c r="E22" i="6"/>
  <c r="F22" i="6"/>
  <c r="G22" i="6"/>
  <c r="H22" i="6"/>
  <c r="X47" i="10" a="1"/>
  <c r="X47" i="10"/>
  <c r="Y47" i="10" a="1"/>
  <c r="Y47" i="10"/>
  <c r="Z47" i="10" a="1"/>
  <c r="Z47" i="10"/>
  <c r="AA47" i="10" a="1"/>
  <c r="AA47" i="10"/>
  <c r="AB47" i="10" a="1"/>
  <c r="AB47" i="10"/>
  <c r="AC47" i="10" a="1"/>
  <c r="AC47" i="10"/>
  <c r="X47" i="11" a="1"/>
  <c r="X47" i="11"/>
  <c r="Y47" i="11" a="1"/>
  <c r="Y47" i="11"/>
  <c r="Z47" i="11" a="1"/>
  <c r="Z47" i="11"/>
  <c r="AA47" i="11" a="1"/>
  <c r="AA47" i="11"/>
  <c r="AB47" i="11" a="1"/>
  <c r="AB47" i="11"/>
  <c r="AC47" i="11" a="1"/>
  <c r="AC47" i="11"/>
  <c r="X47" i="12" a="1"/>
  <c r="X47" i="12"/>
  <c r="Y47" i="12" a="1"/>
  <c r="Y47" i="12"/>
  <c r="Z47" i="12" a="1"/>
  <c r="Z47" i="12"/>
  <c r="AA47" i="12" a="1"/>
  <c r="AA47" i="12"/>
  <c r="AB47" i="12" a="1"/>
  <c r="AB47" i="12"/>
  <c r="AC47" i="12" a="1"/>
  <c r="AC47" i="12"/>
</calcChain>
</file>

<file path=xl/sharedStrings.xml><?xml version="1.0" encoding="utf-8"?>
<sst xmlns="http://schemas.openxmlformats.org/spreadsheetml/2006/main" count="780" uniqueCount="552">
  <si>
    <t>xp</t>
  </si>
  <si>
    <t>A01Agric</t>
  </si>
  <si>
    <t>px</t>
  </si>
  <si>
    <t>nd</t>
  </si>
  <si>
    <t>pva</t>
  </si>
  <si>
    <t>kd</t>
  </si>
  <si>
    <t>rent</t>
  </si>
  <si>
    <t>lambdak</t>
  </si>
  <si>
    <t>ld</t>
  </si>
  <si>
    <t>wage</t>
  </si>
  <si>
    <t>xac</t>
  </si>
  <si>
    <t>eexp</t>
  </si>
  <si>
    <t>erxp</t>
  </si>
  <si>
    <t>xd</t>
  </si>
  <si>
    <t>xmt</t>
  </si>
  <si>
    <t>xet</t>
  </si>
  <si>
    <t>pa</t>
  </si>
  <si>
    <t>pd</t>
  </si>
  <si>
    <t>eft</t>
  </si>
  <si>
    <t>efi</t>
  </si>
  <si>
    <t>efh</t>
  </si>
  <si>
    <t>gdpmp</t>
  </si>
  <si>
    <t>rgdpmp</t>
  </si>
  <si>
    <t>pgdpmp</t>
  </si>
  <si>
    <t>tcons</t>
  </si>
  <si>
    <t>tgov</t>
  </si>
  <si>
    <t>tinv</t>
  </si>
  <si>
    <t>texp</t>
  </si>
  <si>
    <t>timp</t>
  </si>
  <si>
    <t>pcons</t>
  </si>
  <si>
    <t>gdpfc</t>
  </si>
  <si>
    <t>rgdpfc</t>
  </si>
  <si>
    <t>pgdpfc</t>
  </si>
  <si>
    <t>pk</t>
  </si>
  <si>
    <t>pland</t>
  </si>
  <si>
    <t>ggdp</t>
  </si>
  <si>
    <t>gl</t>
  </si>
  <si>
    <t>tary</t>
  </si>
  <si>
    <t>rtary</t>
  </si>
  <si>
    <t>tmadj</t>
  </si>
  <si>
    <t>gy</t>
  </si>
  <si>
    <t>gexp</t>
  </si>
  <si>
    <t>savg</t>
  </si>
  <si>
    <t>rsg</t>
  </si>
  <si>
    <t>gtrg</t>
  </si>
  <si>
    <t>plev</t>
  </si>
  <si>
    <t>taxadjh</t>
  </si>
  <si>
    <t>ky</t>
  </si>
  <si>
    <t>ty</t>
  </si>
  <si>
    <t>ry</t>
  </si>
  <si>
    <t>ly</t>
  </si>
  <si>
    <t>yh</t>
  </si>
  <si>
    <t>yd</t>
  </si>
  <si>
    <t>savh</t>
  </si>
  <si>
    <t>taxh</t>
  </si>
  <si>
    <t>fpi</t>
  </si>
  <si>
    <t>epi</t>
  </si>
  <si>
    <t>er</t>
  </si>
  <si>
    <t>savf</t>
  </si>
  <si>
    <t>xm</t>
  </si>
  <si>
    <t>xe</t>
  </si>
  <si>
    <t>pm</t>
  </si>
  <si>
    <t>pe</t>
  </si>
  <si>
    <t>tm</t>
  </si>
  <si>
    <t>Column Labels</t>
  </si>
  <si>
    <t>Grand Total</t>
  </si>
  <si>
    <t>Row Labels</t>
  </si>
  <si>
    <t>Sum of value</t>
  </si>
  <si>
    <t>pinc</t>
  </si>
  <si>
    <t>rgdp</t>
  </si>
  <si>
    <t>California Population</t>
  </si>
  <si>
    <t>California Labor Force</t>
  </si>
  <si>
    <t>California Total Wage and Salary</t>
  </si>
  <si>
    <t>Total Wages for Construction</t>
  </si>
  <si>
    <t>Total Wages for Manufacturing</t>
  </si>
  <si>
    <t>Employment for Construction</t>
  </si>
  <si>
    <t>Employment for Manufacturing</t>
  </si>
  <si>
    <t>Annual Average Wages for Construction</t>
  </si>
  <si>
    <t>Annual Average Wages for Manufacturing</t>
  </si>
  <si>
    <t>BEAR</t>
  </si>
  <si>
    <t>DOF</t>
  </si>
  <si>
    <t>A02Min</t>
  </si>
  <si>
    <t>A03Cons</t>
  </si>
  <si>
    <t>A04Manu</t>
  </si>
  <si>
    <t>A05TTU</t>
  </si>
  <si>
    <t>A06OInfo</t>
  </si>
  <si>
    <t>A07FinServ</t>
  </si>
  <si>
    <t>A08ProfServ</t>
  </si>
  <si>
    <t>A09EHServ</t>
  </si>
  <si>
    <t>A10Leisure</t>
  </si>
  <si>
    <t>A11OthSer</t>
  </si>
  <si>
    <t>A12Govt</t>
  </si>
  <si>
    <t>Employment</t>
  </si>
  <si>
    <t>Construction</t>
  </si>
  <si>
    <t>Manufacturing</t>
  </si>
  <si>
    <t>Other Services</t>
  </si>
  <si>
    <t>All Sectors</t>
  </si>
  <si>
    <t>Average Wage</t>
  </si>
  <si>
    <t>Sectors</t>
  </si>
  <si>
    <t>Agriculture</t>
  </si>
  <si>
    <t>Mining</t>
  </si>
  <si>
    <t>Trade, Transp, Utility</t>
  </si>
  <si>
    <t>Prof Services</t>
  </si>
  <si>
    <t>Entertainment and Hospitality</t>
  </si>
  <si>
    <t>Leisure</t>
  </si>
  <si>
    <t>Govt Services</t>
  </si>
  <si>
    <t>Financial Services</t>
  </si>
  <si>
    <t>ICT Services</t>
  </si>
  <si>
    <t>California Labor Force (millions)</t>
  </si>
  <si>
    <t>California Population (millions)</t>
  </si>
  <si>
    <t>Personal Income (trillions)</t>
  </si>
  <si>
    <t>California Total Wage and Salary (billions)</t>
  </si>
  <si>
    <t>year</t>
  </si>
  <si>
    <t>BAU</t>
  </si>
  <si>
    <t>ls</t>
  </si>
  <si>
    <t>ewage</t>
  </si>
  <si>
    <t>variable</t>
  </si>
  <si>
    <t>ch4</t>
  </si>
  <si>
    <t>co</t>
  </si>
  <si>
    <t>co2</t>
  </si>
  <si>
    <t>n2o</t>
  </si>
  <si>
    <t>nox</t>
  </si>
  <si>
    <t>pm10</t>
  </si>
  <si>
    <t>pm25</t>
  </si>
  <si>
    <t>sox</t>
  </si>
  <si>
    <t>voc</t>
  </si>
  <si>
    <t>Min of value</t>
  </si>
  <si>
    <t>Employment (FTE annual jobs)</t>
  </si>
  <si>
    <t>Marginal job cost (PINC/JOB)</t>
  </si>
  <si>
    <t>Changes</t>
  </si>
  <si>
    <t>Household CO2</t>
  </si>
  <si>
    <t>Industry CO2</t>
  </si>
  <si>
    <t>Total CO2</t>
  </si>
  <si>
    <t>Emissions (MT)</t>
  </si>
  <si>
    <t>EV Income Change Per HH Decile (need to divide by number of households)</t>
  </si>
  <si>
    <t>Total</t>
  </si>
  <si>
    <t>Household Relative EV Income Change (basis points), by Decile</t>
  </si>
  <si>
    <t>variables</t>
  </si>
  <si>
    <t>* ----- Producti</t>
  </si>
  <si>
    <t xml:space="preserve">   nd(i)        </t>
  </si>
  <si>
    <t xml:space="preserve">   va(i)        </t>
  </si>
  <si>
    <t xml:space="preserve">   px(i)        </t>
  </si>
  <si>
    <t xml:space="preserve">   pp(i)        </t>
  </si>
  <si>
    <t xml:space="preserve">   a(k,j)       </t>
  </si>
  <si>
    <t xml:space="preserve">   geg(k,j)     </t>
  </si>
  <si>
    <t xml:space="preserve">   xap(k,j)     </t>
  </si>
  <si>
    <t xml:space="preserve">   pnd(i)       </t>
  </si>
  <si>
    <t xml:space="preserve">   kl(i)        </t>
  </si>
  <si>
    <t xml:space="preserve">   ttd(i)       </t>
  </si>
  <si>
    <t xml:space="preserve">   rd(i)        </t>
  </si>
  <si>
    <t xml:space="preserve">   pva(i)       </t>
  </si>
  <si>
    <t xml:space="preserve">   usk(i)       </t>
  </si>
  <si>
    <t xml:space="preserve">   ksk(i)       </t>
  </si>
  <si>
    <t xml:space="preserve">   pkl(i)       </t>
  </si>
  <si>
    <t xml:space="preserve">   skl(i)       </t>
  </si>
  <si>
    <t xml:space="preserve">   ktd(i)       </t>
  </si>
  <si>
    <t xml:space="preserve">   pksk(i)      </t>
  </si>
  <si>
    <t xml:space="preserve">   ld(i,l)      </t>
  </si>
  <si>
    <t xml:space="preserve">   pusk(i)      </t>
  </si>
  <si>
    <t xml:space="preserve">   pskl(i)      </t>
  </si>
  <si>
    <t xml:space="preserve">   kd(i,kt)     </t>
  </si>
  <si>
    <t xml:space="preserve">   pktd(i)      </t>
  </si>
  <si>
    <t xml:space="preserve">   td(i,lt)     </t>
  </si>
  <si>
    <t xml:space="preserve">   pttd(i)      </t>
  </si>
  <si>
    <t xml:space="preserve">   xp(i)        </t>
  </si>
  <si>
    <t xml:space="preserve">   p(k)         </t>
  </si>
  <si>
    <t>* ----- Income b</t>
  </si>
  <si>
    <t xml:space="preserve">   ly(l)        </t>
  </si>
  <si>
    <t xml:space="preserve">   ky(kt)       </t>
  </si>
  <si>
    <t xml:space="preserve">   ltr(h)       </t>
  </si>
  <si>
    <t xml:space="preserve">   ktr(h)       </t>
  </si>
  <si>
    <t xml:space="preserve">   ty(lt)       </t>
  </si>
  <si>
    <t xml:space="preserve">   ry           </t>
  </si>
  <si>
    <t xml:space="preserve">   ktre(kt)     </t>
  </si>
  <si>
    <t xml:space="preserve">   ktrh(kt)     </t>
  </si>
  <si>
    <t xml:space="preserve">   ktrw(kt,r)   </t>
  </si>
  <si>
    <t xml:space="preserve">   cy(e)        </t>
  </si>
  <si>
    <t xml:space="preserve">   savc(e)      </t>
  </si>
  <si>
    <t xml:space="preserve">   ctrh(e)      </t>
  </si>
  <si>
    <t xml:space="preserve">   ctrw(e,r)    </t>
  </si>
  <si>
    <t xml:space="preserve">   yh(h)        </t>
  </si>
  <si>
    <t xml:space="preserve">   yd(h)        </t>
  </si>
  <si>
    <t xml:space="preserve">   htr(h)       </t>
  </si>
  <si>
    <t xml:space="preserve">   htrh(h,hh)   </t>
  </si>
  <si>
    <t xml:space="preserve">   htrw(h,r)    </t>
  </si>
  <si>
    <t>* ----- Demand b</t>
  </si>
  <si>
    <t xml:space="preserve">   mu(k,h)      </t>
  </si>
  <si>
    <t xml:space="preserve">   gce(k,h)     </t>
  </si>
  <si>
    <t xml:space="preserve">   xac(k,h)     </t>
  </si>
  <si>
    <t xml:space="preserve">   savh(h)      </t>
  </si>
  <si>
    <t xml:space="preserve">   cpi(h)       </t>
  </si>
  <si>
    <t xml:space="preserve">   fpi(h)       </t>
  </si>
  <si>
    <t xml:space="preserve">   epi(h)       </t>
  </si>
  <si>
    <t xml:space="preserve">   eexp(k,h)</t>
  </si>
  <si>
    <t xml:space="preserve">   xaf(k,f)     </t>
  </si>
  <si>
    <t xml:space="preserve">   pf(f)        </t>
  </si>
  <si>
    <t xml:space="preserve">   yf(f)        </t>
  </si>
  <si>
    <t>* ----- Trade bl</t>
  </si>
  <si>
    <t xml:space="preserve">   xa(k)        </t>
  </si>
  <si>
    <t xml:space="preserve">   xdd(k)       </t>
  </si>
  <si>
    <t xml:space="preserve">   xmt(k)       </t>
  </si>
  <si>
    <t xml:space="preserve">   pa(k)        </t>
  </si>
  <si>
    <t xml:space="preserve">   pm(k,r)      </t>
  </si>
  <si>
    <t xml:space="preserve">   xm(k,r)      </t>
  </si>
  <si>
    <t xml:space="preserve">   pmt(k)       </t>
  </si>
  <si>
    <t xml:space="preserve">   pe(k,r)      </t>
  </si>
  <si>
    <t xml:space="preserve">   xds(k)       </t>
  </si>
  <si>
    <t xml:space="preserve">   xet(k)       </t>
  </si>
  <si>
    <t xml:space="preserve">   x(k)         </t>
  </si>
  <si>
    <t xml:space="preserve">   xe(k,r)      </t>
  </si>
  <si>
    <t xml:space="preserve">   pet(k)       </t>
  </si>
  <si>
    <t xml:space="preserve">   ed(k,r)      </t>
  </si>
  <si>
    <t>* ----- Domestic</t>
  </si>
  <si>
    <t xml:space="preserve">   ytmg(kk,mg)  </t>
  </si>
  <si>
    <t xml:space="preserve">   xtmg(kk,mg)  </t>
  </si>
  <si>
    <t xml:space="preserve">   xamg(k,kk,mg)</t>
  </si>
  <si>
    <t xml:space="preserve">   ptmg(kk,mg)  </t>
  </si>
  <si>
    <t>* ----- Goods ma</t>
  </si>
  <si>
    <t xml:space="preserve">   pd(k)        </t>
  </si>
  <si>
    <t xml:space="preserve">   wpe(k,r)     </t>
  </si>
  <si>
    <t>* ----- Governme</t>
  </si>
  <si>
    <t xml:space="preserve">   tary(g)      </t>
  </si>
  <si>
    <t xml:space="preserve">   rtary(g)     </t>
  </si>
  <si>
    <t xml:space="preserve">   gy(g)        </t>
  </si>
  <si>
    <t xml:space="preserve">   gexp(g)      </t>
  </si>
  <si>
    <t xml:space="preserve">   savg(g)      </t>
  </si>
  <si>
    <t xml:space="preserve">   taxadjh(g)   </t>
  </si>
  <si>
    <t xml:space="preserve">   gtrg(g,gg)   </t>
  </si>
  <si>
    <t>* ----- Closure</t>
  </si>
  <si>
    <t xml:space="preserve">   xf(f)        </t>
  </si>
  <si>
    <t xml:space="preserve">   plev         </t>
  </si>
  <si>
    <t>* ----- Factor b</t>
  </si>
  <si>
    <t xml:space="preserve">   ls(l,gz)     </t>
  </si>
  <si>
    <t xml:space="preserve">   ewage(l,gz)  </t>
  </si>
  <si>
    <t xml:space="preserve">   wage(i,l)    </t>
  </si>
  <si>
    <t>* ----- Migratio</t>
  </si>
  <si>
    <t xml:space="preserve">   migr(l)      </t>
  </si>
  <si>
    <t xml:space="preserve">   awage(l,gz)  </t>
  </si>
  <si>
    <t xml:space="preserve">   tks(kt)      </t>
  </si>
  <si>
    <t xml:space="preserve">   pk           </t>
  </si>
  <si>
    <t xml:space="preserve">   ptks(kt)     </t>
  </si>
  <si>
    <t xml:space="preserve">   ks(i,kt)     </t>
  </si>
  <si>
    <t xml:space="preserve">   rent(i,kt)   </t>
  </si>
  <si>
    <t xml:space="preserve">   tts(lt)      </t>
  </si>
  <si>
    <t xml:space="preserve">   pland        </t>
  </si>
  <si>
    <t xml:space="preserve">   ts(i,lt)     </t>
  </si>
  <si>
    <t xml:space="preserve">   ptts(lt)     </t>
  </si>
  <si>
    <t xml:space="preserve">   pt(i,lt)     </t>
  </si>
  <si>
    <t xml:space="preserve">   rs(i)        </t>
  </si>
  <si>
    <t xml:space="preserve">   pr(i)        </t>
  </si>
  <si>
    <t>* ----- Macro va</t>
  </si>
  <si>
    <t xml:space="preserve">   gdpmp        </t>
  </si>
  <si>
    <t xml:space="preserve">   rgdpmp       </t>
  </si>
  <si>
    <t xml:space="preserve">   pgdpmp       </t>
  </si>
  <si>
    <t xml:space="preserve">   gdpfc        </t>
  </si>
  <si>
    <t xml:space="preserve">   rgdpfc       </t>
  </si>
  <si>
    <t xml:space="preserve">   pgdpfc       </t>
  </si>
  <si>
    <t>* ----- Growth v</t>
  </si>
  <si>
    <t xml:space="preserve">   ggdp         </t>
  </si>
  <si>
    <t xml:space="preserve">   lambdal(i,l) </t>
  </si>
  <si>
    <t>* ----- Growth f</t>
  </si>
  <si>
    <t xml:space="preserve">   gl           </t>
  </si>
  <si>
    <t xml:space="preserve">   lambdak(i,kt)</t>
  </si>
  <si>
    <t xml:space="preserve">   lambdat(i,lt)</t>
  </si>
  <si>
    <t xml:space="preserve">   lambdar(i)   </t>
  </si>
  <si>
    <t xml:space="preserve">   ksup         </t>
  </si>
  <si>
    <t xml:space="preserve">   tk           </t>
  </si>
  <si>
    <t xml:space="preserve">   land         </t>
  </si>
  <si>
    <t xml:space="preserve">   pop(h)       </t>
  </si>
  <si>
    <t xml:space="preserve">   glab(l,gz)   </t>
  </si>
  <si>
    <t>* ----- Trade pr</t>
  </si>
  <si>
    <t xml:space="preserve">   wpm(k,r)     </t>
  </si>
  <si>
    <t xml:space="preserve">   wpendx(k,r)  </t>
  </si>
  <si>
    <t xml:space="preserve">   er(r)        </t>
  </si>
  <si>
    <t>* ----- Policy v</t>
  </si>
  <si>
    <t xml:space="preserve">   rsg(g)       </t>
  </si>
  <si>
    <t xml:space="preserve">   tp(i,g)      </t>
  </si>
  <si>
    <t xml:space="preserve">   tcp(k,j,g)   </t>
  </si>
  <si>
    <t xml:space="preserve">   tcc(k,h,g)   </t>
  </si>
  <si>
    <t xml:space="preserve">   tcf(k,f,g)   </t>
  </si>
  <si>
    <t xml:space="preserve">   kappah(h,g)  </t>
  </si>
  <si>
    <t xml:space="preserve">   gtrh(h,g)    </t>
  </si>
  <si>
    <t xml:space="preserve">   gtrl(l,g)    </t>
  </si>
  <si>
    <t xml:space="preserve">   gtrk(kt,g)   </t>
  </si>
  <si>
    <t xml:space="preserve">   kappac(e,g)  </t>
  </si>
  <si>
    <t xml:space="preserve">   gtre(e,g)</t>
  </si>
  <si>
    <t xml:space="preserve">   tmadj(g)</t>
  </si>
  <si>
    <t xml:space="preserve">   tm(k,r,g)    </t>
  </si>
  <si>
    <t xml:space="preserve">   te(k,r,g)    </t>
  </si>
  <si>
    <t xml:space="preserve">   tfl(j,l,g)   </t>
  </si>
  <si>
    <t xml:space="preserve">   tfk(j,kt,g)  </t>
  </si>
  <si>
    <t xml:space="preserve">   tft(j,lt,g)  </t>
  </si>
  <si>
    <t xml:space="preserve">   the(k,g)     </t>
  </si>
  <si>
    <t xml:space="preserve">   tfr(j,g)     </t>
  </si>
  <si>
    <t xml:space="preserve">   sfr(j,g)     </t>
  </si>
  <si>
    <t>* ----- Miscella</t>
  </si>
  <si>
    <t xml:space="preserve">   wtrh(h,r)    </t>
  </si>
  <si>
    <t xml:space="preserve">   wtrg(r,g)    </t>
  </si>
  <si>
    <t xml:space="preserve">   gtrw(r,g)    </t>
  </si>
  <si>
    <t xml:space="preserve">   savf(r)      </t>
  </si>
  <si>
    <t xml:space="preserve">   csavrate(e)  </t>
  </si>
  <si>
    <t xml:space="preserve">   tmg(k,mg)    </t>
  </si>
  <si>
    <t>* ----- pollutio</t>
  </si>
  <si>
    <t xml:space="preserve">   efcap(ef) uni</t>
  </si>
  <si>
    <t xml:space="preserve">   efi(ef,i)    </t>
  </si>
  <si>
    <t xml:space="preserve">   efh(ef,h)    </t>
  </si>
  <si>
    <t xml:space="preserve">   efkh(ef,k,h) </t>
  </si>
  <si>
    <t xml:space="preserve">   eft(ef)      </t>
  </si>
  <si>
    <t xml:space="preserve">   efcap(ef) cap</t>
  </si>
  <si>
    <t xml:space="preserve">   efd(ef,i,k)  </t>
  </si>
  <si>
    <t xml:space="preserve">   tef(ef,i,g)  </t>
  </si>
  <si>
    <t xml:space="preserve">   pef(ef,i)    </t>
  </si>
  <si>
    <t xml:space="preserve">   cef(ef,i)    </t>
  </si>
  <si>
    <t xml:space="preserve">   tefx(ef,i,g) </t>
  </si>
  <si>
    <t xml:space="preserve">   pefx(ef,i)   </t>
  </si>
  <si>
    <t xml:space="preserve">   cefx(ef,i)   </t>
  </si>
  <si>
    <t xml:space="preserve">   utef(ef)     </t>
  </si>
  <si>
    <t xml:space="preserve">   lambdae(ef,i)</t>
  </si>
  <si>
    <t xml:space="preserve">   lambdac(ef,k,</t>
  </si>
  <si>
    <t xml:space="preserve">   mue(ef)      </t>
  </si>
  <si>
    <t xml:space="preserve">   efcap(ef)    </t>
  </si>
  <si>
    <t>on block</t>
  </si>
  <si>
    <t>Demand for aggregate intermediates</t>
  </si>
  <si>
    <t>Demand for aggregate value added</t>
  </si>
  <si>
    <t>Unit cost</t>
  </si>
  <si>
    <t>Producer price</t>
  </si>
  <si>
    <t xml:space="preserve"> Input output coefficients</t>
  </si>
  <si>
    <t>Growth rate of electricity and gas use</t>
  </si>
  <si>
    <t>Demand for intermediate goods</t>
  </si>
  <si>
    <t>Price of aggregate intermediate demand</t>
  </si>
  <si>
    <t>Demand for KL bundle</t>
  </si>
  <si>
    <t>Aggregate sectoral demand for land</t>
  </si>
  <si>
    <t>Demand for the natural resource</t>
  </si>
  <si>
    <t>Price of aggregate value added</t>
  </si>
  <si>
    <t>Demand for aggregate unskilled labor</t>
  </si>
  <si>
    <t>Demand for capital skilled labor bundle</t>
  </si>
  <si>
    <t>Price of KL bundle</t>
  </si>
  <si>
    <t>Demand for aggregate skilled labor</t>
  </si>
  <si>
    <t>Aggregate sectoral capital demand</t>
  </si>
  <si>
    <t>Price of KS bundle</t>
  </si>
  <si>
    <t>Demand for labor by skill</t>
  </si>
  <si>
    <t>Price of aggregate unskilled labor bundle</t>
  </si>
  <si>
    <t>Price of skilled labor bundle</t>
  </si>
  <si>
    <t>Demand for capital</t>
  </si>
  <si>
    <t>Sectoral price of aggregate capital</t>
  </si>
  <si>
    <t>Demand for land</t>
  </si>
  <si>
    <t>Sectoral price of aggregate land</t>
  </si>
  <si>
    <t>Production level</t>
  </si>
  <si>
    <t>Aggregate commodity price</t>
  </si>
  <si>
    <t>lock</t>
  </si>
  <si>
    <t>Aggregate labor income</t>
  </si>
  <si>
    <t>Aggregate capital income</t>
  </si>
  <si>
    <t>Total labor transfers</t>
  </si>
  <si>
    <t>Total capital transfers</t>
  </si>
  <si>
    <t>Land income</t>
  </si>
  <si>
    <t>Aggregate income from sector specific factor</t>
  </si>
  <si>
    <t>Capital income transferred to enterprises</t>
  </si>
  <si>
    <t>Capital income transferred to households</t>
  </si>
  <si>
    <t>Aggregate corporate income</t>
  </si>
  <si>
    <t>Corporate savings</t>
  </si>
  <si>
    <t>Corporate income transferred to households</t>
  </si>
  <si>
    <t>Total income</t>
  </si>
  <si>
    <t>Disposable income</t>
  </si>
  <si>
    <t>Total household transfers</t>
  </si>
  <si>
    <t>Intra household transfers</t>
  </si>
  <si>
    <t>Marginal propensity to consume</t>
  </si>
  <si>
    <t>Growth rate of electricity and gas consumption</t>
  </si>
  <si>
    <t>Household demand for goods and services</t>
  </si>
  <si>
    <t>Household savings</t>
  </si>
  <si>
    <t>Consumer price deflator</t>
  </si>
  <si>
    <t xml:space="preserve"> Initial household food price index</t>
  </si>
  <si>
    <t xml:space="preserve"> Initial household energy price index</t>
  </si>
  <si>
    <t>alue of energy expenditure by source and household</t>
  </si>
  <si>
    <t>Other final demand accounts</t>
  </si>
  <si>
    <t>Final demand expenditure deflator</t>
  </si>
  <si>
    <t>Final demand aggregate value</t>
  </si>
  <si>
    <t>ock</t>
  </si>
  <si>
    <t>Aggregate Armington demand</t>
  </si>
  <si>
    <t>Domestic demand for domestic output</t>
  </si>
  <si>
    <t>Aggregate sectoral import demand</t>
  </si>
  <si>
    <t>Armington price inclusive of margins</t>
  </si>
  <si>
    <t>Import price by region inclusive of tariffs</t>
  </si>
  <si>
    <t>Import demand by region of origin</t>
  </si>
  <si>
    <t>Aggregate import price</t>
  </si>
  <si>
    <t>Export producer price by region</t>
  </si>
  <si>
    <t>Export supply</t>
  </si>
  <si>
    <t>Aggregate CET volume</t>
  </si>
  <si>
    <t>Aggregate commodity supply</t>
  </si>
  <si>
    <t>Export volumes by region of destination</t>
  </si>
  <si>
    <t>Aggregate export price</t>
  </si>
  <si>
    <t>Export demand</t>
  </si>
  <si>
    <t xml:space="preserve"> trade and transport margins</t>
  </si>
  <si>
    <t>rket equilibrium</t>
  </si>
  <si>
    <t>Domestic price of domestic output</t>
  </si>
  <si>
    <t>World export price in international currency terms</t>
  </si>
  <si>
    <t>nt accounts</t>
  </si>
  <si>
    <t xml:space="preserve"> Intergovernmental transfers</t>
  </si>
  <si>
    <t>Final demand aggregate volume</t>
  </si>
  <si>
    <t>Domestic price level</t>
  </si>
  <si>
    <t>n variables</t>
  </si>
  <si>
    <t>riables</t>
  </si>
  <si>
    <t>GDP at market price</t>
  </si>
  <si>
    <t>Real GDP at market price</t>
  </si>
  <si>
    <t>GDP at market price deflator</t>
  </si>
  <si>
    <t>GDP at factor cost</t>
  </si>
  <si>
    <t>Real GDP at factor cost</t>
  </si>
  <si>
    <t>GDP at factor cost deflator</t>
  </si>
  <si>
    <t>ariables</t>
  </si>
  <si>
    <t xml:space="preserve"> GDP growth rate</t>
  </si>
  <si>
    <t xml:space="preserve"> Labor productivity</t>
  </si>
  <si>
    <t>actors</t>
  </si>
  <si>
    <t xml:space="preserve"> Labor productivity growth rate</t>
  </si>
  <si>
    <t xml:space="preserve"> Capital productivity</t>
  </si>
  <si>
    <t xml:space="preserve"> Land productivity</t>
  </si>
  <si>
    <t xml:space="preserve"> Natural resource productivity</t>
  </si>
  <si>
    <t xml:space="preserve"> Aggregate normalized capital supply</t>
  </si>
  <si>
    <t xml:space="preserve"> Aggregate non normalized capital supply</t>
  </si>
  <si>
    <t xml:space="preserve"> Aggregate land supply</t>
  </si>
  <si>
    <t xml:space="preserve"> Population</t>
  </si>
  <si>
    <t xml:space="preserve"> Labor force growth rate by zone</t>
  </si>
  <si>
    <t>ices</t>
  </si>
  <si>
    <t>World import price in international currency terms</t>
  </si>
  <si>
    <t>Export price index</t>
  </si>
  <si>
    <t>overnment transfers to enterprises</t>
  </si>
  <si>
    <t>Tariff uniform adjustment factor</t>
  </si>
  <si>
    <t>neous variables</t>
  </si>
  <si>
    <t>Corporate savings rate</t>
  </si>
  <si>
    <t>Domestic trading margins</t>
  </si>
  <si>
    <t>n items</t>
  </si>
  <si>
    <t>form effluent specific sectoral tax</t>
  </si>
  <si>
    <t xml:space="preserve"> on restricted sectors</t>
  </si>
  <si>
    <t>price of effluent abatement or diversion</t>
  </si>
  <si>
    <t>cost of effluent abatement or diversion</t>
  </si>
  <si>
    <t>price of effluent abatement or diversion in output units</t>
  </si>
  <si>
    <t>cost of effluent abatement or diversion in output units</t>
  </si>
  <si>
    <t>Capital income transferred to ROW</t>
  </si>
  <si>
    <t>Corporate income transferred to ROW</t>
  </si>
  <si>
    <t>Household transfers to rest of world</t>
  </si>
  <si>
    <t>Personal income</t>
  </si>
  <si>
    <t>Aggregate value of trade and transport services</t>
  </si>
  <si>
    <t>Aggregate demand for trade and transport services</t>
  </si>
  <si>
    <t>Demand for trade and transport services</t>
  </si>
  <si>
    <t>Aggregate price of trade and transport services</t>
  </si>
  <si>
    <t xml:space="preserve"> Tariff revenues</t>
  </si>
  <si>
    <t xml:space="preserve"> Real tariff revenues</t>
  </si>
  <si>
    <t xml:space="preserve"> Government revenues</t>
  </si>
  <si>
    <t xml:space="preserve"> Government expenditures</t>
  </si>
  <si>
    <t xml:space="preserve"> Government savings</t>
  </si>
  <si>
    <t xml:space="preserve"> Tax adjustment factor</t>
  </si>
  <si>
    <t>Aggregate labor supply by category</t>
  </si>
  <si>
    <t>Equilibrium wage rate</t>
  </si>
  <si>
    <t>Sectoral wage by skill level</t>
  </si>
  <si>
    <t>Rural to urban migration</t>
  </si>
  <si>
    <t>Average wage by zone</t>
  </si>
  <si>
    <t>Aggregate capital stock</t>
  </si>
  <si>
    <t>Aggregate rate of return to capital</t>
  </si>
  <si>
    <t>Sectoral capital supply</t>
  </si>
  <si>
    <t>Rate of return for capital</t>
  </si>
  <si>
    <t>Land supply by type</t>
  </si>
  <si>
    <t>Aggregate price of land</t>
  </si>
  <si>
    <t>Land supply by type and sector</t>
  </si>
  <si>
    <t>Price of land by type</t>
  </si>
  <si>
    <t>Price of land</t>
  </si>
  <si>
    <t>Supply of sector specific resource</t>
  </si>
  <si>
    <t>Price of natural resource</t>
  </si>
  <si>
    <t xml:space="preserve"> Exchange rate</t>
  </si>
  <si>
    <t xml:space="preserve"> Real government savings</t>
  </si>
  <si>
    <t>Production tax</t>
  </si>
  <si>
    <t>Indirect taxes on intermediate consumption</t>
  </si>
  <si>
    <t>Indirect taxes on household consumption</t>
  </si>
  <si>
    <t>Indirect taxes on other final demand</t>
  </si>
  <si>
    <t>Income tax rate</t>
  </si>
  <si>
    <t>Government transfers to households</t>
  </si>
  <si>
    <t>Government transfers to labor</t>
  </si>
  <si>
    <t xml:space="preserve"> Government transfers to capital</t>
  </si>
  <si>
    <t xml:space="preserve"> Corporate tax rate</t>
  </si>
  <si>
    <t>Tariff rates</t>
  </si>
  <si>
    <t>Export tax rates</t>
  </si>
  <si>
    <t>Labor tax</t>
  </si>
  <si>
    <t>Capital tax</t>
  </si>
  <si>
    <t>Land tax</t>
  </si>
  <si>
    <t xml:space="preserve"> Initial tax on household emissions</t>
  </si>
  <si>
    <t>Tax on sector specific resource</t>
  </si>
  <si>
    <t>Subsidy on sector specific resource for revenue recycling</t>
  </si>
  <si>
    <t>Remittances to households from abroad</t>
  </si>
  <si>
    <t xml:space="preserve"> Transfers to government from rest of the world</t>
  </si>
  <si>
    <t xml:space="preserve"> Government transfers to rest of the world</t>
  </si>
  <si>
    <t xml:space="preserve"> Foreign investment inflows</t>
  </si>
  <si>
    <t xml:space="preserve">sectoral emissions </t>
  </si>
  <si>
    <t xml:space="preserve">household emissions </t>
  </si>
  <si>
    <t>household emissions by commmodity</t>
  </si>
  <si>
    <t xml:space="preserve">economywide emissions </t>
  </si>
  <si>
    <t>initial demand for abatement service or effluent derivatives</t>
  </si>
  <si>
    <t>effluent tax by industry and pollutant</t>
  </si>
  <si>
    <t>effluent tax by industry and pollutant in output units</t>
  </si>
  <si>
    <t>uniform sectoral effluent tax</t>
  </si>
  <si>
    <t>effluent rate per unit of output</t>
  </si>
  <si>
    <t>h)effluent rate per unit of consumption</t>
  </si>
  <si>
    <t>aggregate emission calibration</t>
  </si>
  <si>
    <t>uniform effluent specific sectoral tax</t>
  </si>
  <si>
    <t xml:space="preserve"> agrofood price index</t>
  </si>
  <si>
    <t xml:space="preserve"> energy price index</t>
  </si>
  <si>
    <t>Value of energy expenditure by source and household</t>
  </si>
  <si>
    <t>Real Output</t>
  </si>
  <si>
    <t>Changes in Basis Points</t>
  </si>
  <si>
    <t>GSP at Factor Cost</t>
  </si>
  <si>
    <t>GSP at Factor Cost (millions)</t>
  </si>
  <si>
    <t>Real Investment</t>
  </si>
  <si>
    <t>AgFFF</t>
  </si>
  <si>
    <t>Coal</t>
  </si>
  <si>
    <t>OilGas</t>
  </si>
  <si>
    <t>MetMin</t>
  </si>
  <si>
    <t>NMetMin</t>
  </si>
  <si>
    <t>FoodPr</t>
  </si>
  <si>
    <t>Textile</t>
  </si>
  <si>
    <t>Apparel</t>
  </si>
  <si>
    <t>WoodPr</t>
  </si>
  <si>
    <t>PaperPr</t>
  </si>
  <si>
    <t>RefPet</t>
  </si>
  <si>
    <t>Chemical</t>
  </si>
  <si>
    <t>NMetPr</t>
  </si>
  <si>
    <t>Metals</t>
  </si>
  <si>
    <t>MetalPr</t>
  </si>
  <si>
    <t>GenEqp</t>
  </si>
  <si>
    <t>SpecEqp</t>
  </si>
  <si>
    <t>TransEqp</t>
  </si>
  <si>
    <t>ElecEqp</t>
  </si>
  <si>
    <t>ICTEqp</t>
  </si>
  <si>
    <t>PrecInst</t>
  </si>
  <si>
    <t>OthMfg</t>
  </si>
  <si>
    <t>Waste</t>
  </si>
  <si>
    <t>MachRep</t>
  </si>
  <si>
    <t>ElecDist</t>
  </si>
  <si>
    <t>GasDist</t>
  </si>
  <si>
    <t>WatDist</t>
  </si>
  <si>
    <t>Constr</t>
  </si>
  <si>
    <t>WhRetTr</t>
  </si>
  <si>
    <t>TranspSrv</t>
  </si>
  <si>
    <t>HotRest</t>
  </si>
  <si>
    <t>ICTServ</t>
  </si>
  <si>
    <t>Finance</t>
  </si>
  <si>
    <t>RealEst</t>
  </si>
  <si>
    <t>BusServe</t>
  </si>
  <si>
    <t>ResTech</t>
  </si>
  <si>
    <t>EnvServ</t>
  </si>
  <si>
    <t>ResServ</t>
  </si>
  <si>
    <t>Education</t>
  </si>
  <si>
    <t>Health</t>
  </si>
  <si>
    <t>RecEnt</t>
  </si>
  <si>
    <t>PubAdm</t>
  </si>
  <si>
    <t>HHRural</t>
  </si>
  <si>
    <t>HHUrban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</si>
</sst>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  <numFmt numFmtId="166" formatCode="0.000"/>
    <numFmt numFmtId="167" formatCode="_(&quot;$&quot;* #,##0_);_(&quot;$&quot;* \(#,##0\);_(&quot;$&quot;* &quot;-&quot;??_);_(@_)"/>
    <numFmt numFmtId="168" formatCode="0.00000"/>
    <numFmt numFmtId="169" formatCode="0.0E+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name val="Arial Rounded MT Bold"/>
      <family val="2"/>
    </font>
    <font>
      <sz val="10"/>
      <color theme="1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5" fillId="0" borderId="0"/>
    <xf numFmtId="0" fontId="3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2" fillId="0" borderId="0" xfId="1" applyNumberFormat="1" applyFont="1" applyFill="1" applyBorder="1" applyAlignment="1">
      <alignment horizontal="right" vertical="center"/>
    </xf>
    <xf numFmtId="164" fontId="0" fillId="0" borderId="0" xfId="0" applyNumberFormat="1"/>
    <xf numFmtId="3" fontId="3" fillId="0" borderId="0" xfId="1" applyNumberFormat="1" applyFont="1" applyBorder="1"/>
    <xf numFmtId="43" fontId="2" fillId="0" borderId="0" xfId="1" applyFont="1" applyFill="1" applyBorder="1" applyAlignment="1">
      <alignment horizontal="right" vertical="center"/>
    </xf>
    <xf numFmtId="43" fontId="0" fillId="0" borderId="0" xfId="1" applyFont="1"/>
    <xf numFmtId="165" fontId="3" fillId="0" borderId="0" xfId="1" applyNumberFormat="1" applyFont="1" applyBorder="1"/>
    <xf numFmtId="1" fontId="0" fillId="0" borderId="0" xfId="0" applyNumberFormat="1"/>
    <xf numFmtId="1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2" fontId="0" fillId="0" borderId="0" xfId="1" applyNumberFormat="1" applyFont="1"/>
    <xf numFmtId="165" fontId="0" fillId="0" borderId="0" xfId="1" applyNumberFormat="1" applyFont="1"/>
    <xf numFmtId="0" fontId="0" fillId="0" borderId="0" xfId="0" applyAlignment="1">
      <alignment horizontal="left" indent="1"/>
    </xf>
    <xf numFmtId="168" fontId="0" fillId="0" borderId="0" xfId="0" applyNumberFormat="1"/>
    <xf numFmtId="0" fontId="0" fillId="0" borderId="0" xfId="0" applyAlignment="1">
      <alignment horizontal="right"/>
    </xf>
    <xf numFmtId="169" fontId="0" fillId="0" borderId="0" xfId="0" applyNumberFormat="1"/>
    <xf numFmtId="43" fontId="0" fillId="0" borderId="0" xfId="1" applyNumberFormat="1" applyFont="1"/>
    <xf numFmtId="2" fontId="0" fillId="0" borderId="0" xfId="0" applyNumberFormat="1"/>
  </cellXfs>
  <cellStyles count="10">
    <cellStyle name="Comma" xfId="1" builtinId="3"/>
    <cellStyle name="Comma 2" xfId="3"/>
    <cellStyle name="Currency" xfId="2" builtinId="4"/>
    <cellStyle name="Followed Hyperlink" xfId="9" builtinId="9" hidden="1"/>
    <cellStyle name="Hyperlink" xfId="8" builtinId="8" hidden="1"/>
    <cellStyle name="Normal" xfId="0" builtinId="0"/>
    <cellStyle name="Normal 2" xfId="4"/>
    <cellStyle name="Normal 3" xfId="5"/>
    <cellStyle name="Normal 4" xfId="6"/>
    <cellStyle name="Percent 2" xfId="7"/>
  </cellStyles>
  <dxfs count="9">
    <dxf>
      <numFmt numFmtId="168" formatCode="0.00000"/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5" formatCode="0.00E+00"/>
    </dxf>
    <dxf>
      <numFmt numFmtId="169" formatCode="0.0E+00"/>
    </dxf>
    <dxf>
      <fill>
        <patternFill patternType="solid">
          <bgColor rgb="FFFFFF00"/>
        </patternFill>
      </fill>
    </dxf>
    <dxf>
      <numFmt numFmtId="169" formatCode="0.0E+00"/>
    </dxf>
    <dxf>
      <numFmt numFmtId="168" formatCode="0.0000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Relationship Id="rId3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Relationship Id="rId3" Type="http://schemas.openxmlformats.org/officeDocument/2006/relationships/themeOverride" Target="../theme/themeOverride2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Relationship Id="rId3" Type="http://schemas.openxmlformats.org/officeDocument/2006/relationships/themeOverride" Target="../theme/themeOverride3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Relationship Id="rId3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Relationship Id="rId3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HHPct!$O$5</c:f>
          <c:strCache>
            <c:ptCount val="1"/>
            <c:pt idx="0">
              <c:v>EV Income Change Per HH Decile (need to divide by number of households)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HHPct!$P$6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HHPct!$P$7:$P$16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1"/>
          <c:order val="1"/>
          <c:tx>
            <c:strRef>
              <c:f>HHPct!$Q$6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HHPct!$Q$7:$Q$16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2"/>
          <c:order val="2"/>
          <c:tx>
            <c:strRef>
              <c:f>HHPct!$R$6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HHPct!$R$7:$R$16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3"/>
          <c:order val="3"/>
          <c:tx>
            <c:strRef>
              <c:f>HHPct!$S$6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HHPct!$S$7:$S$16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4"/>
          <c:order val="4"/>
          <c:tx>
            <c:strRef>
              <c:f>HHPct!$T$6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HHPct!$T$7:$T$16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5"/>
          <c:order val="5"/>
          <c:tx>
            <c:strRef>
              <c:f>HHPct!$U$6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HHPct!$U$7:$U$16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6"/>
          <c:order val="6"/>
          <c:tx>
            <c:strRef>
              <c:f>HHPct!$V$6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HHPct!$V$7:$V$16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7"/>
          <c:order val="7"/>
          <c:tx>
            <c:strRef>
              <c:f>HHPct!$W$6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HHPct!$W$7:$W$16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8"/>
          <c:order val="8"/>
          <c:tx>
            <c:strRef>
              <c:f>HHPct!$X$6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HHPct!$O$7:$O$16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HHPct!$X$7:$X$16</c:f>
              <c:numCache>
                <c:formatCode>_(* #,##0_);_(* \(#,##0\);_(*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6"/>
        <c:axId val="-2106085408"/>
        <c:axId val="1858669632"/>
      </c:barChart>
      <c:catAx>
        <c:axId val="-21060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69632"/>
        <c:crosses val="autoZero"/>
        <c:auto val="1"/>
        <c:lblAlgn val="ctr"/>
        <c:lblOffset val="100"/>
        <c:noMultiLvlLbl val="0"/>
      </c:catAx>
      <c:valAx>
        <c:axId val="18586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608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HHPct!$O$20</c:f>
          <c:strCache>
            <c:ptCount val="1"/>
            <c:pt idx="0">
              <c:v>Household Relative EV Income Change (basis points), by Decile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558045889425112"/>
          <c:y val="0.157345794392523"/>
          <c:w val="0.905485733638134"/>
          <c:h val="0.6573331370961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HHPct!$P$21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HHPct!$P$22:$P$31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1"/>
          <c:order val="1"/>
          <c:tx>
            <c:strRef>
              <c:f>HHPct!$Q$21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HHPct!$Q$22:$Q$31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2"/>
          <c:order val="2"/>
          <c:tx>
            <c:strRef>
              <c:f>HHPct!$R$21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HHPct!$R$22:$R$31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3"/>
          <c:order val="3"/>
          <c:tx>
            <c:strRef>
              <c:f>HHPct!$S$21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HHPct!$S$22:$S$31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4"/>
          <c:order val="4"/>
          <c:tx>
            <c:strRef>
              <c:f>HHPct!$T$21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HHPct!$T$22:$T$31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5"/>
          <c:order val="5"/>
          <c:tx>
            <c:strRef>
              <c:f>HHPct!$U$21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HHPct!$U$22:$U$31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6"/>
          <c:order val="6"/>
          <c:tx>
            <c:strRef>
              <c:f>HHPct!$V$21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HHPct!$V$22:$V$31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7"/>
          <c:order val="7"/>
          <c:tx>
            <c:strRef>
              <c:f>HHPct!$W$21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HHPct!$W$22:$W$31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ser>
          <c:idx val="8"/>
          <c:order val="8"/>
          <c:tx>
            <c:strRef>
              <c:f>HHPct!$X$21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HHPct!$O$22:$O$31</c:f>
              <c:strCache>
                <c:ptCount val="10"/>
                <c:pt idx="0">
                  <c:v>HHRural</c:v>
                </c:pt>
                <c:pt idx="1">
                  <c:v>HHUrban</c:v>
                </c:pt>
                <c:pt idx="2">
                  <c:v>Grand Total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HHPct!$X$22:$X$31</c:f>
              <c:numCache>
                <c:formatCode>_(* #,##0.00_);_(* \(#,##0.00\);_(* "-"??_);_(@_)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-2"/>
        <c:axId val="1981103296"/>
        <c:axId val="1981105312"/>
      </c:barChart>
      <c:catAx>
        <c:axId val="19811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05312"/>
        <c:crosses val="autoZero"/>
        <c:auto val="1"/>
        <c:lblAlgn val="ctr"/>
        <c:lblOffset val="100"/>
        <c:noMultiLvlLbl val="0"/>
      </c:catAx>
      <c:valAx>
        <c:axId val="198110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0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Projections!$B$2</c:f>
          <c:strCache>
            <c:ptCount val="1"/>
            <c:pt idx="0">
              <c:v>California Total Wage and Salary (billions)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Projections!$B$3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Projections!$C$2:$T$2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Projections!$C$3:$T$3</c:f>
              <c:numCache>
                <c:formatCode>General</c:formatCode>
                <c:ptCount val="18"/>
                <c:pt idx="0">
                  <c:v>933.9056</c:v>
                </c:pt>
                <c:pt idx="1">
                  <c:v>991.162737</c:v>
                </c:pt>
                <c:pt idx="2">
                  <c:v>1049.59174325</c:v>
                </c:pt>
                <c:pt idx="3">
                  <c:v>1113.777</c:v>
                </c:pt>
                <c:pt idx="4">
                  <c:v>1173.12075</c:v>
                </c:pt>
                <c:pt idx="5">
                  <c:v>1225.56575</c:v>
                </c:pt>
                <c:pt idx="6">
                  <c:v>1280.24575</c:v>
                </c:pt>
                <c:pt idx="7">
                  <c:v>1344.97399113629</c:v>
                </c:pt>
                <c:pt idx="8">
                  <c:v>1409.854609527083</c:v>
                </c:pt>
                <c:pt idx="9">
                  <c:v>1476.289034666734</c:v>
                </c:pt>
                <c:pt idx="10">
                  <c:v>1546.649300491125</c:v>
                </c:pt>
                <c:pt idx="11">
                  <c:v>1621.409906208429</c:v>
                </c:pt>
                <c:pt idx="12">
                  <c:v>1698.985886013169</c:v>
                </c:pt>
                <c:pt idx="13">
                  <c:v>1780.124554480867</c:v>
                </c:pt>
                <c:pt idx="14">
                  <c:v>1865.389662464078</c:v>
                </c:pt>
                <c:pt idx="15">
                  <c:v>1954.837503845023</c:v>
                </c:pt>
                <c:pt idx="16">
                  <c:v>2048.407011894833</c:v>
                </c:pt>
                <c:pt idx="17">
                  <c:v>2146.464770408851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Projections!$B$4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Projections!$C$2:$T$2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Projections!$C$4:$T$4</c:f>
              <c:numCache>
                <c:formatCode>General</c:formatCode>
                <c:ptCount val="18"/>
                <c:pt idx="0">
                  <c:v>933.9056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2616944"/>
        <c:axId val="1856841904"/>
      </c:lineChart>
      <c:catAx>
        <c:axId val="197261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841904"/>
        <c:crosses val="autoZero"/>
        <c:auto val="1"/>
        <c:lblAlgn val="ctr"/>
        <c:lblOffset val="100"/>
        <c:tickMarkSkip val="1"/>
        <c:noMultiLvlLbl val="0"/>
      </c:catAx>
      <c:valAx>
        <c:axId val="1856841904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6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Projections!$B$32</c:f>
          <c:strCache>
            <c:ptCount val="1"/>
            <c:pt idx="0">
              <c:v>BEAR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Projections!$B$34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Projections!$C$33:$I$33</c:f>
              <c:numCache>
                <c:formatCode>General</c:formatCode>
                <c:ptCount val="7"/>
              </c:numCache>
            </c:numRef>
          </c:cat>
          <c:val>
            <c:numRef>
              <c:f>Projections!$C$34:$I$34</c:f>
              <c:numCache>
                <c:formatCode>_(* #,##0.000_);_(* \(#,##0.000\);_(* "-"??_);_(@_)</c:formatCode>
                <c:ptCount val="7"/>
              </c:numCache>
            </c:numRef>
          </c:val>
          <c:smooth val="0"/>
        </c:ser>
        <c:ser>
          <c:idx val="1"/>
          <c:order val="1"/>
          <c:tx>
            <c:strRef>
              <c:f>Projections!$B$35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Projections!$C$33:$I$33</c:f>
              <c:numCache>
                <c:formatCode>General</c:formatCode>
                <c:ptCount val="7"/>
              </c:numCache>
            </c:numRef>
          </c:cat>
          <c:val>
            <c:numRef>
              <c:f>Projections!$C$35:$I$35</c:f>
              <c:numCache>
                <c:formatCode>_(* #,##0.00_);_(* \(#,##0.00\);_(* "-"??_);_(@_)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76231488"/>
        <c:axId val="-2079525408"/>
      </c:lineChart>
      <c:catAx>
        <c:axId val="-207623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9525408"/>
        <c:crosses val="autoZero"/>
        <c:auto val="1"/>
        <c:lblAlgn val="ctr"/>
        <c:lblOffset val="100"/>
        <c:noMultiLvlLbl val="0"/>
      </c:catAx>
      <c:valAx>
        <c:axId val="-207952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623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Projections!$B$30</c:f>
          <c:strCache>
            <c:ptCount val="1"/>
            <c:pt idx="0">
              <c:v>Personal Income (trillions)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Projections!$B$31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Projections!$C$30:$T$30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Projections!$C$31:$T$31</c:f>
              <c:numCache>
                <c:formatCode>0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Projections!$B$32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Projections!$C$30:$T$30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Projections!$C$32:$T$32</c:f>
              <c:numCache>
                <c:formatCode>0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6989072"/>
        <c:axId val="1856742688"/>
      </c:lineChart>
      <c:catAx>
        <c:axId val="185698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>
                <a:lumMod val="15000"/>
                <a:lumOff val="85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742688"/>
        <c:crosses val="autoZero"/>
        <c:auto val="1"/>
        <c:lblAlgn val="ctr"/>
        <c:lblOffset val="100"/>
        <c:tickMarkSkip val="1"/>
        <c:noMultiLvlLbl val="0"/>
      </c:catAx>
      <c:valAx>
        <c:axId val="1856742688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98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Trends!$C$2</c:f>
          <c:strCache>
            <c:ptCount val="1"/>
            <c:pt idx="0">
              <c:v>#N/A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74717027559055"/>
          <c:y val="0.155279279279279"/>
          <c:w val="0.878674130577428"/>
          <c:h val="0.669681492516138"/>
        </c:manualLayout>
      </c:layout>
      <c:lineChart>
        <c:grouping val="standard"/>
        <c:varyColors val="0"/>
        <c:ser>
          <c:idx val="0"/>
          <c:order val="0"/>
          <c:tx>
            <c:strRef>
              <c:f>Trends!$A$4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Trends!$C$3:$S$3</c:f>
              <c:numCache>
                <c:formatCode>General</c:formatCode>
                <c:ptCount val="17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</c:numCache>
            </c:numRef>
          </c:cat>
          <c:val>
            <c:numRef>
              <c:f>Trends!$C$4:$S$4</c:f>
              <c:numCache>
                <c:formatCode>0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Trends!$A$5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Trends!$C$3:$S$3</c:f>
              <c:numCache>
                <c:formatCode>General</c:formatCode>
                <c:ptCount val="17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</c:numCache>
            </c:numRef>
          </c:cat>
          <c:val>
            <c:numRef>
              <c:f>Trends!$C$5:$S$5</c:f>
              <c:numCache>
                <c:formatCode>0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629616"/>
        <c:axId val="-2133099760"/>
      </c:lineChart>
      <c:catAx>
        <c:axId val="182662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3099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213309976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62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Trends!$C$7</c:f>
          <c:strCache>
            <c:ptCount val="1"/>
            <c:pt idx="0">
              <c:v>#N/A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Trends!$A$9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Trends!$B$8:$S$8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Trends!$B$9:$S$9</c:f>
              <c:numCache>
                <c:formatCode>_("$"* #,##0_);_("$"* \(#,##0\);_("$"* "-"??_);_(@_)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Trends!$A$10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Trends!$B$8:$S$8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Trends!$B$10:$S$10</c:f>
              <c:numCache>
                <c:formatCode>_("$"* #,##0_);_("$"* \(#,##0\);_("$"* "-"??_);_(@_)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917712"/>
        <c:axId val="1823498192"/>
      </c:lineChart>
      <c:catAx>
        <c:axId val="182791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4981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23498192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91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Trends!$C$20</c:f>
          <c:strCache>
            <c:ptCount val="1"/>
            <c:pt idx="0">
              <c:v>Employment: All Sectors (thousands)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Trends!$A$22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Trends!$C$21:$S$21</c:f>
              <c:numCache>
                <c:formatCode>General</c:formatCode>
                <c:ptCount val="17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</c:numCache>
            </c:numRef>
          </c:cat>
          <c:val>
            <c:numRef>
              <c:f>Trends!$C$22:$S$22</c:f>
              <c:numCache>
                <c:formatCode>0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Trends!$A$23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Trends!$C$21:$S$21</c:f>
              <c:numCache>
                <c:formatCode>General</c:formatCode>
                <c:ptCount val="17"/>
                <c:pt idx="0">
                  <c:v>2014.0</c:v>
                </c:pt>
                <c:pt idx="1">
                  <c:v>2015.0</c:v>
                </c:pt>
                <c:pt idx="2">
                  <c:v>2016.0</c:v>
                </c:pt>
                <c:pt idx="3">
                  <c:v>2017.0</c:v>
                </c:pt>
                <c:pt idx="4">
                  <c:v>2018.0</c:v>
                </c:pt>
                <c:pt idx="5">
                  <c:v>2019.0</c:v>
                </c:pt>
                <c:pt idx="6">
                  <c:v>2020.0</c:v>
                </c:pt>
                <c:pt idx="7">
                  <c:v>2021.0</c:v>
                </c:pt>
                <c:pt idx="8">
                  <c:v>2022.0</c:v>
                </c:pt>
                <c:pt idx="9">
                  <c:v>2023.0</c:v>
                </c:pt>
                <c:pt idx="10">
                  <c:v>2024.0</c:v>
                </c:pt>
                <c:pt idx="11">
                  <c:v>2025.0</c:v>
                </c:pt>
                <c:pt idx="12">
                  <c:v>2026.0</c:v>
                </c:pt>
                <c:pt idx="13">
                  <c:v>2027.0</c:v>
                </c:pt>
                <c:pt idx="14">
                  <c:v>2028.0</c:v>
                </c:pt>
                <c:pt idx="15">
                  <c:v>2029.0</c:v>
                </c:pt>
                <c:pt idx="16">
                  <c:v>2030.0</c:v>
                </c:pt>
              </c:numCache>
            </c:numRef>
          </c:cat>
          <c:val>
            <c:numRef>
              <c:f>Trends!$C$23:$S$23</c:f>
              <c:numCache>
                <c:formatCode>0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462992"/>
        <c:axId val="1857662736"/>
      </c:lineChart>
      <c:catAx>
        <c:axId val="182746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6627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57662736"/>
        <c:scaling>
          <c:orientation val="minMax"/>
          <c:min val="15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6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Trends!$C$25</c:f>
          <c:strCache>
            <c:ptCount val="1"/>
            <c:pt idx="0">
              <c:v>Average Wage: All Sectors (annual thousands)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Trends!$A$27</c:f>
              <c:strCache>
                <c:ptCount val="1"/>
                <c:pt idx="0">
                  <c:v>DOF</c:v>
                </c:pt>
              </c:strCache>
            </c:strRef>
          </c:tx>
          <c:spPr>
            <a:ln w="349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Trends!$B$26:$S$26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Trends!$B$27:$H$27</c:f>
              <c:numCache>
                <c:formatCode>_("$"* #,##0_);_("$"* \(#,##0\);_("$"* "-"??_);_(@_)</c:formatCode>
                <c:ptCount val="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Trends!$A$28</c:f>
              <c:strCache>
                <c:ptCount val="1"/>
                <c:pt idx="0">
                  <c:v>BEAR</c:v>
                </c:pt>
              </c:strCache>
            </c:strRef>
          </c:tx>
          <c:spPr>
            <a:ln w="444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Trends!$B$26:$S$26</c:f>
              <c:numCache>
                <c:formatCode>General</c:formatCode>
                <c:ptCount val="18"/>
                <c:pt idx="0">
                  <c:v>2013.0</c:v>
                </c:pt>
                <c:pt idx="1">
                  <c:v>2014.0</c:v>
                </c:pt>
                <c:pt idx="2">
                  <c:v>2015.0</c:v>
                </c:pt>
                <c:pt idx="3">
                  <c:v>2016.0</c:v>
                </c:pt>
                <c:pt idx="4">
                  <c:v>2017.0</c:v>
                </c:pt>
                <c:pt idx="5">
                  <c:v>2018.0</c:v>
                </c:pt>
                <c:pt idx="6">
                  <c:v>2019.0</c:v>
                </c:pt>
                <c:pt idx="7">
                  <c:v>2020.0</c:v>
                </c:pt>
                <c:pt idx="8">
                  <c:v>2021.0</c:v>
                </c:pt>
                <c:pt idx="9">
                  <c:v>2022.0</c:v>
                </c:pt>
                <c:pt idx="10">
                  <c:v>2023.0</c:v>
                </c:pt>
                <c:pt idx="11">
                  <c:v>2024.0</c:v>
                </c:pt>
                <c:pt idx="12">
                  <c:v>2025.0</c:v>
                </c:pt>
                <c:pt idx="13">
                  <c:v>2026.0</c:v>
                </c:pt>
                <c:pt idx="14">
                  <c:v>2027.0</c:v>
                </c:pt>
                <c:pt idx="15">
                  <c:v>2028.0</c:v>
                </c:pt>
                <c:pt idx="16">
                  <c:v>2029.0</c:v>
                </c:pt>
                <c:pt idx="17">
                  <c:v>2030.0</c:v>
                </c:pt>
              </c:numCache>
            </c:numRef>
          </c:cat>
          <c:val>
            <c:numRef>
              <c:f>Trends!$B$28:$S$28</c:f>
              <c:numCache>
                <c:formatCode>_("$"* #,##0_);_("$"* \(#,##0\);_("$"* "-"??_);_(@_)</c:formatCode>
                <c:ptCount val="1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744368"/>
        <c:axId val="1857747664"/>
      </c:lineChart>
      <c:catAx>
        <c:axId val="18577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7476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57747664"/>
        <c:scaling>
          <c:orientation val="minMax"/>
          <c:min val="15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74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139700</xdr:rowOff>
    </xdr:from>
    <xdr:to>
      <xdr:col>13</xdr:col>
      <xdr:colOff>571500</xdr:colOff>
      <xdr:row>20</xdr:row>
      <xdr:rowOff>184150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101600</xdr:colOff>
      <xdr:row>17</xdr:row>
      <xdr:rowOff>171450</xdr:rowOff>
    </xdr:from>
    <xdr:to>
      <xdr:col>13</xdr:col>
      <xdr:colOff>609600</xdr:colOff>
      <xdr:row>34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88900</xdr:rowOff>
    </xdr:from>
    <xdr:to>
      <xdr:col>8</xdr:col>
      <xdr:colOff>558800</xdr:colOff>
      <xdr:row>19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755650</xdr:colOff>
      <xdr:row>40</xdr:row>
      <xdr:rowOff>95250</xdr:rowOff>
    </xdr:from>
    <xdr:to>
      <xdr:col>15</xdr:col>
      <xdr:colOff>819150</xdr:colOff>
      <xdr:row>53</xdr:row>
      <xdr:rowOff>196850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889000</xdr:colOff>
      <xdr:row>11</xdr:row>
      <xdr:rowOff>6350</xdr:rowOff>
    </xdr:from>
    <xdr:to>
      <xdr:col>11</xdr:col>
      <xdr:colOff>381000</xdr:colOff>
      <xdr:row>27</xdr:row>
      <xdr:rowOff>127000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1</xdr:row>
      <xdr:rowOff>204498</xdr:rowOff>
    </xdr:from>
    <xdr:to>
      <xdr:col>8</xdr:col>
      <xdr:colOff>368300</xdr:colOff>
      <xdr:row>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458771</xdr:colOff>
      <xdr:row>1</xdr:row>
      <xdr:rowOff>197192</xdr:rowOff>
    </xdr:from>
    <xdr:to>
      <xdr:col>14</xdr:col>
      <xdr:colOff>211121</xdr:colOff>
      <xdr:row>19</xdr:row>
      <xdr:rowOff>6570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634316</xdr:colOff>
      <xdr:row>29</xdr:row>
      <xdr:rowOff>111089</xdr:rowOff>
    </xdr:from>
    <xdr:to>
      <xdr:col>8</xdr:col>
      <xdr:colOff>329516</xdr:colOff>
      <xdr:row>46</xdr:row>
      <xdr:rowOff>180939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501923</xdr:colOff>
      <xdr:row>29</xdr:row>
      <xdr:rowOff>144751</xdr:rowOff>
    </xdr:from>
    <xdr:to>
      <xdr:col>14</xdr:col>
      <xdr:colOff>254273</xdr:colOff>
      <xdr:row>47</xdr:row>
      <xdr:rowOff>28812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rbkp/Budget_05-06/May_Revision/Ca/Results/CAFOR04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"/>
      <sheetName val="Adds"/>
      <sheetName val="Quarters"/>
      <sheetName val="Annuals"/>
      <sheetName val="Long Run"/>
      <sheetName val="PIT"/>
      <sheetName val="US Forecast Data"/>
      <sheetName val="Chg from last"/>
    </sheetNames>
    <sheetDataSet>
      <sheetData sheetId="0"/>
      <sheetData sheetId="1"/>
      <sheetData sheetId="2">
        <row r="79">
          <cell r="A79" t="str">
            <v>BCTV = BCRV + BCNV</v>
          </cell>
          <cell r="B79" t="str">
            <v>Total Valuation (Billion Dollars)</v>
          </cell>
          <cell r="G79">
            <v>24.081786334168189</v>
          </cell>
          <cell r="H79">
            <v>24.597310073152659</v>
          </cell>
          <cell r="I79">
            <v>25.306170287631126</v>
          </cell>
          <cell r="J79">
            <v>25.481062397916478</v>
          </cell>
          <cell r="K79">
            <v>28.874751115472023</v>
          </cell>
          <cell r="L79">
            <v>29.661874051022561</v>
          </cell>
          <cell r="M79">
            <v>31.491651027680273</v>
          </cell>
          <cell r="N79">
            <v>33.947641517986952</v>
          </cell>
          <cell r="O79">
            <v>32.721227999999996</v>
          </cell>
          <cell r="P79">
            <v>36.076092000000003</v>
          </cell>
          <cell r="Q79">
            <v>39.097540000000002</v>
          </cell>
          <cell r="R79">
            <v>39.436548000000002</v>
          </cell>
          <cell r="S79">
            <v>41.063648000000001</v>
          </cell>
          <cell r="T79">
            <v>42.573332000000008</v>
          </cell>
          <cell r="U79">
            <v>41.641239999999996</v>
          </cell>
          <cell r="V79">
            <v>43.951208000000001</v>
          </cell>
          <cell r="W79">
            <v>45.250023999999996</v>
          </cell>
          <cell r="X79">
            <v>45.920563999999999</v>
          </cell>
          <cell r="Y79">
            <v>46.902336000000005</v>
          </cell>
          <cell r="Z79">
            <v>48.924892</v>
          </cell>
          <cell r="AA79">
            <v>51.996200000000002</v>
          </cell>
          <cell r="AB79">
            <v>45.668939999999999</v>
          </cell>
          <cell r="AC79">
            <v>42.924556000000003</v>
          </cell>
          <cell r="AD79">
            <v>42.336959999999998</v>
          </cell>
          <cell r="AE79">
            <v>44.701043999999996</v>
          </cell>
          <cell r="AF79">
            <v>46.676615999999996</v>
          </cell>
          <cell r="AG79">
            <v>49.248456000000004</v>
          </cell>
          <cell r="AH79">
            <v>50.785547999999999</v>
          </cell>
          <cell r="AI79">
            <v>54.036983999999997</v>
          </cell>
          <cell r="AJ79">
            <v>50.806432000000001</v>
          </cell>
          <cell r="AK79">
            <v>53.488536000000003</v>
          </cell>
          <cell r="AL79">
            <v>53.850076000000001</v>
          </cell>
          <cell r="AM79">
            <v>59.178975999999992</v>
          </cell>
          <cell r="AN79">
            <v>60.247116000000005</v>
          </cell>
          <cell r="AO79">
            <v>61.762960000000007</v>
          </cell>
          <cell r="AP79">
            <v>60.154164000000002</v>
          </cell>
          <cell r="AQ79">
            <v>57.430505999999994</v>
          </cell>
          <cell r="AR79">
            <v>57.170059999999999</v>
          </cell>
          <cell r="AS79">
            <v>57.788809999999998</v>
          </cell>
          <cell r="AT79">
            <v>57.924250000000001</v>
          </cell>
          <cell r="AU79">
            <v>57.516859999999994</v>
          </cell>
          <cell r="AV79">
            <v>57.402799999999999</v>
          </cell>
          <cell r="AW79">
            <v>57.194460000000007</v>
          </cell>
          <cell r="AX79">
            <v>57.627629999999996</v>
          </cell>
          <cell r="AY79">
            <v>58.484819999999999</v>
          </cell>
          <cell r="AZ79">
            <v>59.381360000000001</v>
          </cell>
          <cell r="BA79">
            <v>60.248359999999998</v>
          </cell>
          <cell r="BB79">
            <v>61.14367</v>
          </cell>
          <cell r="BC79">
            <v>0.10247705706897925</v>
          </cell>
          <cell r="BD79">
            <v>14.863103731418903</v>
          </cell>
          <cell r="BE79">
            <v>10.499585213985352</v>
          </cell>
          <cell r="BF79">
            <v>-2.1771163359469381</v>
          </cell>
          <cell r="BG79">
            <v>4.6384754335639267</v>
          </cell>
          <cell r="BH79">
            <v>10.851148548606737</v>
          </cell>
          <cell r="BI79">
            <v>13.743476898052842</v>
          </cell>
          <cell r="BJ79">
            <v>-4.5700849532062442</v>
          </cell>
          <cell r="BK79">
            <v>-0.24830315510726564</v>
          </cell>
          <cell r="BL79">
            <v>4.1422423220855542</v>
          </cell>
          <cell r="BN79">
            <v>5.2790638791560873E-2</v>
          </cell>
          <cell r="BO79">
            <v>9.8958077607912642E-2</v>
          </cell>
          <cell r="BP79">
            <v>1.8049315351452044E-2</v>
          </cell>
          <cell r="BQ79">
            <v>2.5160440874879342E-2</v>
          </cell>
          <cell r="BR79">
            <v>-2.604790962091208E-2</v>
          </cell>
          <cell r="BS79">
            <v>-4.5277962802375726E-2</v>
          </cell>
          <cell r="BT79">
            <v>-4.5349765854404422E-3</v>
          </cell>
        </row>
        <row r="80">
          <cell r="A80" t="str">
            <v>BCRV = (BCRU * BCAV)</v>
          </cell>
          <cell r="C80" t="str">
            <v>Residential</v>
          </cell>
          <cell r="G80">
            <v>14.961438294579974</v>
          </cell>
          <cell r="H80">
            <v>15.343154318282235</v>
          </cell>
          <cell r="I80">
            <v>15.482857213016674</v>
          </cell>
          <cell r="J80">
            <v>15.168155498438102</v>
          </cell>
          <cell r="K80">
            <v>17.393488487646664</v>
          </cell>
          <cell r="L80">
            <v>17.622282656641381</v>
          </cell>
          <cell r="M80">
            <v>19.339995269251137</v>
          </cell>
          <cell r="N80">
            <v>20.619229128788461</v>
          </cell>
          <cell r="O80">
            <v>19.395776000000001</v>
          </cell>
          <cell r="P80">
            <v>20.825279999999999</v>
          </cell>
          <cell r="Q80">
            <v>23.165480000000002</v>
          </cell>
          <cell r="R80">
            <v>24.36092</v>
          </cell>
          <cell r="S80">
            <v>24.710312000000002</v>
          </cell>
          <cell r="T80">
            <v>26.880880000000005</v>
          </cell>
          <cell r="U80">
            <v>25.398031999999997</v>
          </cell>
          <cell r="V80">
            <v>25.862812000000002</v>
          </cell>
          <cell r="W80">
            <v>27.531503999999998</v>
          </cell>
          <cell r="X80">
            <v>28.289987999999997</v>
          </cell>
          <cell r="Y80">
            <v>27.406832000000001</v>
          </cell>
          <cell r="Z80">
            <v>29.462588</v>
          </cell>
          <cell r="AA80">
            <v>31.649756</v>
          </cell>
          <cell r="AB80">
            <v>28.8367</v>
          </cell>
          <cell r="AC80">
            <v>27.129340000000003</v>
          </cell>
          <cell r="AD80">
            <v>28.102487999999997</v>
          </cell>
          <cell r="AE80">
            <v>30.253195999999996</v>
          </cell>
          <cell r="AF80">
            <v>32.309072</v>
          </cell>
          <cell r="AG80">
            <v>34.872184000000004</v>
          </cell>
          <cell r="AH80">
            <v>35.763171999999997</v>
          </cell>
          <cell r="AI80">
            <v>40.039423999999997</v>
          </cell>
          <cell r="AJ80">
            <v>37.159039999999997</v>
          </cell>
          <cell r="AK80">
            <v>38.877684000000002</v>
          </cell>
          <cell r="AL80">
            <v>40.342312</v>
          </cell>
          <cell r="AM80">
            <v>44.384527999999996</v>
          </cell>
          <cell r="AN80">
            <v>44.161968000000002</v>
          </cell>
          <cell r="AO80">
            <v>45.608112000000006</v>
          </cell>
          <cell r="AP80">
            <v>44.65842</v>
          </cell>
          <cell r="AQ80">
            <v>41.836199999999998</v>
          </cell>
          <cell r="AR80">
            <v>41.219709999999999</v>
          </cell>
          <cell r="AS80">
            <v>41.691270000000003</v>
          </cell>
          <cell r="AT80">
            <v>41.713070000000002</v>
          </cell>
          <cell r="AU80">
            <v>41.280999999999999</v>
          </cell>
          <cell r="AV80">
            <v>41.16733</v>
          </cell>
          <cell r="AW80">
            <v>40.982210000000002</v>
          </cell>
          <cell r="AX80">
            <v>41.407409999999999</v>
          </cell>
          <cell r="AY80">
            <v>42.201610000000002</v>
          </cell>
          <cell r="AZ80">
            <v>43.028010000000002</v>
          </cell>
          <cell r="BA80">
            <v>43.866959999999999</v>
          </cell>
          <cell r="BB80">
            <v>44.758719999999997</v>
          </cell>
          <cell r="BC80">
            <v>9.6421947948355013E-2</v>
          </cell>
          <cell r="BD80">
            <v>17.213695631244306</v>
          </cell>
          <cell r="BE80">
            <v>9.5660488432139257</v>
          </cell>
          <cell r="BF80">
            <v>2.6864384592077961</v>
          </cell>
          <cell r="BG80">
            <v>15.105080541982453</v>
          </cell>
          <cell r="BH80">
            <v>17.433371033705548</v>
          </cell>
          <cell r="BI80">
            <v>14.317087637865743</v>
          </cell>
          <cell r="BJ80">
            <v>-6.9082091714256944</v>
          </cell>
          <cell r="BK80">
            <v>-0.97458702603173686</v>
          </cell>
          <cell r="BL80">
            <v>5.4704332345797857</v>
          </cell>
          <cell r="BN80">
            <v>4.6251033395911412E-2</v>
          </cell>
          <cell r="BO80">
            <v>0.10019792618727452</v>
          </cell>
          <cell r="BP80">
            <v>-5.0143599589477228E-3</v>
          </cell>
          <cell r="BQ80">
            <v>3.2746366738004129E-2</v>
          </cell>
          <cell r="BR80">
            <v>-2.0822874667559277E-2</v>
          </cell>
          <cell r="BS80">
            <v>-6.3195697474294876E-2</v>
          </cell>
          <cell r="BT80">
            <v>-1.4735802964896405E-2</v>
          </cell>
        </row>
      </sheetData>
      <sheetData sheetId="3"/>
      <sheetData sheetId="4">
        <row r="1">
          <cell r="A1">
            <v>2001</v>
          </cell>
        </row>
        <row r="2">
          <cell r="A2">
            <v>2002</v>
          </cell>
        </row>
        <row r="3">
          <cell r="A3">
            <v>2003</v>
          </cell>
        </row>
        <row r="4">
          <cell r="A4">
            <v>2004</v>
          </cell>
        </row>
        <row r="5">
          <cell r="A5">
            <v>2005</v>
          </cell>
        </row>
        <row r="6">
          <cell r="A6">
            <v>2006</v>
          </cell>
        </row>
        <row r="7">
          <cell r="A7">
            <v>2007</v>
          </cell>
        </row>
        <row r="8">
          <cell r="A8">
            <v>2008</v>
          </cell>
        </row>
        <row r="9">
          <cell r="A9">
            <v>2009</v>
          </cell>
        </row>
        <row r="10">
          <cell r="A10">
            <v>2010</v>
          </cell>
          <cell r="B10">
            <v>3.2000000000000001E-2</v>
          </cell>
          <cell r="C10">
            <v>0.01</v>
          </cell>
          <cell r="D10">
            <v>0.02</v>
          </cell>
          <cell r="E10">
            <v>0.08</v>
          </cell>
          <cell r="F10">
            <v>7.8E-2</v>
          </cell>
          <cell r="G10">
            <v>5.0999999999999997E-2</v>
          </cell>
          <cell r="H10">
            <v>0.06</v>
          </cell>
          <cell r="I10">
            <v>1.0999999999999999E-2</v>
          </cell>
          <cell r="J10">
            <v>1.2E-2</v>
          </cell>
          <cell r="K10">
            <v>7.1999999999999995E-2</v>
          </cell>
          <cell r="L10">
            <v>1.7000000000000001E-2</v>
          </cell>
          <cell r="M10">
            <v>-0.03</v>
          </cell>
          <cell r="N10">
            <v>5.0000000000000001E-3</v>
          </cell>
          <cell r="O10">
            <v>7.4999999999999997E-2</v>
          </cell>
          <cell r="P10">
            <v>1.4E-2</v>
          </cell>
          <cell r="Q10">
            <v>8.0000000000000002E-3</v>
          </cell>
          <cell r="R10">
            <v>0.02</v>
          </cell>
          <cell r="S10">
            <v>1.4E-2</v>
          </cell>
          <cell r="U10">
            <v>-0.1</v>
          </cell>
          <cell r="V10">
            <v>2.5999999999999999E-2</v>
          </cell>
          <cell r="W10">
            <v>7.5999999999999998E-2</v>
          </cell>
          <cell r="X10">
            <v>4.9000000000000002E-2</v>
          </cell>
          <cell r="Y10">
            <v>4.1000000000000002E-2</v>
          </cell>
          <cell r="Z10">
            <v>2.9000000000000001E-2</v>
          </cell>
          <cell r="AA10">
            <v>5.4564384483127171E-2</v>
          </cell>
          <cell r="AB10">
            <v>6.2E-2</v>
          </cell>
          <cell r="AC10">
            <v>3.5999999999999997E-2</v>
          </cell>
          <cell r="AD10">
            <v>7.0000000000000007E-2</v>
          </cell>
          <cell r="AE10">
            <v>6.9705200242712095E-2</v>
          </cell>
          <cell r="AF10">
            <v>0.06</v>
          </cell>
          <cell r="AG10">
            <v>6.3E-2</v>
          </cell>
          <cell r="AH10">
            <v>6.8000000000000005E-2</v>
          </cell>
          <cell r="AI10">
            <v>0.06</v>
          </cell>
          <cell r="AK10">
            <v>6.2082306814834398E-2</v>
          </cell>
          <cell r="AL10">
            <v>4.4999999999999998E-2</v>
          </cell>
          <cell r="AN10">
            <v>2.5000000000000001E-2</v>
          </cell>
          <cell r="AO10">
            <v>5.7024767532008802E-2</v>
          </cell>
          <cell r="AP10">
            <v>5.7025131596283973E-2</v>
          </cell>
        </row>
        <row r="11">
          <cell r="A11">
            <v>2011</v>
          </cell>
          <cell r="B11">
            <v>3.2000000000000001E-2</v>
          </cell>
          <cell r="C11">
            <v>0.01</v>
          </cell>
          <cell r="D11">
            <v>0.02</v>
          </cell>
          <cell r="E11">
            <v>7.1999999999999995E-2</v>
          </cell>
          <cell r="F11">
            <v>7.2999999999999995E-2</v>
          </cell>
          <cell r="G11">
            <v>5.7000000000000002E-2</v>
          </cell>
          <cell r="H11">
            <v>-0.03</v>
          </cell>
          <cell r="I11">
            <v>1.0999999999999999E-2</v>
          </cell>
          <cell r="J11">
            <v>1.0999999999999999E-2</v>
          </cell>
          <cell r="K11">
            <v>6.9000000000000006E-2</v>
          </cell>
          <cell r="L11">
            <v>6.0000000000000001E-3</v>
          </cell>
          <cell r="M11">
            <v>-0.02</v>
          </cell>
          <cell r="N11">
            <v>-3.0000000000000001E-3</v>
          </cell>
          <cell r="O11">
            <v>7.4999999999999997E-2</v>
          </cell>
          <cell r="P11">
            <v>1.2E-2</v>
          </cell>
          <cell r="Q11">
            <v>1.0999999999999999E-2</v>
          </cell>
          <cell r="R11">
            <v>3.5999999999999997E-2</v>
          </cell>
          <cell r="S11">
            <v>1.0999999999999999E-2</v>
          </cell>
          <cell r="U11">
            <v>0</v>
          </cell>
          <cell r="V11">
            <v>2.4E-2</v>
          </cell>
          <cell r="W11">
            <v>6.7000000000000004E-2</v>
          </cell>
          <cell r="X11">
            <v>5.8500000000000003E-2</v>
          </cell>
          <cell r="Y11">
            <v>0.04</v>
          </cell>
          <cell r="Z11">
            <v>2.9000000000000001E-2</v>
          </cell>
          <cell r="AA11">
            <v>5.463408269342418E-2</v>
          </cell>
          <cell r="AB11">
            <v>6.3E-2</v>
          </cell>
          <cell r="AC11">
            <v>5.1999999999999998E-2</v>
          </cell>
          <cell r="AD11">
            <v>7.0000000000000007E-2</v>
          </cell>
          <cell r="AE11">
            <v>6.9712741744754503E-2</v>
          </cell>
          <cell r="AF11">
            <v>0.06</v>
          </cell>
          <cell r="AG11">
            <v>6.6000000000000003E-2</v>
          </cell>
          <cell r="AH11">
            <v>6.8000000000000005E-2</v>
          </cell>
          <cell r="AI11">
            <v>0.06</v>
          </cell>
          <cell r="AK11">
            <v>6.2194689726364771E-2</v>
          </cell>
          <cell r="AL11">
            <v>4.4999999999999998E-2</v>
          </cell>
          <cell r="AN11">
            <v>2.5000000000000001E-2</v>
          </cell>
          <cell r="AO11">
            <v>5.7064305232568335E-2</v>
          </cell>
          <cell r="AP11">
            <v>5.7064088253609313E-2</v>
          </cell>
        </row>
        <row r="12">
          <cell r="A12">
            <v>2012</v>
          </cell>
          <cell r="B12">
            <v>3.2000000000000001E-2</v>
          </cell>
          <cell r="C12">
            <v>0.01</v>
          </cell>
          <cell r="D12">
            <v>0.02</v>
          </cell>
          <cell r="E12">
            <v>7.5999999999999998E-2</v>
          </cell>
          <cell r="F12">
            <v>7.5999999999999998E-2</v>
          </cell>
          <cell r="G12">
            <v>5.3999999999999999E-2</v>
          </cell>
          <cell r="H12">
            <v>1.7000000000000001E-2</v>
          </cell>
          <cell r="I12">
            <v>1.0999999999999999E-2</v>
          </cell>
          <cell r="J12">
            <v>1.0999999999999999E-2</v>
          </cell>
          <cell r="K12">
            <v>7.0999999999999994E-2</v>
          </cell>
          <cell r="L12">
            <v>1.2E-2</v>
          </cell>
          <cell r="M12">
            <v>-0.02</v>
          </cell>
          <cell r="N12">
            <v>2E-3</v>
          </cell>
          <cell r="O12">
            <v>7.4999999999999997E-2</v>
          </cell>
          <cell r="P12">
            <v>0.01</v>
          </cell>
          <cell r="Q12">
            <v>0.01</v>
          </cell>
          <cell r="R12">
            <v>2.7E-2</v>
          </cell>
          <cell r="S12">
            <v>0.01</v>
          </cell>
          <cell r="U12">
            <v>-0.05</v>
          </cell>
          <cell r="V12">
            <v>2.1999999999999999E-2</v>
          </cell>
          <cell r="W12">
            <v>7.1999999999999995E-2</v>
          </cell>
          <cell r="X12">
            <v>5.3400000000000003E-2</v>
          </cell>
          <cell r="Y12">
            <v>0.04</v>
          </cell>
          <cell r="Z12">
            <v>2.9000000000000001E-2</v>
          </cell>
          <cell r="AA12">
            <v>5.4955408150342722E-2</v>
          </cell>
          <cell r="AB12">
            <v>6.3E-2</v>
          </cell>
          <cell r="AC12">
            <v>4.2000000000000003E-2</v>
          </cell>
          <cell r="AD12">
            <v>7.0000000000000007E-2</v>
          </cell>
          <cell r="AE12">
            <v>6.9715328325883785E-2</v>
          </cell>
          <cell r="AF12">
            <v>0.06</v>
          </cell>
          <cell r="AG12">
            <v>6.5000000000000002E-2</v>
          </cell>
          <cell r="AH12">
            <v>6.8000000000000005E-2</v>
          </cell>
          <cell r="AI12">
            <v>0.06</v>
          </cell>
          <cell r="AK12">
            <v>6.2206684565859538E-2</v>
          </cell>
          <cell r="AL12">
            <v>4.4999999999999998E-2</v>
          </cell>
          <cell r="AN12">
            <v>2.5000000000000001E-2</v>
          </cell>
          <cell r="AO12">
            <v>5.7308181814943016E-2</v>
          </cell>
          <cell r="AP12">
            <v>5.7308291189208438E-2</v>
          </cell>
        </row>
        <row r="13">
          <cell r="A13">
            <v>2013</v>
          </cell>
          <cell r="B13">
            <v>3.2000000000000001E-2</v>
          </cell>
          <cell r="C13">
            <v>0.01</v>
          </cell>
          <cell r="D13">
            <v>0.02</v>
          </cell>
          <cell r="E13">
            <v>7.4999999999999997E-2</v>
          </cell>
          <cell r="F13">
            <v>7.4999999999999997E-2</v>
          </cell>
          <cell r="G13">
            <v>5.5E-2</v>
          </cell>
          <cell r="H13">
            <v>-5.0000000000000001E-3</v>
          </cell>
          <cell r="I13">
            <v>1.0999999999999999E-2</v>
          </cell>
          <cell r="J13">
            <v>1.0999999999999999E-2</v>
          </cell>
          <cell r="K13">
            <v>7.0000000000000007E-2</v>
          </cell>
          <cell r="L13">
            <v>8.9999999999999993E-3</v>
          </cell>
          <cell r="M13">
            <v>-0.02</v>
          </cell>
          <cell r="N13">
            <v>-2E-3</v>
          </cell>
          <cell r="O13">
            <v>7.4999999999999997E-2</v>
          </cell>
          <cell r="P13">
            <v>1.0999999999999999E-2</v>
          </cell>
          <cell r="Q13">
            <v>0.01</v>
          </cell>
          <cell r="R13">
            <v>3.1E-2</v>
          </cell>
          <cell r="S13">
            <v>0.01</v>
          </cell>
          <cell r="U13">
            <v>-0.05</v>
          </cell>
          <cell r="V13">
            <v>2.1999999999999999E-2</v>
          </cell>
          <cell r="W13">
            <v>6.9000000000000006E-2</v>
          </cell>
          <cell r="X13">
            <v>5.6500000000000002E-2</v>
          </cell>
          <cell r="Y13">
            <v>0.04</v>
          </cell>
          <cell r="Z13">
            <v>2.9000000000000001E-2</v>
          </cell>
          <cell r="AA13">
            <v>5.5023097582744818E-2</v>
          </cell>
          <cell r="AB13">
            <v>6.3E-2</v>
          </cell>
          <cell r="AC13">
            <v>4.8000000000000001E-2</v>
          </cell>
          <cell r="AD13">
            <v>7.0000000000000007E-2</v>
          </cell>
          <cell r="AE13">
            <v>6.9722447171677526E-2</v>
          </cell>
          <cell r="AF13">
            <v>0.06</v>
          </cell>
          <cell r="AG13">
            <v>6.5000000000000002E-2</v>
          </cell>
          <cell r="AH13">
            <v>6.8000000000000005E-2</v>
          </cell>
          <cell r="AI13">
            <v>0.06</v>
          </cell>
          <cell r="AK13">
            <v>6.2218719906946829E-2</v>
          </cell>
          <cell r="AL13">
            <v>4.4999999999999998E-2</v>
          </cell>
          <cell r="AN13">
            <v>2.5000000000000001E-2</v>
          </cell>
          <cell r="AO13">
            <v>5.7387616439385392E-2</v>
          </cell>
          <cell r="AP13">
            <v>5.7387546196243422E-2</v>
          </cell>
        </row>
        <row r="14">
          <cell r="A14">
            <v>2014</v>
          </cell>
          <cell r="B14">
            <v>3.2000000000000001E-2</v>
          </cell>
          <cell r="C14">
            <v>0.01</v>
          </cell>
          <cell r="D14">
            <v>0.02</v>
          </cell>
          <cell r="E14">
            <v>7.4999999999999997E-2</v>
          </cell>
          <cell r="F14">
            <v>7.4999999999999997E-2</v>
          </cell>
          <cell r="G14">
            <v>5.5E-2</v>
          </cell>
          <cell r="H14">
            <v>2E-3</v>
          </cell>
          <cell r="I14">
            <v>1.0999999999999999E-2</v>
          </cell>
          <cell r="J14">
            <v>1.0999999999999999E-2</v>
          </cell>
          <cell r="K14">
            <v>7.0000000000000007E-2</v>
          </cell>
          <cell r="L14">
            <v>0.01</v>
          </cell>
          <cell r="M14">
            <v>-0.02</v>
          </cell>
          <cell r="N14">
            <v>1E-3</v>
          </cell>
          <cell r="O14">
            <v>7.4999999999999997E-2</v>
          </cell>
          <cell r="P14">
            <v>1.0999999999999999E-2</v>
          </cell>
          <cell r="Q14">
            <v>0.01</v>
          </cell>
          <cell r="R14">
            <v>0.03</v>
          </cell>
          <cell r="S14">
            <v>0.01</v>
          </cell>
          <cell r="U14">
            <v>0.01</v>
          </cell>
          <cell r="V14">
            <v>2.1999999999999999E-2</v>
          </cell>
          <cell r="W14">
            <v>7.0000000000000007E-2</v>
          </cell>
          <cell r="X14">
            <v>5.4699999999999999E-2</v>
          </cell>
          <cell r="Y14">
            <v>0.04</v>
          </cell>
          <cell r="Z14">
            <v>2.9000000000000001E-2</v>
          </cell>
          <cell r="AA14">
            <v>5.5047516334249647E-2</v>
          </cell>
          <cell r="AB14">
            <v>6.3E-2</v>
          </cell>
          <cell r="AC14">
            <v>4.4999999999999998E-2</v>
          </cell>
          <cell r="AD14">
            <v>7.0000000000000007E-2</v>
          </cell>
          <cell r="AE14">
            <v>6.9732545167955573E-2</v>
          </cell>
          <cell r="AF14">
            <v>0.06</v>
          </cell>
          <cell r="AG14">
            <v>6.5000000000000002E-2</v>
          </cell>
          <cell r="AH14">
            <v>6.8000000000000005E-2</v>
          </cell>
          <cell r="AI14">
            <v>0.06</v>
          </cell>
          <cell r="AK14">
            <v>6.2230795613192225E-2</v>
          </cell>
          <cell r="AL14">
            <v>4.4999999999999998E-2</v>
          </cell>
          <cell r="AN14">
            <v>2.5000000000000001E-2</v>
          </cell>
          <cell r="AO14">
            <v>5.7447375353285368E-2</v>
          </cell>
          <cell r="AP14">
            <v>5.744741217885263E-2</v>
          </cell>
        </row>
        <row r="15">
          <cell r="A15">
            <v>2015</v>
          </cell>
          <cell r="B15">
            <v>3.2000000000000001E-2</v>
          </cell>
          <cell r="C15">
            <v>0.01</v>
          </cell>
          <cell r="D15">
            <v>0.02</v>
          </cell>
          <cell r="E15">
            <v>7.4999999999999997E-2</v>
          </cell>
          <cell r="F15">
            <v>7.4999999999999997E-2</v>
          </cell>
          <cell r="G15">
            <v>5.5E-2</v>
          </cell>
          <cell r="H15">
            <v>0</v>
          </cell>
          <cell r="I15">
            <v>1.0999999999999999E-2</v>
          </cell>
          <cell r="J15">
            <v>1.0999999999999999E-2</v>
          </cell>
          <cell r="K15">
            <v>7.0000000000000007E-2</v>
          </cell>
          <cell r="L15">
            <v>0.01</v>
          </cell>
          <cell r="M15">
            <v>0</v>
          </cell>
          <cell r="N15">
            <v>0</v>
          </cell>
          <cell r="O15">
            <v>7.4999999999999997E-2</v>
          </cell>
          <cell r="P15">
            <v>0.01</v>
          </cell>
          <cell r="Q15">
            <v>0.01</v>
          </cell>
          <cell r="R15">
            <v>0.03</v>
          </cell>
          <cell r="S15">
            <v>0.01</v>
          </cell>
          <cell r="U15">
            <v>-0.01</v>
          </cell>
          <cell r="V15">
            <v>2.1999999999999999E-2</v>
          </cell>
          <cell r="W15">
            <v>7.0000000000000007E-2</v>
          </cell>
          <cell r="X15">
            <v>5.5599999999999997E-2</v>
          </cell>
          <cell r="Y15">
            <v>0.04</v>
          </cell>
          <cell r="Z15">
            <v>2.9000000000000001E-2</v>
          </cell>
          <cell r="AA15">
            <v>5.4955012103669709E-2</v>
          </cell>
          <cell r="AB15">
            <v>6.3E-2</v>
          </cell>
          <cell r="AC15">
            <v>4.5999999999999999E-2</v>
          </cell>
          <cell r="AD15">
            <v>7.0000000000000007E-2</v>
          </cell>
          <cell r="AE15">
            <v>6.9733140108136249E-2</v>
          </cell>
          <cell r="AF15">
            <v>0.06</v>
          </cell>
          <cell r="AG15">
            <v>6.5000000000000002E-2</v>
          </cell>
          <cell r="AH15">
            <v>6.8000000000000005E-2</v>
          </cell>
          <cell r="AI15">
            <v>0.06</v>
          </cell>
          <cell r="AK15">
            <v>6.2242911544956758E-2</v>
          </cell>
          <cell r="AL15">
            <v>4.4999999999999998E-2</v>
          </cell>
          <cell r="AN15">
            <v>2.5000000000000001E-2</v>
          </cell>
          <cell r="AO15">
            <v>5.7451426636444536E-2</v>
          </cell>
          <cell r="AP15">
            <v>5.7451404684191409E-2</v>
          </cell>
        </row>
        <row r="16">
          <cell r="B16" t="str">
            <v>SELECTED U.S. ECONOMIC INDICATORS</v>
          </cell>
          <cell r="P16" t="str">
            <v>SELECTED CALIFORNIA ECONOMIC INDICATORS</v>
          </cell>
          <cell r="X16" t="str">
            <v>CALIFORNIA PERSONAL INCOME</v>
          </cell>
          <cell r="AA16" t="str">
            <v>CALIFORNIA PERSONAL INCOME</v>
          </cell>
        </row>
        <row r="17">
          <cell r="B17" t="str">
            <v>Real Gross</v>
          </cell>
          <cell r="C17" t="str">
            <v>Consumer</v>
          </cell>
          <cell r="E17" t="str">
            <v>Economic</v>
          </cell>
          <cell r="F17" t="str">
            <v>Total</v>
          </cell>
          <cell r="I17" t="str">
            <v>New</v>
          </cell>
          <cell r="J17" t="str">
            <v>Light</v>
          </cell>
          <cell r="K17" t="str">
            <v>Corp.</v>
          </cell>
          <cell r="P17" t="str">
            <v>Non-Ag.</v>
          </cell>
          <cell r="V17" t="str">
            <v>Consumer</v>
          </cell>
          <cell r="W17" t="str">
            <v>Non-</v>
          </cell>
          <cell r="X17" t="str">
            <v>Wages and</v>
          </cell>
          <cell r="Y17" t="str">
            <v>Farm</v>
          </cell>
          <cell r="Z17" t="str">
            <v>Military</v>
          </cell>
          <cell r="AA17" t="str">
            <v>Total</v>
          </cell>
          <cell r="AB17" t="str">
            <v>Other</v>
          </cell>
          <cell r="AC17" t="str">
            <v>Proprietors'</v>
          </cell>
          <cell r="AF17" t="str">
            <v>Property Income</v>
          </cell>
          <cell r="AM17" t="str">
            <v>Social</v>
          </cell>
          <cell r="AN17" t="str">
            <v>Resid-</v>
          </cell>
          <cell r="AO17" t="str">
            <v>Total</v>
          </cell>
          <cell r="AP17" t="str">
            <v>After</v>
          </cell>
        </row>
        <row r="18">
          <cell r="B18" t="str">
            <v>Domestic</v>
          </cell>
          <cell r="C18" t="str">
            <v>Goods</v>
          </cell>
          <cell r="D18" t="str">
            <v xml:space="preserve">GDP </v>
          </cell>
          <cell r="E18" t="str">
            <v>Pre-tax</v>
          </cell>
          <cell r="F18" t="str">
            <v>Pre-tax</v>
          </cell>
          <cell r="G18" t="str">
            <v>Consumer</v>
          </cell>
          <cell r="H18" t="str">
            <v>Prime</v>
          </cell>
          <cell r="I18" t="str">
            <v>Car</v>
          </cell>
          <cell r="J18" t="str">
            <v>Truck</v>
          </cell>
          <cell r="K18" t="str">
            <v>Tax</v>
          </cell>
          <cell r="L18" t="str">
            <v>U.S. Unemployment</v>
          </cell>
          <cell r="N18" t="str">
            <v>Consumer</v>
          </cell>
          <cell r="O18" t="str">
            <v>S&amp;P</v>
          </cell>
          <cell r="P18" t="str">
            <v>Employ-</v>
          </cell>
          <cell r="Q18" t="str">
            <v>Housing</v>
          </cell>
          <cell r="R18" t="str">
            <v>Multi-family</v>
          </cell>
          <cell r="S18" t="str">
            <v>Labor</v>
          </cell>
          <cell r="T18" t="str">
            <v>Calif. Unemployment</v>
          </cell>
          <cell r="V18" t="str">
            <v>Price</v>
          </cell>
          <cell r="W18" t="str">
            <v>Residential</v>
          </cell>
          <cell r="X18" t="str">
            <v>Salaries ex</v>
          </cell>
          <cell r="Y18" t="str">
            <v>Wages and</v>
          </cell>
          <cell r="Z18" t="str">
            <v>Wages and</v>
          </cell>
          <cell r="AA18" t="str">
            <v>Wage &amp;</v>
          </cell>
          <cell r="AB18" t="str">
            <v>Labor</v>
          </cell>
          <cell r="AC18" t="str">
            <v>Income</v>
          </cell>
          <cell r="AF18" t="str">
            <v>Interest Income</v>
          </cell>
          <cell r="AI18" t="str">
            <v>Rent</v>
          </cell>
          <cell r="AL18" t="str">
            <v>Transfer</v>
          </cell>
          <cell r="AM18" t="str">
            <v>Insurance</v>
          </cell>
          <cell r="AN18" t="str">
            <v>ence</v>
          </cell>
          <cell r="AO18" t="str">
            <v>Personal</v>
          </cell>
          <cell r="AP18" t="str">
            <v>Tax</v>
          </cell>
        </row>
        <row r="19">
          <cell r="B19" t="str">
            <v>Product</v>
          </cell>
          <cell r="C19" t="str">
            <v>Deflator</v>
          </cell>
          <cell r="D19" t="str">
            <v>Deflator</v>
          </cell>
          <cell r="E19" t="str">
            <v>Profits</v>
          </cell>
          <cell r="F19" t="str">
            <v>Profits</v>
          </cell>
          <cell r="G19" t="str">
            <v>Credit</v>
          </cell>
          <cell r="H19" t="str">
            <v>Rate</v>
          </cell>
          <cell r="I19" t="str">
            <v>Sales</v>
          </cell>
          <cell r="J19" t="str">
            <v>Sales</v>
          </cell>
          <cell r="K19" t="str">
            <v>Liab.</v>
          </cell>
          <cell r="L19" t="str">
            <v>Persons</v>
          </cell>
          <cell r="M19" t="str">
            <v>Rate</v>
          </cell>
          <cell r="N19" t="str">
            <v>Sentiment</v>
          </cell>
          <cell r="O19">
            <v>500</v>
          </cell>
          <cell r="P19" t="str">
            <v>ment</v>
          </cell>
          <cell r="Q19" t="str">
            <v>Permits</v>
          </cell>
          <cell r="R19" t="str">
            <v>Permits</v>
          </cell>
          <cell r="S19" t="str">
            <v>Force</v>
          </cell>
          <cell r="T19" t="str">
            <v>Persons</v>
          </cell>
          <cell r="U19" t="str">
            <v>Rate</v>
          </cell>
          <cell r="V19" t="str">
            <v>Index</v>
          </cell>
          <cell r="W19" t="str">
            <v>Valuation</v>
          </cell>
          <cell r="X19" t="str">
            <v>Farm &amp; Mil.</v>
          </cell>
          <cell r="Y19" t="str">
            <v>Salaries</v>
          </cell>
          <cell r="Z19" t="str">
            <v>Salaries</v>
          </cell>
          <cell r="AA19" t="str">
            <v>Salary</v>
          </cell>
          <cell r="AB19" t="str">
            <v>Income</v>
          </cell>
          <cell r="AC19" t="str">
            <v>Farm</v>
          </cell>
          <cell r="AD19" t="str">
            <v>Non-Farm</v>
          </cell>
          <cell r="AE19" t="str">
            <v>Total</v>
          </cell>
          <cell r="AF19" t="str">
            <v>Total</v>
          </cell>
          <cell r="AG19" t="str">
            <v>Monetary</v>
          </cell>
          <cell r="AH19" t="str">
            <v>Dividends</v>
          </cell>
          <cell r="AI19" t="str">
            <v>Total</v>
          </cell>
          <cell r="AJ19" t="str">
            <v>Monetary</v>
          </cell>
          <cell r="AK19" t="str">
            <v>Total</v>
          </cell>
          <cell r="AL19" t="str">
            <v>Payments</v>
          </cell>
          <cell r="AM19" t="str">
            <v>Contrib.</v>
          </cell>
          <cell r="AN19" t="str">
            <v>Adjust</v>
          </cell>
          <cell r="AO19" t="str">
            <v>Income</v>
          </cell>
          <cell r="AP19" t="str">
            <v>Income</v>
          </cell>
        </row>
        <row r="20">
          <cell r="A20" t="str">
            <v>Units:</v>
          </cell>
        </row>
        <row r="22">
          <cell r="A22">
            <v>1969</v>
          </cell>
        </row>
        <row r="23">
          <cell r="A23">
            <v>1970</v>
          </cell>
        </row>
        <row r="24">
          <cell r="A24">
            <v>1971</v>
          </cell>
        </row>
        <row r="25">
          <cell r="A25">
            <v>1972</v>
          </cell>
        </row>
        <row r="26">
          <cell r="A26">
            <v>1973</v>
          </cell>
        </row>
        <row r="27">
          <cell r="A27">
            <v>1974</v>
          </cell>
        </row>
        <row r="28">
          <cell r="A28">
            <v>1975</v>
          </cell>
        </row>
        <row r="29">
          <cell r="A29">
            <v>1976</v>
          </cell>
        </row>
        <row r="30">
          <cell r="A30">
            <v>1977</v>
          </cell>
        </row>
        <row r="31">
          <cell r="A31">
            <v>1978</v>
          </cell>
        </row>
        <row r="32">
          <cell r="A32">
            <v>1979</v>
          </cell>
        </row>
        <row r="33">
          <cell r="A33">
            <v>1980</v>
          </cell>
        </row>
        <row r="34">
          <cell r="A34">
            <v>1981</v>
          </cell>
        </row>
        <row r="35">
          <cell r="A35">
            <v>1982</v>
          </cell>
        </row>
        <row r="36">
          <cell r="A36">
            <v>1983</v>
          </cell>
        </row>
        <row r="37">
          <cell r="A37">
            <v>1984</v>
          </cell>
        </row>
        <row r="38">
          <cell r="A38">
            <v>1985</v>
          </cell>
        </row>
        <row r="39">
          <cell r="A39">
            <v>1986</v>
          </cell>
        </row>
        <row r="40">
          <cell r="A40">
            <v>1987</v>
          </cell>
        </row>
        <row r="41">
          <cell r="A41">
            <v>1988</v>
          </cell>
        </row>
        <row r="42">
          <cell r="A42">
            <v>1989</v>
          </cell>
        </row>
        <row r="43">
          <cell r="A43">
            <v>1990</v>
          </cell>
        </row>
        <row r="44">
          <cell r="A44">
            <v>1991</v>
          </cell>
        </row>
        <row r="45">
          <cell r="A45">
            <v>1992</v>
          </cell>
        </row>
        <row r="46">
          <cell r="A46">
            <v>1993</v>
          </cell>
        </row>
        <row r="47">
          <cell r="A47">
            <v>1994</v>
          </cell>
        </row>
        <row r="48">
          <cell r="A48">
            <v>1995</v>
          </cell>
        </row>
        <row r="49">
          <cell r="A49">
            <v>1996</v>
          </cell>
        </row>
        <row r="50">
          <cell r="A50">
            <v>1997</v>
          </cell>
        </row>
        <row r="51">
          <cell r="A51">
            <v>1998</v>
          </cell>
        </row>
        <row r="52">
          <cell r="A52">
            <v>1999</v>
          </cell>
        </row>
        <row r="53">
          <cell r="A53">
            <v>2000</v>
          </cell>
        </row>
        <row r="54">
          <cell r="A54">
            <v>2001</v>
          </cell>
        </row>
        <row r="55">
          <cell r="A55">
            <v>2002</v>
          </cell>
        </row>
        <row r="56">
          <cell r="A56">
            <v>2003</v>
          </cell>
        </row>
        <row r="57">
          <cell r="A57">
            <v>2004</v>
          </cell>
        </row>
        <row r="58">
          <cell r="A58">
            <v>2005</v>
          </cell>
        </row>
        <row r="59">
          <cell r="A59">
            <v>2006</v>
          </cell>
        </row>
        <row r="60">
          <cell r="A60">
            <v>2007</v>
          </cell>
        </row>
        <row r="61">
          <cell r="A61">
            <v>2008</v>
          </cell>
        </row>
        <row r="62">
          <cell r="A62">
            <v>2009</v>
          </cell>
        </row>
        <row r="63">
          <cell r="A63">
            <v>2010</v>
          </cell>
        </row>
        <row r="64">
          <cell r="A64">
            <v>2011</v>
          </cell>
        </row>
        <row r="65">
          <cell r="A65">
            <v>2012</v>
          </cell>
        </row>
        <row r="66">
          <cell r="A66">
            <v>2013</v>
          </cell>
        </row>
        <row r="67">
          <cell r="A67">
            <v>2014</v>
          </cell>
        </row>
        <row r="68">
          <cell r="A68">
            <v>2015</v>
          </cell>
        </row>
        <row r="71">
          <cell r="A71">
            <v>1970</v>
          </cell>
        </row>
        <row r="72">
          <cell r="A72">
            <v>1971</v>
          </cell>
        </row>
        <row r="73">
          <cell r="A73">
            <v>1972</v>
          </cell>
        </row>
        <row r="74">
          <cell r="A74">
            <v>1973</v>
          </cell>
        </row>
        <row r="75">
          <cell r="A75">
            <v>1974</v>
          </cell>
        </row>
        <row r="76">
          <cell r="A76">
            <v>1975</v>
          </cell>
        </row>
        <row r="77">
          <cell r="A77">
            <v>1976</v>
          </cell>
        </row>
        <row r="78">
          <cell r="A78">
            <v>1977</v>
          </cell>
        </row>
        <row r="79">
          <cell r="A79">
            <v>1978</v>
          </cell>
        </row>
        <row r="80">
          <cell r="A80">
            <v>1979</v>
          </cell>
        </row>
        <row r="81">
          <cell r="A81">
            <v>1980</v>
          </cell>
        </row>
        <row r="82">
          <cell r="A82">
            <v>1981</v>
          </cell>
        </row>
        <row r="83">
          <cell r="A83">
            <v>1982</v>
          </cell>
        </row>
        <row r="84">
          <cell r="A84">
            <v>1983</v>
          </cell>
        </row>
        <row r="85">
          <cell r="A85">
            <v>1984</v>
          </cell>
        </row>
        <row r="86">
          <cell r="A86">
            <v>1985</v>
          </cell>
        </row>
        <row r="87">
          <cell r="A87">
            <v>1986</v>
          </cell>
        </row>
        <row r="88">
          <cell r="A88">
            <v>1987</v>
          </cell>
        </row>
        <row r="89">
          <cell r="A89">
            <v>1988</v>
          </cell>
        </row>
        <row r="90">
          <cell r="A90">
            <v>1989</v>
          </cell>
        </row>
        <row r="91">
          <cell r="A91">
            <v>1990</v>
          </cell>
        </row>
        <row r="92">
          <cell r="A92">
            <v>1991</v>
          </cell>
        </row>
        <row r="93">
          <cell r="A93">
            <v>1992</v>
          </cell>
        </row>
        <row r="94">
          <cell r="A94">
            <v>1993</v>
          </cell>
        </row>
        <row r="95">
          <cell r="A95">
            <v>1994</v>
          </cell>
        </row>
        <row r="96">
          <cell r="A96">
            <v>1995</v>
          </cell>
        </row>
        <row r="97">
          <cell r="A97">
            <v>1996</v>
          </cell>
        </row>
        <row r="98">
          <cell r="A98">
            <v>1997</v>
          </cell>
        </row>
        <row r="99">
          <cell r="A99">
            <v>1998</v>
          </cell>
        </row>
        <row r="100">
          <cell r="A100">
            <v>1999</v>
          </cell>
        </row>
        <row r="101">
          <cell r="A101">
            <v>2000</v>
          </cell>
        </row>
        <row r="102">
          <cell r="A102">
            <v>2001</v>
          </cell>
        </row>
        <row r="103">
          <cell r="A103">
            <v>2002</v>
          </cell>
        </row>
        <row r="104">
          <cell r="A104">
            <v>2003</v>
          </cell>
        </row>
        <row r="105">
          <cell r="A105">
            <v>2004</v>
          </cell>
        </row>
        <row r="106">
          <cell r="A106">
            <v>2005</v>
          </cell>
        </row>
        <row r="107">
          <cell r="A107">
            <v>2006</v>
          </cell>
        </row>
        <row r="108">
          <cell r="A108">
            <v>2007</v>
          </cell>
        </row>
        <row r="109">
          <cell r="A109">
            <v>2008</v>
          </cell>
        </row>
        <row r="110">
          <cell r="A110">
            <v>2009</v>
          </cell>
        </row>
        <row r="111">
          <cell r="A111">
            <v>2010</v>
          </cell>
        </row>
        <row r="112">
          <cell r="A112">
            <v>2011</v>
          </cell>
        </row>
        <row r="113">
          <cell r="A113">
            <v>2012</v>
          </cell>
        </row>
        <row r="114">
          <cell r="A114">
            <v>2013</v>
          </cell>
        </row>
        <row r="115">
          <cell r="A115">
            <v>2014</v>
          </cell>
        </row>
        <row r="116">
          <cell r="A116">
            <v>2015</v>
          </cell>
        </row>
        <row r="118">
          <cell r="A118" t="str">
            <v>1969:1</v>
          </cell>
        </row>
        <row r="119">
          <cell r="A119" t="str">
            <v>1969:2</v>
          </cell>
        </row>
        <row r="120">
          <cell r="A120" t="str">
            <v>1969:3</v>
          </cell>
        </row>
        <row r="121">
          <cell r="A121" t="str">
            <v>1969:4</v>
          </cell>
        </row>
        <row r="122">
          <cell r="A122" t="str">
            <v>1970:1</v>
          </cell>
        </row>
        <row r="123">
          <cell r="A123" t="str">
            <v>1970:2</v>
          </cell>
        </row>
        <row r="124">
          <cell r="A124" t="str">
            <v>1970:3</v>
          </cell>
        </row>
        <row r="125">
          <cell r="A125" t="str">
            <v>1970:4</v>
          </cell>
        </row>
        <row r="126">
          <cell r="A126" t="str">
            <v>1971:1</v>
          </cell>
        </row>
        <row r="127">
          <cell r="A127" t="str">
            <v>1971:2</v>
          </cell>
        </row>
        <row r="128">
          <cell r="A128" t="str">
            <v>1971:3</v>
          </cell>
        </row>
        <row r="129">
          <cell r="A129" t="str">
            <v>1971:4</v>
          </cell>
        </row>
        <row r="130">
          <cell r="A130" t="str">
            <v>1972:1</v>
          </cell>
        </row>
        <row r="131">
          <cell r="A131" t="str">
            <v>1972:2</v>
          </cell>
        </row>
        <row r="132">
          <cell r="A132" t="str">
            <v>1972:3</v>
          </cell>
        </row>
        <row r="133">
          <cell r="A133" t="str">
            <v>1972:4</v>
          </cell>
        </row>
        <row r="134">
          <cell r="A134" t="str">
            <v>1973:1</v>
          </cell>
        </row>
        <row r="135">
          <cell r="A135" t="str">
            <v>1973:2</v>
          </cell>
        </row>
        <row r="136">
          <cell r="A136" t="str">
            <v>1973:3</v>
          </cell>
        </row>
        <row r="137">
          <cell r="A137" t="str">
            <v>1973:4</v>
          </cell>
        </row>
        <row r="138">
          <cell r="A138" t="str">
            <v>1974:1</v>
          </cell>
        </row>
        <row r="139">
          <cell r="A139" t="str">
            <v>1974:2</v>
          </cell>
        </row>
        <row r="140">
          <cell r="A140" t="str">
            <v>1974:3</v>
          </cell>
        </row>
        <row r="141">
          <cell r="A141" t="str">
            <v>1974:4</v>
          </cell>
        </row>
        <row r="142">
          <cell r="A142" t="str">
            <v>1975:1</v>
          </cell>
        </row>
        <row r="143">
          <cell r="A143" t="str">
            <v>1975:2</v>
          </cell>
        </row>
        <row r="144">
          <cell r="A144" t="str">
            <v>1975:3</v>
          </cell>
        </row>
        <row r="145">
          <cell r="A145" t="str">
            <v>1975:4</v>
          </cell>
        </row>
        <row r="146">
          <cell r="A146" t="str">
            <v>1976:1</v>
          </cell>
        </row>
        <row r="147">
          <cell r="A147" t="str">
            <v>1976:2</v>
          </cell>
        </row>
        <row r="148">
          <cell r="A148" t="str">
            <v>1976:3</v>
          </cell>
        </row>
        <row r="149">
          <cell r="A149" t="str">
            <v>1976:4</v>
          </cell>
        </row>
        <row r="150">
          <cell r="A150" t="str">
            <v>1977:1</v>
          </cell>
        </row>
        <row r="151">
          <cell r="A151" t="str">
            <v>1977:2</v>
          </cell>
        </row>
        <row r="152">
          <cell r="A152" t="str">
            <v>1977:3</v>
          </cell>
        </row>
        <row r="153">
          <cell r="A153" t="str">
            <v>1977:4</v>
          </cell>
        </row>
        <row r="154">
          <cell r="A154" t="str">
            <v>1978:1</v>
          </cell>
        </row>
        <row r="155">
          <cell r="A155" t="str">
            <v>1978:2</v>
          </cell>
        </row>
        <row r="156">
          <cell r="A156" t="str">
            <v>1978:3</v>
          </cell>
        </row>
        <row r="157">
          <cell r="A157" t="str">
            <v>1978:4</v>
          </cell>
        </row>
        <row r="158">
          <cell r="A158" t="str">
            <v>1979:1</v>
          </cell>
        </row>
        <row r="159">
          <cell r="A159" t="str">
            <v>1979:2</v>
          </cell>
        </row>
        <row r="160">
          <cell r="A160" t="str">
            <v>1979:3</v>
          </cell>
        </row>
        <row r="161">
          <cell r="A161" t="str">
            <v>1979:4</v>
          </cell>
        </row>
        <row r="162">
          <cell r="A162" t="str">
            <v>1980:1</v>
          </cell>
        </row>
        <row r="163">
          <cell r="A163" t="str">
            <v>1980:2</v>
          </cell>
        </row>
        <row r="164">
          <cell r="A164" t="str">
            <v>1980:3</v>
          </cell>
        </row>
        <row r="165">
          <cell r="A165" t="str">
            <v>1980:4</v>
          </cell>
        </row>
        <row r="166">
          <cell r="A166" t="str">
            <v>1981:1</v>
          </cell>
        </row>
        <row r="167">
          <cell r="A167" t="str">
            <v>1981:2</v>
          </cell>
        </row>
        <row r="168">
          <cell r="A168" t="str">
            <v>1981:3</v>
          </cell>
        </row>
        <row r="169">
          <cell r="A169" t="str">
            <v>1981:4</v>
          </cell>
        </row>
        <row r="170">
          <cell r="A170" t="str">
            <v>1982:1</v>
          </cell>
        </row>
        <row r="171">
          <cell r="A171" t="str">
            <v>1982:2</v>
          </cell>
        </row>
        <row r="172">
          <cell r="A172" t="str">
            <v>1982:3</v>
          </cell>
        </row>
        <row r="173">
          <cell r="A173" t="str">
            <v>1982:4</v>
          </cell>
        </row>
        <row r="174">
          <cell r="A174" t="str">
            <v>1983:1</v>
          </cell>
        </row>
        <row r="175">
          <cell r="A175" t="str">
            <v>1983:2</v>
          </cell>
        </row>
        <row r="176">
          <cell r="A176" t="str">
            <v>1983:3</v>
          </cell>
        </row>
        <row r="177">
          <cell r="A177" t="str">
            <v>1983:4</v>
          </cell>
        </row>
        <row r="178">
          <cell r="A178" t="str">
            <v>1984:1</v>
          </cell>
        </row>
        <row r="179">
          <cell r="A179" t="str">
            <v>1984:2</v>
          </cell>
        </row>
        <row r="180">
          <cell r="A180" t="str">
            <v>1984:3</v>
          </cell>
        </row>
        <row r="181">
          <cell r="A181" t="str">
            <v>1984:4</v>
          </cell>
        </row>
        <row r="182">
          <cell r="A182" t="str">
            <v>1985:1</v>
          </cell>
        </row>
        <row r="183">
          <cell r="A183" t="str">
            <v>1985:2</v>
          </cell>
        </row>
        <row r="184">
          <cell r="A184" t="str">
            <v>1985:3</v>
          </cell>
        </row>
        <row r="185">
          <cell r="A185" t="str">
            <v>1985:4</v>
          </cell>
        </row>
        <row r="186">
          <cell r="A186" t="str">
            <v>1986:1</v>
          </cell>
        </row>
        <row r="187">
          <cell r="A187" t="str">
            <v>1986:2</v>
          </cell>
        </row>
        <row r="188">
          <cell r="A188" t="str">
            <v>1986:3</v>
          </cell>
        </row>
        <row r="189">
          <cell r="A189" t="str">
            <v>1986:4</v>
          </cell>
        </row>
        <row r="190">
          <cell r="A190" t="str">
            <v>1987:1</v>
          </cell>
        </row>
        <row r="191">
          <cell r="A191" t="str">
            <v>1987:2</v>
          </cell>
        </row>
        <row r="192">
          <cell r="A192" t="str">
            <v>1987:3</v>
          </cell>
        </row>
        <row r="193">
          <cell r="A193" t="str">
            <v>1987:4</v>
          </cell>
        </row>
        <row r="194">
          <cell r="A194" t="str">
            <v>1988:1</v>
          </cell>
        </row>
        <row r="195">
          <cell r="A195" t="str">
            <v>1988:2</v>
          </cell>
        </row>
        <row r="196">
          <cell r="A196" t="str">
            <v>1988:3</v>
          </cell>
        </row>
        <row r="197">
          <cell r="A197" t="str">
            <v>1988:4</v>
          </cell>
        </row>
        <row r="198">
          <cell r="A198" t="str">
            <v>1989:1</v>
          </cell>
        </row>
        <row r="199">
          <cell r="A199" t="str">
            <v>1989:2</v>
          </cell>
        </row>
        <row r="200">
          <cell r="A200" t="str">
            <v>1989:3</v>
          </cell>
        </row>
        <row r="201">
          <cell r="A201" t="str">
            <v>1989:4</v>
          </cell>
        </row>
        <row r="202">
          <cell r="A202" t="str">
            <v>1990:1</v>
          </cell>
        </row>
        <row r="203">
          <cell r="A203" t="str">
            <v>1990:2</v>
          </cell>
        </row>
        <row r="204">
          <cell r="A204" t="str">
            <v>1990:3</v>
          </cell>
        </row>
        <row r="205">
          <cell r="A205" t="str">
            <v>1990:4</v>
          </cell>
        </row>
        <row r="206">
          <cell r="A206" t="str">
            <v>1991:1</v>
          </cell>
        </row>
        <row r="207">
          <cell r="A207" t="str">
            <v>1991:2</v>
          </cell>
        </row>
        <row r="208">
          <cell r="A208" t="str">
            <v>1991:3</v>
          </cell>
        </row>
        <row r="209">
          <cell r="A209" t="str">
            <v>1991:4</v>
          </cell>
        </row>
        <row r="210">
          <cell r="A210" t="str">
            <v>1992:1</v>
          </cell>
        </row>
        <row r="211">
          <cell r="A211" t="str">
            <v>1992:2</v>
          </cell>
        </row>
        <row r="212">
          <cell r="A212" t="str">
            <v>1992:3</v>
          </cell>
        </row>
        <row r="213">
          <cell r="A213" t="str">
            <v>1992:4</v>
          </cell>
        </row>
        <row r="214">
          <cell r="A214" t="str">
            <v>1993:1</v>
          </cell>
        </row>
        <row r="215">
          <cell r="A215" t="str">
            <v>1993:2</v>
          </cell>
        </row>
        <row r="216">
          <cell r="A216" t="str">
            <v>1993:3</v>
          </cell>
        </row>
        <row r="217">
          <cell r="A217" t="str">
            <v>1993:4</v>
          </cell>
        </row>
        <row r="219">
          <cell r="A219" t="str">
            <v>1994:1</v>
          </cell>
        </row>
        <row r="220">
          <cell r="A220" t="str">
            <v>1994:2</v>
          </cell>
        </row>
        <row r="221">
          <cell r="A221" t="str">
            <v>1994:3</v>
          </cell>
        </row>
        <row r="222">
          <cell r="A222" t="str">
            <v>1994:4</v>
          </cell>
        </row>
        <row r="223">
          <cell r="A223" t="str">
            <v>1995:1</v>
          </cell>
        </row>
        <row r="224">
          <cell r="A224" t="str">
            <v>1995:2</v>
          </cell>
        </row>
        <row r="225">
          <cell r="A225" t="str">
            <v>1995:3</v>
          </cell>
        </row>
        <row r="226">
          <cell r="A226" t="str">
            <v>1995:4</v>
          </cell>
        </row>
        <row r="227">
          <cell r="A227" t="str">
            <v>1996:1</v>
          </cell>
        </row>
        <row r="228">
          <cell r="A228" t="str">
            <v>1996:2</v>
          </cell>
        </row>
        <row r="229">
          <cell r="A229" t="str">
            <v>1996:3</v>
          </cell>
        </row>
        <row r="230">
          <cell r="A230" t="str">
            <v>1996:4</v>
          </cell>
        </row>
        <row r="231">
          <cell r="A231" t="str">
            <v>1997:1</v>
          </cell>
        </row>
        <row r="232">
          <cell r="A232" t="str">
            <v>1997:2</v>
          </cell>
        </row>
        <row r="233">
          <cell r="A233" t="str">
            <v>1997:3</v>
          </cell>
        </row>
        <row r="234">
          <cell r="A234" t="str">
            <v>1997:4</v>
          </cell>
        </row>
        <row r="235">
          <cell r="A235" t="str">
            <v>1998:1</v>
          </cell>
        </row>
        <row r="236">
          <cell r="A236" t="str">
            <v>1998:2</v>
          </cell>
        </row>
        <row r="237">
          <cell r="A237" t="str">
            <v>1998:3</v>
          </cell>
        </row>
        <row r="238">
          <cell r="A238" t="str">
            <v>1998:4</v>
          </cell>
        </row>
        <row r="239">
          <cell r="A239" t="str">
            <v>1999:1</v>
          </cell>
        </row>
        <row r="240">
          <cell r="A240" t="str">
            <v>1999:2</v>
          </cell>
        </row>
        <row r="241">
          <cell r="A241" t="str">
            <v>1999:3</v>
          </cell>
        </row>
        <row r="242">
          <cell r="A242" t="str">
            <v>1999:4</v>
          </cell>
        </row>
        <row r="243">
          <cell r="A243" t="str">
            <v>2000:1</v>
          </cell>
        </row>
        <row r="244">
          <cell r="A244" t="str">
            <v>2000:2</v>
          </cell>
        </row>
        <row r="245">
          <cell r="A245" t="str">
            <v>2000:3</v>
          </cell>
        </row>
        <row r="246">
          <cell r="A246" t="str">
            <v>2000:4</v>
          </cell>
        </row>
        <row r="247">
          <cell r="A247" t="str">
            <v>2001:1</v>
          </cell>
        </row>
        <row r="248">
          <cell r="A248" t="str">
            <v>2001:2</v>
          </cell>
        </row>
        <row r="249">
          <cell r="A249" t="str">
            <v>2001:3</v>
          </cell>
        </row>
        <row r="250">
          <cell r="A250" t="str">
            <v>2001:4</v>
          </cell>
        </row>
        <row r="251">
          <cell r="A251" t="str">
            <v>2002:1</v>
          </cell>
        </row>
        <row r="252">
          <cell r="A252" t="str">
            <v>2002:2</v>
          </cell>
        </row>
        <row r="253">
          <cell r="A253" t="str">
            <v>2002:3</v>
          </cell>
        </row>
        <row r="254">
          <cell r="A254" t="str">
            <v>2002:4</v>
          </cell>
        </row>
        <row r="255">
          <cell r="A255" t="str">
            <v>2003:1</v>
          </cell>
        </row>
        <row r="256">
          <cell r="A256" t="str">
            <v>2003:2</v>
          </cell>
        </row>
        <row r="257">
          <cell r="A257" t="str">
            <v>2003:3</v>
          </cell>
        </row>
        <row r="258">
          <cell r="A258" t="str">
            <v>2003:4</v>
          </cell>
        </row>
        <row r="259">
          <cell r="A259" t="str">
            <v>2004:1</v>
          </cell>
        </row>
        <row r="260">
          <cell r="A260" t="str">
            <v>2004:2</v>
          </cell>
        </row>
        <row r="261">
          <cell r="A261" t="str">
            <v>2004:3</v>
          </cell>
        </row>
        <row r="262">
          <cell r="A262" t="str">
            <v>2004:4</v>
          </cell>
        </row>
        <row r="264">
          <cell r="A264" t="str">
            <v>2005:1</v>
          </cell>
        </row>
        <row r="265">
          <cell r="A265" t="str">
            <v>2005:2</v>
          </cell>
        </row>
        <row r="266">
          <cell r="A266" t="str">
            <v>2005:3</v>
          </cell>
        </row>
        <row r="267">
          <cell r="A267" t="str">
            <v>2005:4</v>
          </cell>
        </row>
        <row r="268">
          <cell r="A268" t="str">
            <v>2006:1</v>
          </cell>
        </row>
        <row r="269">
          <cell r="A269" t="str">
            <v>2006:2</v>
          </cell>
        </row>
        <row r="270">
          <cell r="A270" t="str">
            <v>2006:3</v>
          </cell>
        </row>
        <row r="271">
          <cell r="A271" t="str">
            <v>2006:4</v>
          </cell>
        </row>
        <row r="272">
          <cell r="A272" t="str">
            <v>2007:1</v>
          </cell>
        </row>
        <row r="273">
          <cell r="A273" t="str">
            <v>2007:2</v>
          </cell>
        </row>
        <row r="274">
          <cell r="A274" t="str">
            <v>2007:3</v>
          </cell>
        </row>
        <row r="275">
          <cell r="A275" t="str">
            <v>2007:4</v>
          </cell>
        </row>
        <row r="276">
          <cell r="A276" t="str">
            <v>2008:1</v>
          </cell>
        </row>
        <row r="277">
          <cell r="A277" t="str">
            <v>2008:2</v>
          </cell>
        </row>
        <row r="278">
          <cell r="A278" t="str">
            <v>2008:3</v>
          </cell>
        </row>
        <row r="279">
          <cell r="A279" t="str">
            <v>2008:4</v>
          </cell>
        </row>
        <row r="280">
          <cell r="A280" t="str">
            <v>2009:1</v>
          </cell>
        </row>
        <row r="281">
          <cell r="A281" t="str">
            <v>2009:2</v>
          </cell>
        </row>
        <row r="282">
          <cell r="A282" t="str">
            <v>2009:3</v>
          </cell>
        </row>
        <row r="283">
          <cell r="A283" t="str">
            <v>2009:4</v>
          </cell>
        </row>
        <row r="284">
          <cell r="A284" t="str">
            <v>2010:1</v>
          </cell>
        </row>
        <row r="285">
          <cell r="A285" t="str">
            <v>2010:2</v>
          </cell>
        </row>
        <row r="286">
          <cell r="A286" t="str">
            <v>2010:3</v>
          </cell>
        </row>
        <row r="287">
          <cell r="A287" t="str">
            <v>2010:4</v>
          </cell>
        </row>
        <row r="288">
          <cell r="A288" t="str">
            <v>2011:1</v>
          </cell>
        </row>
        <row r="289">
          <cell r="A289" t="str">
            <v>2011:2</v>
          </cell>
        </row>
        <row r="290">
          <cell r="A290" t="str">
            <v>2011:3</v>
          </cell>
        </row>
        <row r="291">
          <cell r="A291" t="str">
            <v>2011:4</v>
          </cell>
        </row>
        <row r="292">
          <cell r="A292" t="str">
            <v>2012:1</v>
          </cell>
        </row>
        <row r="293">
          <cell r="A293" t="str">
            <v>2012:2</v>
          </cell>
        </row>
        <row r="294">
          <cell r="A294" t="str">
            <v>2012:3</v>
          </cell>
        </row>
        <row r="295">
          <cell r="A295" t="str">
            <v>2012:4</v>
          </cell>
        </row>
        <row r="296">
          <cell r="A296" t="str">
            <v>2013:1</v>
          </cell>
        </row>
        <row r="297">
          <cell r="A297" t="str">
            <v>2013:2</v>
          </cell>
        </row>
        <row r="298">
          <cell r="A298" t="str">
            <v>2013:3</v>
          </cell>
        </row>
        <row r="299">
          <cell r="A299" t="str">
            <v>2013:4</v>
          </cell>
        </row>
        <row r="300">
          <cell r="A300" t="str">
            <v>2014:1</v>
          </cell>
        </row>
        <row r="301">
          <cell r="A301" t="str">
            <v>2014:2</v>
          </cell>
        </row>
        <row r="302">
          <cell r="A302" t="str">
            <v>2014:3</v>
          </cell>
        </row>
        <row r="303">
          <cell r="A303" t="str">
            <v>2014:4</v>
          </cell>
        </row>
        <row r="304">
          <cell r="A304" t="str">
            <v>2015:1</v>
          </cell>
        </row>
        <row r="305">
          <cell r="A305" t="str">
            <v>2015:2</v>
          </cell>
        </row>
        <row r="306">
          <cell r="A306" t="str">
            <v>2015:3</v>
          </cell>
        </row>
        <row r="307">
          <cell r="A307" t="str">
            <v>2015:4</v>
          </cell>
        </row>
        <row r="309">
          <cell r="A309" t="str">
            <v>1989:2</v>
          </cell>
        </row>
        <row r="310">
          <cell r="A310" t="str">
            <v>1989:3</v>
          </cell>
        </row>
        <row r="311">
          <cell r="A311" t="str">
            <v>1989:4</v>
          </cell>
        </row>
        <row r="312">
          <cell r="A312" t="str">
            <v>1990:1</v>
          </cell>
        </row>
        <row r="313">
          <cell r="A313" t="str">
            <v>1990:2</v>
          </cell>
        </row>
        <row r="314">
          <cell r="A314" t="str">
            <v>1990:3</v>
          </cell>
        </row>
        <row r="315">
          <cell r="A315" t="str">
            <v>1990:4</v>
          </cell>
        </row>
        <row r="316">
          <cell r="A316" t="str">
            <v>1991:1</v>
          </cell>
        </row>
        <row r="317">
          <cell r="A317" t="str">
            <v>1991:2</v>
          </cell>
        </row>
        <row r="318">
          <cell r="A318" t="str">
            <v>1991:3</v>
          </cell>
        </row>
        <row r="319">
          <cell r="A319" t="str">
            <v>1991:4</v>
          </cell>
        </row>
        <row r="320">
          <cell r="A320" t="str">
            <v>1992:1</v>
          </cell>
        </row>
        <row r="321">
          <cell r="A321" t="str">
            <v>1992:2</v>
          </cell>
        </row>
        <row r="322">
          <cell r="A322" t="str">
            <v>1992:3</v>
          </cell>
        </row>
        <row r="323">
          <cell r="A323" t="str">
            <v>1992:4</v>
          </cell>
        </row>
        <row r="324">
          <cell r="A324" t="str">
            <v>1993:1</v>
          </cell>
        </row>
        <row r="325">
          <cell r="A325" t="str">
            <v>1993:2</v>
          </cell>
        </row>
        <row r="326">
          <cell r="A326" t="str">
            <v>1993:3</v>
          </cell>
        </row>
        <row r="327">
          <cell r="A327" t="str">
            <v>1993:4</v>
          </cell>
        </row>
        <row r="328">
          <cell r="A328" t="str">
            <v>1994:1</v>
          </cell>
        </row>
        <row r="329">
          <cell r="A329" t="str">
            <v>1994:2</v>
          </cell>
        </row>
        <row r="330">
          <cell r="A330" t="str">
            <v>1994:3</v>
          </cell>
        </row>
        <row r="331">
          <cell r="A331" t="str">
            <v>1994:4</v>
          </cell>
        </row>
        <row r="332">
          <cell r="A332" t="str">
            <v>1995:1</v>
          </cell>
        </row>
        <row r="333">
          <cell r="A333" t="str">
            <v>1995:2</v>
          </cell>
        </row>
        <row r="334">
          <cell r="A334" t="str">
            <v>1995:3</v>
          </cell>
        </row>
        <row r="335">
          <cell r="A335" t="str">
            <v>1995:4</v>
          </cell>
        </row>
        <row r="336">
          <cell r="A336" t="str">
            <v>1996:1</v>
          </cell>
        </row>
        <row r="337">
          <cell r="A337" t="str">
            <v>1996:2</v>
          </cell>
        </row>
        <row r="338">
          <cell r="A338" t="str">
            <v>1996:3</v>
          </cell>
        </row>
        <row r="339">
          <cell r="A339" t="str">
            <v>1996:4</v>
          </cell>
        </row>
        <row r="340">
          <cell r="A340" t="str">
            <v>1997:1</v>
          </cell>
        </row>
        <row r="341">
          <cell r="A341" t="str">
            <v>1997:2</v>
          </cell>
        </row>
        <row r="342">
          <cell r="A342" t="str">
            <v>1997:3</v>
          </cell>
        </row>
        <row r="343">
          <cell r="A343" t="str">
            <v>1997:4</v>
          </cell>
        </row>
        <row r="344">
          <cell r="A344" t="str">
            <v>1998:1</v>
          </cell>
        </row>
        <row r="345">
          <cell r="A345" t="str">
            <v>1998:2</v>
          </cell>
        </row>
        <row r="346">
          <cell r="A346" t="str">
            <v>1998:3</v>
          </cell>
        </row>
        <row r="347">
          <cell r="A347" t="str">
            <v>1998:4</v>
          </cell>
        </row>
        <row r="348">
          <cell r="A348" t="str">
            <v>1999:1</v>
          </cell>
        </row>
        <row r="349">
          <cell r="A349" t="str">
            <v>1999:2</v>
          </cell>
        </row>
        <row r="350">
          <cell r="A350" t="str">
            <v>1999:3</v>
          </cell>
        </row>
        <row r="351">
          <cell r="A351" t="str">
            <v>1999:4</v>
          </cell>
        </row>
        <row r="352">
          <cell r="A352" t="str">
            <v>2000:1</v>
          </cell>
        </row>
        <row r="353">
          <cell r="A353" t="str">
            <v>2000:2</v>
          </cell>
        </row>
        <row r="354">
          <cell r="A354" t="str">
            <v>2000:3</v>
          </cell>
        </row>
        <row r="355">
          <cell r="A355" t="str">
            <v>2000:4</v>
          </cell>
        </row>
        <row r="356">
          <cell r="A356" t="str">
            <v>2001:1</v>
          </cell>
        </row>
        <row r="357">
          <cell r="A357" t="str">
            <v>2001:2</v>
          </cell>
        </row>
        <row r="358">
          <cell r="A358" t="str">
            <v>2001:3</v>
          </cell>
        </row>
        <row r="359">
          <cell r="A359" t="str">
            <v>2001:4</v>
          </cell>
        </row>
        <row r="361">
          <cell r="A361" t="str">
            <v>2002:1</v>
          </cell>
        </row>
        <row r="362">
          <cell r="A362" t="str">
            <v>2002:2</v>
          </cell>
        </row>
        <row r="363">
          <cell r="A363" t="str">
            <v>2002:3</v>
          </cell>
        </row>
        <row r="364">
          <cell r="A364" t="str">
            <v>2002:4</v>
          </cell>
        </row>
        <row r="365">
          <cell r="A365" t="str">
            <v>2003:1</v>
          </cell>
        </row>
        <row r="366">
          <cell r="A366" t="str">
            <v>2003:2</v>
          </cell>
        </row>
        <row r="367">
          <cell r="A367" t="str">
            <v>2003:3</v>
          </cell>
        </row>
        <row r="368">
          <cell r="A368" t="str">
            <v>2003:4</v>
          </cell>
        </row>
        <row r="369">
          <cell r="A369" t="str">
            <v>2004:1</v>
          </cell>
        </row>
        <row r="370">
          <cell r="A370" t="str">
            <v>2004:2</v>
          </cell>
        </row>
        <row r="371">
          <cell r="A371" t="str">
            <v>2004:3</v>
          </cell>
        </row>
        <row r="372">
          <cell r="A372" t="str">
            <v>2004:4</v>
          </cell>
        </row>
        <row r="373">
          <cell r="A373" t="str">
            <v>2005:1</v>
          </cell>
        </row>
        <row r="374">
          <cell r="A374" t="str">
            <v>2005:2</v>
          </cell>
        </row>
        <row r="375">
          <cell r="A375" t="str">
            <v>2005:3</v>
          </cell>
        </row>
        <row r="376">
          <cell r="A376" t="str">
            <v>2005:4</v>
          </cell>
        </row>
        <row r="377">
          <cell r="A377" t="str">
            <v>2006:1</v>
          </cell>
        </row>
        <row r="378">
          <cell r="A378" t="str">
            <v>2006:2</v>
          </cell>
        </row>
        <row r="379">
          <cell r="A379" t="str">
            <v>2006:3</v>
          </cell>
        </row>
        <row r="380">
          <cell r="A380" t="str">
            <v>2006:4</v>
          </cell>
        </row>
        <row r="381">
          <cell r="A381" t="str">
            <v>2007:1</v>
          </cell>
        </row>
        <row r="382">
          <cell r="A382" t="str">
            <v>2007:2</v>
          </cell>
        </row>
        <row r="383">
          <cell r="A383" t="str">
            <v>2007:3</v>
          </cell>
        </row>
        <row r="384">
          <cell r="A384" t="str">
            <v>2007:4</v>
          </cell>
        </row>
        <row r="385">
          <cell r="A385" t="str">
            <v>2008:1</v>
          </cell>
        </row>
        <row r="386">
          <cell r="A386" t="str">
            <v>2008:2</v>
          </cell>
        </row>
        <row r="387">
          <cell r="A387" t="str">
            <v>2008:3</v>
          </cell>
        </row>
        <row r="388">
          <cell r="A388" t="str">
            <v>2008:4</v>
          </cell>
        </row>
        <row r="389">
          <cell r="A389" t="str">
            <v>2009:1</v>
          </cell>
        </row>
        <row r="390">
          <cell r="A390" t="str">
            <v>2009:2</v>
          </cell>
        </row>
        <row r="391">
          <cell r="A391" t="str">
            <v>2009:3</v>
          </cell>
        </row>
        <row r="392">
          <cell r="A392" t="str">
            <v>2009:4</v>
          </cell>
        </row>
        <row r="393">
          <cell r="A393" t="str">
            <v>2010:1</v>
          </cell>
        </row>
        <row r="394">
          <cell r="A394" t="str">
            <v>2010:2</v>
          </cell>
        </row>
        <row r="395">
          <cell r="A395" t="str">
            <v>2010:3</v>
          </cell>
        </row>
        <row r="396">
          <cell r="A396" t="str">
            <v>2010:4</v>
          </cell>
        </row>
        <row r="397">
          <cell r="A397" t="str">
            <v>2011:1</v>
          </cell>
        </row>
        <row r="398">
          <cell r="A398" t="str">
            <v>2011:2</v>
          </cell>
        </row>
        <row r="399">
          <cell r="A399" t="str">
            <v>2011:3</v>
          </cell>
        </row>
        <row r="400">
          <cell r="A400" t="str">
            <v>2011:4</v>
          </cell>
        </row>
        <row r="401">
          <cell r="A401" t="str">
            <v>2012:1</v>
          </cell>
        </row>
        <row r="402">
          <cell r="A402" t="str">
            <v>2012:2</v>
          </cell>
        </row>
        <row r="403">
          <cell r="A403" t="str">
            <v>2012:3</v>
          </cell>
        </row>
        <row r="404">
          <cell r="A404" t="str">
            <v>2012:4</v>
          </cell>
        </row>
        <row r="405">
          <cell r="A405" t="str">
            <v>2013:1</v>
          </cell>
        </row>
        <row r="406">
          <cell r="A406" t="str">
            <v>2013:2</v>
          </cell>
        </row>
        <row r="407">
          <cell r="A407" t="str">
            <v>2013:3</v>
          </cell>
        </row>
        <row r="408">
          <cell r="A408" t="str">
            <v>2013:4</v>
          </cell>
        </row>
        <row r="409">
          <cell r="A409" t="str">
            <v>2014:1</v>
          </cell>
        </row>
        <row r="410">
          <cell r="A410" t="str">
            <v>2014:2</v>
          </cell>
        </row>
        <row r="411">
          <cell r="A411" t="str">
            <v>2014:3</v>
          </cell>
        </row>
        <row r="412">
          <cell r="A412" t="str">
            <v>2014:4</v>
          </cell>
        </row>
        <row r="413">
          <cell r="A413" t="str">
            <v>2015:1</v>
          </cell>
        </row>
        <row r="414">
          <cell r="A414" t="str">
            <v>2015:2</v>
          </cell>
        </row>
        <row r="415">
          <cell r="A415" t="str">
            <v>2015:3</v>
          </cell>
        </row>
        <row r="416">
          <cell r="A416" t="str">
            <v>2015:4</v>
          </cell>
        </row>
      </sheetData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openxmlformats.org/officeDocument/2006/relationships/externalLinkPath" Target="/Users/dwrh1/Documents/Research/Energy/EF/EF_China/PANDA/Output/Panda.csv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H" refreshedDate="42651.687683680553" createdVersion="4" refreshedVersion="4" minRefreshableVersion="3" recordCount="26497">
  <cacheSource type="worksheet">
    <worksheetSource ref="A1:G1048576" sheet="Panda" r:id="rId2"/>
  </cacheSource>
  <cacheFields count="7">
    <cacheField name="Scenario" numFmtId="0">
      <sharedItems containsBlank="1" count="2">
        <s v="BAU"/>
        <m/>
      </sharedItems>
    </cacheField>
    <cacheField name="year" numFmtId="0">
      <sharedItems containsString="0" containsBlank="1" containsNumber="1" containsInteger="1" minValue="2013" maxValue="2030" count="19"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m/>
      </sharedItems>
    </cacheField>
    <cacheField name="variable" numFmtId="0">
      <sharedItems containsBlank="1" count="68">
        <s v="xp"/>
        <s v="px"/>
        <s v="nd"/>
        <s v="pva"/>
        <s v="kd"/>
        <s v="rent"/>
        <s v="lambdak"/>
        <s v="ld"/>
        <s v="wage"/>
        <s v="xac"/>
        <s v="eexp"/>
        <s v="erxp"/>
        <s v="xd"/>
        <s v="xmt"/>
        <s v="xet"/>
        <s v="pa"/>
        <s v="pd"/>
        <s v="efi"/>
        <s v="efh"/>
        <s v="eft"/>
        <s v="gdpmp"/>
        <s v="rgdpmp"/>
        <s v="pgdpmp"/>
        <s v="pinc"/>
        <s v="tcons"/>
        <s v="tgov"/>
        <s v="tinv"/>
        <s v="texp"/>
        <s v="timp"/>
        <s v="pcons"/>
        <s v="gdpfc"/>
        <s v="rgdpfc"/>
        <s v="pgdpfc"/>
        <s v="pk"/>
        <s v="pland"/>
        <s v="ggdp"/>
        <s v="gl"/>
        <s v="tary"/>
        <s v="rtary"/>
        <s v="tmadj"/>
        <s v="gy"/>
        <s v="gexp"/>
        <s v="savg"/>
        <s v="rsg"/>
        <s v="gtrg"/>
        <s v="plev"/>
        <s v="taxadjh"/>
        <s v="ky"/>
        <s v="ty"/>
        <s v="ry"/>
        <s v="ly"/>
        <s v="yh"/>
        <s v="yd"/>
        <s v="savh"/>
        <s v="taxh"/>
        <s v="cpi"/>
        <s v="fpi"/>
        <s v="epi"/>
        <s v="er"/>
        <s v="savf"/>
        <s v="xm"/>
        <s v="xe"/>
        <s v="pm"/>
        <s v="pe"/>
        <s v="tm"/>
        <s v="ls"/>
        <s v="ewage"/>
        <m/>
      </sharedItems>
    </cacheField>
    <cacheField name="sector" numFmtId="0">
      <sharedItems containsBlank="1" count="50"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ElecDist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HHRural"/>
        <s v="HHUrban"/>
        <m/>
        <s v="Govt"/>
        <s v="Capital"/>
        <s v="Land"/>
        <s v="LabSk"/>
        <s v="LabUn"/>
      </sharedItems>
    </cacheField>
    <cacheField name="qualifier" numFmtId="0">
      <sharedItems containsBlank="1" count="59">
        <m/>
        <s v="Capital"/>
        <s v="LabSk"/>
        <s v="LabUn"/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ElecDist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co2"/>
        <s v="n2o"/>
        <s v="ch4"/>
        <s v="voc"/>
        <s v="co"/>
        <s v="nox"/>
        <s v="sox"/>
        <s v="pm"/>
        <s v="pm10"/>
        <s v="pm25"/>
        <s v="Govt"/>
        <s v="ROW"/>
        <s v="Tot"/>
      </sharedItems>
    </cacheField>
    <cacheField name="type" numFmtId="0">
      <sharedItems containsBlank="1" count="14">
        <s v="S1"/>
        <s v="S2"/>
        <s v="L1"/>
        <s v="L2"/>
        <s v="H1"/>
        <s v="m2"/>
        <s v="M1"/>
        <s v="M3"/>
        <s v="T1"/>
        <s v="T2"/>
        <s v="Govt"/>
        <s v="L3"/>
        <s v="L4"/>
        <m/>
      </sharedItems>
    </cacheField>
    <cacheField name="value" numFmtId="0">
      <sharedItems containsString="0" containsBlank="1" containsNumber="1" minValue="-33.202001414999998" maxValue="17026.101999859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497">
  <r>
    <x v="0"/>
    <x v="0"/>
    <x v="0"/>
    <x v="0"/>
    <x v="0"/>
    <x v="0"/>
    <n v="868.26880565199997"/>
  </r>
  <r>
    <x v="0"/>
    <x v="0"/>
    <x v="1"/>
    <x v="0"/>
    <x v="0"/>
    <x v="1"/>
    <n v="0.65708156200000001"/>
  </r>
  <r>
    <x v="0"/>
    <x v="0"/>
    <x v="2"/>
    <x v="0"/>
    <x v="0"/>
    <x v="1"/>
    <n v="331.75589263199998"/>
  </r>
  <r>
    <x v="0"/>
    <x v="0"/>
    <x v="3"/>
    <x v="0"/>
    <x v="0"/>
    <x v="1"/>
    <n v="0.75805728000000006"/>
  </r>
  <r>
    <x v="0"/>
    <x v="0"/>
    <x v="0"/>
    <x v="1"/>
    <x v="0"/>
    <x v="0"/>
    <n v="299.38856901600002"/>
  </r>
  <r>
    <x v="0"/>
    <x v="0"/>
    <x v="1"/>
    <x v="1"/>
    <x v="0"/>
    <x v="1"/>
    <n v="0.46592029899999998"/>
  </r>
  <r>
    <x v="0"/>
    <x v="0"/>
    <x v="2"/>
    <x v="1"/>
    <x v="0"/>
    <x v="1"/>
    <n v="182.45930094299999"/>
  </r>
  <r>
    <x v="0"/>
    <x v="0"/>
    <x v="3"/>
    <x v="1"/>
    <x v="0"/>
    <x v="1"/>
    <n v="0.562213764"/>
  </r>
  <r>
    <x v="0"/>
    <x v="0"/>
    <x v="0"/>
    <x v="2"/>
    <x v="0"/>
    <x v="0"/>
    <n v="260.85017704000001"/>
  </r>
  <r>
    <x v="0"/>
    <x v="0"/>
    <x v="1"/>
    <x v="2"/>
    <x v="0"/>
    <x v="1"/>
    <n v="0.47385823500000002"/>
  </r>
  <r>
    <x v="0"/>
    <x v="0"/>
    <x v="2"/>
    <x v="2"/>
    <x v="0"/>
    <x v="1"/>
    <n v="149.513451559"/>
  </r>
  <r>
    <x v="0"/>
    <x v="0"/>
    <x v="3"/>
    <x v="2"/>
    <x v="0"/>
    <x v="1"/>
    <n v="0.58247294800000005"/>
  </r>
  <r>
    <x v="0"/>
    <x v="0"/>
    <x v="0"/>
    <x v="3"/>
    <x v="0"/>
    <x v="0"/>
    <n v="181.120056866"/>
  </r>
  <r>
    <x v="0"/>
    <x v="0"/>
    <x v="1"/>
    <x v="3"/>
    <x v="0"/>
    <x v="1"/>
    <n v="0.42515135700000001"/>
  </r>
  <r>
    <x v="0"/>
    <x v="0"/>
    <x v="2"/>
    <x v="3"/>
    <x v="0"/>
    <x v="1"/>
    <n v="123.359772259"/>
  </r>
  <r>
    <x v="0"/>
    <x v="0"/>
    <x v="3"/>
    <x v="3"/>
    <x v="0"/>
    <x v="1"/>
    <n v="0.50399899199999998"/>
  </r>
  <r>
    <x v="0"/>
    <x v="0"/>
    <x v="0"/>
    <x v="4"/>
    <x v="0"/>
    <x v="0"/>
    <n v="79.395389976999994"/>
  </r>
  <r>
    <x v="0"/>
    <x v="0"/>
    <x v="1"/>
    <x v="4"/>
    <x v="0"/>
    <x v="1"/>
    <n v="0.43181647000000001"/>
  </r>
  <r>
    <x v="0"/>
    <x v="0"/>
    <x v="2"/>
    <x v="4"/>
    <x v="0"/>
    <x v="1"/>
    <n v="53.421635240000001"/>
  </r>
  <r>
    <x v="0"/>
    <x v="0"/>
    <x v="3"/>
    <x v="4"/>
    <x v="0"/>
    <x v="1"/>
    <n v="0.51216022699999997"/>
  </r>
  <r>
    <x v="0"/>
    <x v="0"/>
    <x v="0"/>
    <x v="5"/>
    <x v="0"/>
    <x v="0"/>
    <n v="706.41697113400005"/>
  </r>
  <r>
    <x v="0"/>
    <x v="0"/>
    <x v="1"/>
    <x v="5"/>
    <x v="0"/>
    <x v="1"/>
    <n v="0.50046687700000003"/>
  </r>
  <r>
    <x v="0"/>
    <x v="0"/>
    <x v="2"/>
    <x v="5"/>
    <x v="0"/>
    <x v="1"/>
    <n v="590.26500886400004"/>
  </r>
  <r>
    <x v="0"/>
    <x v="0"/>
    <x v="3"/>
    <x v="5"/>
    <x v="0"/>
    <x v="1"/>
    <n v="0.33847730300000001"/>
  </r>
  <r>
    <x v="0"/>
    <x v="0"/>
    <x v="0"/>
    <x v="6"/>
    <x v="0"/>
    <x v="0"/>
    <n v="253.15129267699999"/>
  </r>
  <r>
    <x v="0"/>
    <x v="0"/>
    <x v="1"/>
    <x v="6"/>
    <x v="0"/>
    <x v="1"/>
    <n v="0.46573296400000003"/>
  </r>
  <r>
    <x v="0"/>
    <x v="0"/>
    <x v="2"/>
    <x v="6"/>
    <x v="0"/>
    <x v="1"/>
    <n v="211.89118424899999"/>
  </r>
  <r>
    <x v="0"/>
    <x v="0"/>
    <x v="3"/>
    <x v="6"/>
    <x v="0"/>
    <x v="1"/>
    <n v="0.41249437500000002"/>
  </r>
  <r>
    <x v="0"/>
    <x v="0"/>
    <x v="0"/>
    <x v="7"/>
    <x v="0"/>
    <x v="0"/>
    <n v="175.474235975"/>
  </r>
  <r>
    <x v="0"/>
    <x v="0"/>
    <x v="1"/>
    <x v="7"/>
    <x v="0"/>
    <x v="1"/>
    <n v="0.454990269"/>
  </r>
  <r>
    <x v="0"/>
    <x v="0"/>
    <x v="2"/>
    <x v="7"/>
    <x v="0"/>
    <x v="1"/>
    <n v="142.72821136799999"/>
  </r>
  <r>
    <x v="0"/>
    <x v="0"/>
    <x v="3"/>
    <x v="7"/>
    <x v="0"/>
    <x v="1"/>
    <n v="0.46195370800000002"/>
  </r>
  <r>
    <x v="0"/>
    <x v="0"/>
    <x v="0"/>
    <x v="8"/>
    <x v="0"/>
    <x v="0"/>
    <n v="131.446343275"/>
  </r>
  <r>
    <x v="0"/>
    <x v="0"/>
    <x v="1"/>
    <x v="8"/>
    <x v="0"/>
    <x v="1"/>
    <n v="0.44033565600000002"/>
  </r>
  <r>
    <x v="0"/>
    <x v="0"/>
    <x v="2"/>
    <x v="8"/>
    <x v="0"/>
    <x v="1"/>
    <n v="107.331076044"/>
  </r>
  <r>
    <x v="0"/>
    <x v="0"/>
    <x v="3"/>
    <x v="8"/>
    <x v="0"/>
    <x v="1"/>
    <n v="0.39960659100000001"/>
  </r>
  <r>
    <x v="0"/>
    <x v="0"/>
    <x v="0"/>
    <x v="9"/>
    <x v="0"/>
    <x v="0"/>
    <n v="284.25254262800001"/>
  </r>
  <r>
    <x v="0"/>
    <x v="0"/>
    <x v="1"/>
    <x v="9"/>
    <x v="0"/>
    <x v="1"/>
    <n v="0.42265648"/>
  </r>
  <r>
    <x v="0"/>
    <x v="0"/>
    <x v="2"/>
    <x v="9"/>
    <x v="0"/>
    <x v="1"/>
    <n v="227.61783045300001"/>
  </r>
  <r>
    <x v="0"/>
    <x v="0"/>
    <x v="3"/>
    <x v="9"/>
    <x v="0"/>
    <x v="1"/>
    <n v="0.45677427199999998"/>
  </r>
  <r>
    <x v="0"/>
    <x v="0"/>
    <x v="0"/>
    <x v="10"/>
    <x v="0"/>
    <x v="0"/>
    <n v="423.176660336"/>
  </r>
  <r>
    <x v="0"/>
    <x v="0"/>
    <x v="1"/>
    <x v="10"/>
    <x v="0"/>
    <x v="1"/>
    <n v="0.393978143"/>
  </r>
  <r>
    <x v="0"/>
    <x v="0"/>
    <x v="2"/>
    <x v="10"/>
    <x v="0"/>
    <x v="1"/>
    <n v="387.64733516899997"/>
  </r>
  <r>
    <x v="0"/>
    <x v="0"/>
    <x v="3"/>
    <x v="10"/>
    <x v="0"/>
    <x v="1"/>
    <n v="0.37668000699999998"/>
  </r>
  <r>
    <x v="0"/>
    <x v="0"/>
    <x v="0"/>
    <x v="11"/>
    <x v="0"/>
    <x v="0"/>
    <n v="1170.0228600790001"/>
  </r>
  <r>
    <x v="0"/>
    <x v="0"/>
    <x v="1"/>
    <x v="11"/>
    <x v="0"/>
    <x v="1"/>
    <n v="0.39315375000000002"/>
  </r>
  <r>
    <x v="0"/>
    <x v="0"/>
    <x v="2"/>
    <x v="11"/>
    <x v="0"/>
    <x v="1"/>
    <n v="983.12977211199996"/>
  </r>
  <r>
    <x v="0"/>
    <x v="0"/>
    <x v="3"/>
    <x v="11"/>
    <x v="0"/>
    <x v="1"/>
    <n v="0.339563436"/>
  </r>
  <r>
    <x v="0"/>
    <x v="0"/>
    <x v="0"/>
    <x v="12"/>
    <x v="0"/>
    <x v="0"/>
    <n v="348.10554590800001"/>
  </r>
  <r>
    <x v="0"/>
    <x v="0"/>
    <x v="1"/>
    <x v="12"/>
    <x v="0"/>
    <x v="1"/>
    <n v="0.38896397300000002"/>
  </r>
  <r>
    <x v="0"/>
    <x v="0"/>
    <x v="2"/>
    <x v="12"/>
    <x v="0"/>
    <x v="1"/>
    <n v="278.88147414500003"/>
  </r>
  <r>
    <x v="0"/>
    <x v="0"/>
    <x v="3"/>
    <x v="12"/>
    <x v="0"/>
    <x v="1"/>
    <n v="0.37890468300000002"/>
  </r>
  <r>
    <x v="0"/>
    <x v="0"/>
    <x v="0"/>
    <x v="13"/>
    <x v="0"/>
    <x v="0"/>
    <n v="971.488955132"/>
  </r>
  <r>
    <x v="0"/>
    <x v="0"/>
    <x v="1"/>
    <x v="13"/>
    <x v="0"/>
    <x v="1"/>
    <n v="0.35558745800000002"/>
  </r>
  <r>
    <x v="0"/>
    <x v="0"/>
    <x v="2"/>
    <x v="13"/>
    <x v="0"/>
    <x v="1"/>
    <n v="824.47261758699995"/>
  </r>
  <r>
    <x v="0"/>
    <x v="0"/>
    <x v="3"/>
    <x v="13"/>
    <x v="0"/>
    <x v="1"/>
    <n v="0.29459373300000002"/>
  </r>
  <r>
    <x v="0"/>
    <x v="0"/>
    <x v="0"/>
    <x v="14"/>
    <x v="0"/>
    <x v="0"/>
    <n v="260.02675953200003"/>
  </r>
  <r>
    <x v="0"/>
    <x v="0"/>
    <x v="1"/>
    <x v="14"/>
    <x v="0"/>
    <x v="1"/>
    <n v="0.376563551"/>
  </r>
  <r>
    <x v="0"/>
    <x v="0"/>
    <x v="2"/>
    <x v="14"/>
    <x v="0"/>
    <x v="1"/>
    <n v="217.024046416"/>
  </r>
  <r>
    <x v="0"/>
    <x v="0"/>
    <x v="3"/>
    <x v="14"/>
    <x v="0"/>
    <x v="1"/>
    <n v="0.40572793600000001"/>
  </r>
  <r>
    <x v="0"/>
    <x v="0"/>
    <x v="0"/>
    <x v="15"/>
    <x v="0"/>
    <x v="0"/>
    <n v="314.19784966100002"/>
  </r>
  <r>
    <x v="0"/>
    <x v="0"/>
    <x v="1"/>
    <x v="15"/>
    <x v="0"/>
    <x v="1"/>
    <n v="0.39195396900000001"/>
  </r>
  <r>
    <x v="0"/>
    <x v="0"/>
    <x v="2"/>
    <x v="15"/>
    <x v="0"/>
    <x v="1"/>
    <n v="259.58656575499998"/>
  </r>
  <r>
    <x v="0"/>
    <x v="0"/>
    <x v="3"/>
    <x v="15"/>
    <x v="0"/>
    <x v="1"/>
    <n v="0.42588837800000001"/>
  </r>
  <r>
    <x v="0"/>
    <x v="0"/>
    <x v="0"/>
    <x v="16"/>
    <x v="0"/>
    <x v="0"/>
    <n v="203.71289612699999"/>
  </r>
  <r>
    <x v="0"/>
    <x v="0"/>
    <x v="1"/>
    <x v="16"/>
    <x v="0"/>
    <x v="1"/>
    <n v="0.39317551899999997"/>
  </r>
  <r>
    <x v="0"/>
    <x v="0"/>
    <x v="2"/>
    <x v="16"/>
    <x v="0"/>
    <x v="1"/>
    <n v="166.472344953"/>
  </r>
  <r>
    <x v="0"/>
    <x v="0"/>
    <x v="3"/>
    <x v="16"/>
    <x v="0"/>
    <x v="1"/>
    <n v="0.41115170400000001"/>
  </r>
  <r>
    <x v="0"/>
    <x v="0"/>
    <x v="0"/>
    <x v="17"/>
    <x v="0"/>
    <x v="0"/>
    <n v="447.24459177199998"/>
  </r>
  <r>
    <x v="0"/>
    <x v="0"/>
    <x v="1"/>
    <x v="17"/>
    <x v="0"/>
    <x v="1"/>
    <n v="0.39697019700000002"/>
  </r>
  <r>
    <x v="0"/>
    <x v="0"/>
    <x v="2"/>
    <x v="17"/>
    <x v="0"/>
    <x v="1"/>
    <n v="374.040672943"/>
  </r>
  <r>
    <x v="0"/>
    <x v="0"/>
    <x v="3"/>
    <x v="17"/>
    <x v="0"/>
    <x v="1"/>
    <n v="0.40493592699999997"/>
  </r>
  <r>
    <x v="0"/>
    <x v="0"/>
    <x v="0"/>
    <x v="18"/>
    <x v="0"/>
    <x v="0"/>
    <n v="385.86098122499999"/>
  </r>
  <r>
    <x v="0"/>
    <x v="0"/>
    <x v="1"/>
    <x v="18"/>
    <x v="0"/>
    <x v="1"/>
    <n v="0.37519576500000001"/>
  </r>
  <r>
    <x v="0"/>
    <x v="0"/>
    <x v="2"/>
    <x v="18"/>
    <x v="0"/>
    <x v="1"/>
    <n v="331.06091592199999"/>
  </r>
  <r>
    <x v="0"/>
    <x v="0"/>
    <x v="3"/>
    <x v="18"/>
    <x v="0"/>
    <x v="1"/>
    <n v="0.35790356099999998"/>
  </r>
  <r>
    <x v="0"/>
    <x v="0"/>
    <x v="0"/>
    <x v="19"/>
    <x v="0"/>
    <x v="0"/>
    <n v="512.226850442"/>
  </r>
  <r>
    <x v="0"/>
    <x v="0"/>
    <x v="1"/>
    <x v="19"/>
    <x v="0"/>
    <x v="1"/>
    <n v="0.40460568899999999"/>
  </r>
  <r>
    <x v="0"/>
    <x v="0"/>
    <x v="2"/>
    <x v="19"/>
    <x v="0"/>
    <x v="1"/>
    <n v="434.18226050599998"/>
  </r>
  <r>
    <x v="0"/>
    <x v="0"/>
    <x v="3"/>
    <x v="19"/>
    <x v="0"/>
    <x v="1"/>
    <n v="0.45794911199999999"/>
  </r>
  <r>
    <x v="0"/>
    <x v="0"/>
    <x v="0"/>
    <x v="20"/>
    <x v="0"/>
    <x v="0"/>
    <n v="56.143283101999998"/>
  </r>
  <r>
    <x v="0"/>
    <x v="0"/>
    <x v="1"/>
    <x v="20"/>
    <x v="0"/>
    <x v="1"/>
    <n v="0.398915521"/>
  </r>
  <r>
    <x v="0"/>
    <x v="0"/>
    <x v="2"/>
    <x v="20"/>
    <x v="0"/>
    <x v="1"/>
    <n v="45.012748877"/>
  </r>
  <r>
    <x v="0"/>
    <x v="0"/>
    <x v="3"/>
    <x v="20"/>
    <x v="0"/>
    <x v="1"/>
    <n v="0.42954731600000001"/>
  </r>
  <r>
    <x v="0"/>
    <x v="0"/>
    <x v="0"/>
    <x v="21"/>
    <x v="0"/>
    <x v="0"/>
    <n v="22.348353536000001"/>
  </r>
  <r>
    <x v="0"/>
    <x v="0"/>
    <x v="1"/>
    <x v="21"/>
    <x v="0"/>
    <x v="1"/>
    <n v="0.42406860899999999"/>
  </r>
  <r>
    <x v="0"/>
    <x v="0"/>
    <x v="2"/>
    <x v="21"/>
    <x v="0"/>
    <x v="1"/>
    <n v="18.303849890999999"/>
  </r>
  <r>
    <x v="0"/>
    <x v="0"/>
    <x v="3"/>
    <x v="21"/>
    <x v="0"/>
    <x v="1"/>
    <n v="0.45426552599999998"/>
  </r>
  <r>
    <x v="0"/>
    <x v="0"/>
    <x v="0"/>
    <x v="22"/>
    <x v="0"/>
    <x v="0"/>
    <n v="77.788772511999994"/>
  </r>
  <r>
    <x v="0"/>
    <x v="0"/>
    <x v="1"/>
    <x v="22"/>
    <x v="0"/>
    <x v="1"/>
    <n v="0.32638237799999997"/>
  </r>
  <r>
    <x v="0"/>
    <x v="0"/>
    <x v="2"/>
    <x v="22"/>
    <x v="0"/>
    <x v="1"/>
    <n v="18.693977426"/>
  </r>
  <r>
    <x v="0"/>
    <x v="0"/>
    <x v="3"/>
    <x v="22"/>
    <x v="0"/>
    <x v="1"/>
    <n v="0.31181073599999998"/>
  </r>
  <r>
    <x v="0"/>
    <x v="0"/>
    <x v="0"/>
    <x v="23"/>
    <x v="0"/>
    <x v="0"/>
    <n v="9.7485979520000008"/>
  </r>
  <r>
    <x v="0"/>
    <x v="0"/>
    <x v="1"/>
    <x v="23"/>
    <x v="0"/>
    <x v="1"/>
    <n v="0.43127708599999998"/>
  </r>
  <r>
    <x v="0"/>
    <x v="0"/>
    <x v="2"/>
    <x v="23"/>
    <x v="0"/>
    <x v="1"/>
    <n v="8.039219288"/>
  </r>
  <r>
    <x v="0"/>
    <x v="0"/>
    <x v="3"/>
    <x v="23"/>
    <x v="0"/>
    <x v="1"/>
    <n v="0.63943755999999996"/>
  </r>
  <r>
    <x v="0"/>
    <x v="0"/>
    <x v="0"/>
    <x v="24"/>
    <x v="0"/>
    <x v="0"/>
    <n v="532.84119389600005"/>
  </r>
  <r>
    <x v="0"/>
    <x v="0"/>
    <x v="1"/>
    <x v="24"/>
    <x v="0"/>
    <x v="1"/>
    <n v="0.37197053400000002"/>
  </r>
  <r>
    <x v="0"/>
    <x v="0"/>
    <x v="2"/>
    <x v="24"/>
    <x v="0"/>
    <x v="1"/>
    <n v="417.89415115399999"/>
  </r>
  <r>
    <x v="0"/>
    <x v="0"/>
    <x v="3"/>
    <x v="24"/>
    <x v="0"/>
    <x v="1"/>
    <n v="0.30952464800000001"/>
  </r>
  <r>
    <x v="0"/>
    <x v="0"/>
    <x v="0"/>
    <x v="25"/>
    <x v="0"/>
    <x v="0"/>
    <n v="32.276855279000003"/>
  </r>
  <r>
    <x v="0"/>
    <x v="0"/>
    <x v="1"/>
    <x v="25"/>
    <x v="0"/>
    <x v="1"/>
    <n v="0.371881827"/>
  </r>
  <r>
    <x v="0"/>
    <x v="0"/>
    <x v="2"/>
    <x v="25"/>
    <x v="0"/>
    <x v="1"/>
    <n v="26.007393387"/>
  </r>
  <r>
    <x v="0"/>
    <x v="0"/>
    <x v="3"/>
    <x v="25"/>
    <x v="0"/>
    <x v="1"/>
    <n v="0.27956145500000001"/>
  </r>
  <r>
    <x v="0"/>
    <x v="0"/>
    <x v="0"/>
    <x v="26"/>
    <x v="0"/>
    <x v="0"/>
    <n v="17.761131832"/>
  </r>
  <r>
    <x v="0"/>
    <x v="0"/>
    <x v="1"/>
    <x v="26"/>
    <x v="0"/>
    <x v="1"/>
    <n v="0.42403480999999998"/>
  </r>
  <r>
    <x v="0"/>
    <x v="0"/>
    <x v="2"/>
    <x v="26"/>
    <x v="0"/>
    <x v="1"/>
    <n v="10.515561460000001"/>
  </r>
  <r>
    <x v="0"/>
    <x v="0"/>
    <x v="3"/>
    <x v="26"/>
    <x v="0"/>
    <x v="1"/>
    <n v="0.46300136400000003"/>
  </r>
  <r>
    <x v="0"/>
    <x v="0"/>
    <x v="0"/>
    <x v="27"/>
    <x v="0"/>
    <x v="0"/>
    <n v="781.94858044"/>
  </r>
  <r>
    <x v="0"/>
    <x v="0"/>
    <x v="1"/>
    <x v="27"/>
    <x v="0"/>
    <x v="1"/>
    <n v="0.41911833700000001"/>
  </r>
  <r>
    <x v="0"/>
    <x v="0"/>
    <x v="2"/>
    <x v="27"/>
    <x v="0"/>
    <x v="1"/>
    <n v="603.21513037199998"/>
  </r>
  <r>
    <x v="0"/>
    <x v="0"/>
    <x v="3"/>
    <x v="27"/>
    <x v="0"/>
    <x v="1"/>
    <n v="0.52921673000000002"/>
  </r>
  <r>
    <x v="0"/>
    <x v="0"/>
    <x v="0"/>
    <x v="28"/>
    <x v="0"/>
    <x v="0"/>
    <n v="812.58441752199997"/>
  </r>
  <r>
    <x v="0"/>
    <x v="0"/>
    <x v="1"/>
    <x v="28"/>
    <x v="0"/>
    <x v="1"/>
    <n v="0.388504876"/>
  </r>
  <r>
    <x v="0"/>
    <x v="0"/>
    <x v="2"/>
    <x v="28"/>
    <x v="0"/>
    <x v="1"/>
    <n v="435.05788474000002"/>
  </r>
  <r>
    <x v="0"/>
    <x v="0"/>
    <x v="3"/>
    <x v="28"/>
    <x v="0"/>
    <x v="1"/>
    <n v="0.38824630100000002"/>
  </r>
  <r>
    <x v="0"/>
    <x v="0"/>
    <x v="0"/>
    <x v="29"/>
    <x v="0"/>
    <x v="0"/>
    <n v="631.81488882400004"/>
  </r>
  <r>
    <x v="0"/>
    <x v="0"/>
    <x v="1"/>
    <x v="29"/>
    <x v="0"/>
    <x v="1"/>
    <n v="0.40604003700000002"/>
  </r>
  <r>
    <x v="0"/>
    <x v="0"/>
    <x v="2"/>
    <x v="29"/>
    <x v="0"/>
    <x v="1"/>
    <n v="405.522653085"/>
  </r>
  <r>
    <x v="0"/>
    <x v="0"/>
    <x v="3"/>
    <x v="29"/>
    <x v="0"/>
    <x v="1"/>
    <n v="0.411696852"/>
  </r>
  <r>
    <x v="0"/>
    <x v="0"/>
    <x v="0"/>
    <x v="30"/>
    <x v="0"/>
    <x v="0"/>
    <n v="202.525754404"/>
  </r>
  <r>
    <x v="0"/>
    <x v="0"/>
    <x v="1"/>
    <x v="30"/>
    <x v="0"/>
    <x v="1"/>
    <n v="0.52421507099999998"/>
  </r>
  <r>
    <x v="0"/>
    <x v="0"/>
    <x v="2"/>
    <x v="30"/>
    <x v="0"/>
    <x v="1"/>
    <n v="127.20604347699999"/>
  </r>
  <r>
    <x v="0"/>
    <x v="0"/>
    <x v="3"/>
    <x v="30"/>
    <x v="0"/>
    <x v="1"/>
    <n v="0.57689918399999995"/>
  </r>
  <r>
    <x v="0"/>
    <x v="0"/>
    <x v="0"/>
    <x v="31"/>
    <x v="0"/>
    <x v="0"/>
    <n v="261.44255970099999"/>
  </r>
  <r>
    <x v="0"/>
    <x v="0"/>
    <x v="1"/>
    <x v="31"/>
    <x v="0"/>
    <x v="1"/>
    <n v="0.34140701699999998"/>
  </r>
  <r>
    <x v="0"/>
    <x v="0"/>
    <x v="2"/>
    <x v="31"/>
    <x v="0"/>
    <x v="1"/>
    <n v="143.7552805"/>
  </r>
  <r>
    <x v="0"/>
    <x v="0"/>
    <x v="3"/>
    <x v="31"/>
    <x v="0"/>
    <x v="1"/>
    <n v="0.28635870800000002"/>
  </r>
  <r>
    <x v="0"/>
    <x v="0"/>
    <x v="0"/>
    <x v="32"/>
    <x v="0"/>
    <x v="0"/>
    <n v="774.37580591400001"/>
  </r>
  <r>
    <x v="0"/>
    <x v="0"/>
    <x v="1"/>
    <x v="32"/>
    <x v="0"/>
    <x v="1"/>
    <n v="0.37923954799999998"/>
  </r>
  <r>
    <x v="0"/>
    <x v="0"/>
    <x v="2"/>
    <x v="32"/>
    <x v="0"/>
    <x v="1"/>
    <n v="364.23336264800002"/>
  </r>
  <r>
    <x v="0"/>
    <x v="0"/>
    <x v="3"/>
    <x v="32"/>
    <x v="0"/>
    <x v="1"/>
    <n v="0.36121666800000002"/>
  </r>
  <r>
    <x v="0"/>
    <x v="0"/>
    <x v="0"/>
    <x v="33"/>
    <x v="0"/>
    <x v="0"/>
    <n v="623.62007890200005"/>
  </r>
  <r>
    <x v="0"/>
    <x v="0"/>
    <x v="1"/>
    <x v="33"/>
    <x v="0"/>
    <x v="1"/>
    <n v="0.30761407099999999"/>
  </r>
  <r>
    <x v="0"/>
    <x v="0"/>
    <x v="2"/>
    <x v="33"/>
    <x v="0"/>
    <x v="1"/>
    <n v="240.272572215"/>
  </r>
  <r>
    <x v="0"/>
    <x v="0"/>
    <x v="3"/>
    <x v="33"/>
    <x v="0"/>
    <x v="1"/>
    <n v="0.258789253"/>
  </r>
  <r>
    <x v="0"/>
    <x v="0"/>
    <x v="0"/>
    <x v="34"/>
    <x v="0"/>
    <x v="0"/>
    <n v="393.21758559199998"/>
  </r>
  <r>
    <x v="0"/>
    <x v="0"/>
    <x v="1"/>
    <x v="34"/>
    <x v="0"/>
    <x v="1"/>
    <n v="0.428246715"/>
  </r>
  <r>
    <x v="0"/>
    <x v="0"/>
    <x v="2"/>
    <x v="34"/>
    <x v="0"/>
    <x v="1"/>
    <n v="277.94373377599999"/>
  </r>
  <r>
    <x v="0"/>
    <x v="0"/>
    <x v="3"/>
    <x v="34"/>
    <x v="0"/>
    <x v="1"/>
    <n v="0.468774888"/>
  </r>
  <r>
    <x v="0"/>
    <x v="0"/>
    <x v="0"/>
    <x v="35"/>
    <x v="0"/>
    <x v="0"/>
    <n v="219.19901157999999"/>
  </r>
  <r>
    <x v="0"/>
    <x v="0"/>
    <x v="1"/>
    <x v="35"/>
    <x v="0"/>
    <x v="1"/>
    <n v="0.424796271"/>
  </r>
  <r>
    <x v="0"/>
    <x v="0"/>
    <x v="2"/>
    <x v="35"/>
    <x v="0"/>
    <x v="1"/>
    <n v="143.91195800400001"/>
  </r>
  <r>
    <x v="0"/>
    <x v="0"/>
    <x v="3"/>
    <x v="35"/>
    <x v="0"/>
    <x v="1"/>
    <n v="0.454869464"/>
  </r>
  <r>
    <x v="0"/>
    <x v="0"/>
    <x v="0"/>
    <x v="36"/>
    <x v="0"/>
    <x v="0"/>
    <n v="52.129966017000001"/>
  </r>
  <r>
    <x v="0"/>
    <x v="0"/>
    <x v="1"/>
    <x v="36"/>
    <x v="0"/>
    <x v="1"/>
    <n v="0.445815711"/>
  </r>
  <r>
    <x v="0"/>
    <x v="0"/>
    <x v="2"/>
    <x v="36"/>
    <x v="0"/>
    <x v="1"/>
    <n v="30.794398664999999"/>
  </r>
  <r>
    <x v="0"/>
    <x v="0"/>
    <x v="3"/>
    <x v="36"/>
    <x v="0"/>
    <x v="1"/>
    <n v="0.46327359899999998"/>
  </r>
  <r>
    <x v="0"/>
    <x v="0"/>
    <x v="0"/>
    <x v="37"/>
    <x v="0"/>
    <x v="0"/>
    <n v="147.59548157"/>
  </r>
  <r>
    <x v="0"/>
    <x v="0"/>
    <x v="1"/>
    <x v="37"/>
    <x v="0"/>
    <x v="1"/>
    <n v="0.48967863"/>
  </r>
  <r>
    <x v="0"/>
    <x v="0"/>
    <x v="2"/>
    <x v="37"/>
    <x v="0"/>
    <x v="1"/>
    <n v="77.570290404999994"/>
  </r>
  <r>
    <x v="0"/>
    <x v="0"/>
    <x v="3"/>
    <x v="37"/>
    <x v="0"/>
    <x v="1"/>
    <n v="0.58567614000000001"/>
  </r>
  <r>
    <x v="0"/>
    <x v="0"/>
    <x v="0"/>
    <x v="38"/>
    <x v="0"/>
    <x v="0"/>
    <n v="168.10803009599999"/>
  </r>
  <r>
    <x v="0"/>
    <x v="0"/>
    <x v="1"/>
    <x v="38"/>
    <x v="0"/>
    <x v="1"/>
    <n v="0.60741967100000005"/>
  </r>
  <r>
    <x v="0"/>
    <x v="0"/>
    <x v="2"/>
    <x v="38"/>
    <x v="0"/>
    <x v="1"/>
    <n v="45.400785487"/>
  </r>
  <r>
    <x v="0"/>
    <x v="0"/>
    <x v="3"/>
    <x v="38"/>
    <x v="0"/>
    <x v="1"/>
    <n v="0.67368498300000001"/>
  </r>
  <r>
    <x v="0"/>
    <x v="0"/>
    <x v="0"/>
    <x v="39"/>
    <x v="0"/>
    <x v="0"/>
    <n v="128.36798656100001"/>
  </r>
  <r>
    <x v="0"/>
    <x v="0"/>
    <x v="1"/>
    <x v="39"/>
    <x v="0"/>
    <x v="1"/>
    <n v="0.50697329999999996"/>
  </r>
  <r>
    <x v="0"/>
    <x v="0"/>
    <x v="2"/>
    <x v="39"/>
    <x v="0"/>
    <x v="1"/>
    <n v="73.469411316000006"/>
  </r>
  <r>
    <x v="0"/>
    <x v="0"/>
    <x v="3"/>
    <x v="39"/>
    <x v="0"/>
    <x v="1"/>
    <n v="0.65122628100000002"/>
  </r>
  <r>
    <x v="0"/>
    <x v="0"/>
    <x v="0"/>
    <x v="40"/>
    <x v="0"/>
    <x v="0"/>
    <n v="67.220676775000001"/>
  </r>
  <r>
    <x v="0"/>
    <x v="0"/>
    <x v="1"/>
    <x v="40"/>
    <x v="0"/>
    <x v="1"/>
    <n v="0.45146438900000002"/>
  </r>
  <r>
    <x v="0"/>
    <x v="0"/>
    <x v="2"/>
    <x v="40"/>
    <x v="0"/>
    <x v="1"/>
    <n v="36.027387226999998"/>
  </r>
  <r>
    <x v="0"/>
    <x v="0"/>
    <x v="3"/>
    <x v="40"/>
    <x v="0"/>
    <x v="1"/>
    <n v="0.47435722800000002"/>
  </r>
  <r>
    <x v="0"/>
    <x v="0"/>
    <x v="0"/>
    <x v="41"/>
    <x v="0"/>
    <x v="0"/>
    <n v="279.60905996600002"/>
  </r>
  <r>
    <x v="0"/>
    <x v="0"/>
    <x v="1"/>
    <x v="41"/>
    <x v="0"/>
    <x v="1"/>
    <n v="0.58068492100000002"/>
  </r>
  <r>
    <x v="0"/>
    <x v="0"/>
    <x v="2"/>
    <x v="41"/>
    <x v="0"/>
    <x v="1"/>
    <n v="112.52046504800001"/>
  </r>
  <r>
    <x v="0"/>
    <x v="0"/>
    <x v="3"/>
    <x v="41"/>
    <x v="0"/>
    <x v="1"/>
    <n v="0.68320214400000001"/>
  </r>
  <r>
    <x v="0"/>
    <x v="0"/>
    <x v="4"/>
    <x v="0"/>
    <x v="1"/>
    <x v="0"/>
    <n v="51.152291408000004"/>
  </r>
  <r>
    <x v="0"/>
    <x v="0"/>
    <x v="5"/>
    <x v="0"/>
    <x v="1"/>
    <x v="1"/>
    <n v="8.9707649E-2"/>
  </r>
  <r>
    <x v="0"/>
    <x v="0"/>
    <x v="6"/>
    <x v="0"/>
    <x v="1"/>
    <x v="1"/>
    <n v="0.65946717600000004"/>
  </r>
  <r>
    <x v="0"/>
    <x v="0"/>
    <x v="4"/>
    <x v="1"/>
    <x v="1"/>
    <x v="0"/>
    <n v="81.655003418000007"/>
  </r>
  <r>
    <x v="0"/>
    <x v="0"/>
    <x v="5"/>
    <x v="1"/>
    <x v="1"/>
    <x v="1"/>
    <n v="0.140800539"/>
  </r>
  <r>
    <x v="0"/>
    <x v="0"/>
    <x v="6"/>
    <x v="1"/>
    <x v="1"/>
    <x v="1"/>
    <n v="0.65946717600000004"/>
  </r>
  <r>
    <x v="0"/>
    <x v="0"/>
    <x v="4"/>
    <x v="2"/>
    <x v="1"/>
    <x v="0"/>
    <n v="124.866181193"/>
  </r>
  <r>
    <x v="0"/>
    <x v="0"/>
    <x v="5"/>
    <x v="2"/>
    <x v="1"/>
    <x v="1"/>
    <n v="0.33200858100000002"/>
  </r>
  <r>
    <x v="0"/>
    <x v="0"/>
    <x v="6"/>
    <x v="2"/>
    <x v="1"/>
    <x v="1"/>
    <n v="0.65946717600000004"/>
  </r>
  <r>
    <x v="0"/>
    <x v="0"/>
    <x v="4"/>
    <x v="3"/>
    <x v="1"/>
    <x v="0"/>
    <n v="51.195248915000001"/>
  </r>
  <r>
    <x v="0"/>
    <x v="0"/>
    <x v="5"/>
    <x v="3"/>
    <x v="1"/>
    <x v="1"/>
    <n v="0.15704183099999999"/>
  </r>
  <r>
    <x v="0"/>
    <x v="0"/>
    <x v="6"/>
    <x v="3"/>
    <x v="1"/>
    <x v="1"/>
    <n v="0.65946717600000004"/>
  </r>
  <r>
    <x v="0"/>
    <x v="0"/>
    <x v="4"/>
    <x v="4"/>
    <x v="1"/>
    <x v="0"/>
    <n v="21.343505763"/>
  </r>
  <r>
    <x v="0"/>
    <x v="0"/>
    <x v="5"/>
    <x v="4"/>
    <x v="1"/>
    <x v="1"/>
    <n v="0.121151966"/>
  </r>
  <r>
    <x v="0"/>
    <x v="0"/>
    <x v="6"/>
    <x v="4"/>
    <x v="1"/>
    <x v="1"/>
    <n v="0.65946717600000004"/>
  </r>
  <r>
    <x v="0"/>
    <x v="0"/>
    <x v="4"/>
    <x v="5"/>
    <x v="1"/>
    <x v="0"/>
    <n v="148.568007126"/>
  </r>
  <r>
    <x v="0"/>
    <x v="0"/>
    <x v="5"/>
    <x v="5"/>
    <x v="1"/>
    <x v="1"/>
    <n v="4.5415099E-2"/>
  </r>
  <r>
    <x v="0"/>
    <x v="0"/>
    <x v="6"/>
    <x v="5"/>
    <x v="1"/>
    <x v="1"/>
    <n v="0.65946717600000004"/>
  </r>
  <r>
    <x v="0"/>
    <x v="0"/>
    <x v="4"/>
    <x v="6"/>
    <x v="1"/>
    <x v="0"/>
    <n v="46.398056941999997"/>
  </r>
  <r>
    <x v="0"/>
    <x v="0"/>
    <x v="5"/>
    <x v="6"/>
    <x v="1"/>
    <x v="1"/>
    <n v="3.7838427000000001E-2"/>
  </r>
  <r>
    <x v="0"/>
    <x v="0"/>
    <x v="6"/>
    <x v="6"/>
    <x v="1"/>
    <x v="1"/>
    <n v="0.65946717600000004"/>
  </r>
  <r>
    <x v="0"/>
    <x v="0"/>
    <x v="4"/>
    <x v="7"/>
    <x v="1"/>
    <x v="0"/>
    <n v="33.596330795"/>
  </r>
  <r>
    <x v="0"/>
    <x v="0"/>
    <x v="5"/>
    <x v="7"/>
    <x v="1"/>
    <x v="1"/>
    <n v="2.9815296000000002E-2"/>
  </r>
  <r>
    <x v="0"/>
    <x v="0"/>
    <x v="6"/>
    <x v="7"/>
    <x v="1"/>
    <x v="1"/>
    <n v="0.65946717600000004"/>
  </r>
  <r>
    <x v="0"/>
    <x v="0"/>
    <x v="4"/>
    <x v="8"/>
    <x v="1"/>
    <x v="0"/>
    <n v="27.885860675"/>
  </r>
  <r>
    <x v="0"/>
    <x v="0"/>
    <x v="5"/>
    <x v="8"/>
    <x v="1"/>
    <x v="1"/>
    <n v="3.8211569000000001E-2"/>
  </r>
  <r>
    <x v="0"/>
    <x v="0"/>
    <x v="6"/>
    <x v="8"/>
    <x v="1"/>
    <x v="1"/>
    <n v="0.65946717600000004"/>
  </r>
  <r>
    <x v="0"/>
    <x v="0"/>
    <x v="4"/>
    <x v="9"/>
    <x v="1"/>
    <x v="0"/>
    <n v="53.90060922"/>
  </r>
  <r>
    <x v="0"/>
    <x v="0"/>
    <x v="5"/>
    <x v="9"/>
    <x v="1"/>
    <x v="1"/>
    <n v="7.2581485000000001E-2"/>
  </r>
  <r>
    <x v="0"/>
    <x v="0"/>
    <x v="6"/>
    <x v="9"/>
    <x v="1"/>
    <x v="1"/>
    <n v="0.65946717600000004"/>
  </r>
  <r>
    <x v="0"/>
    <x v="0"/>
    <x v="4"/>
    <x v="10"/>
    <x v="1"/>
    <x v="0"/>
    <n v="40.744828978999998"/>
  </r>
  <r>
    <x v="0"/>
    <x v="0"/>
    <x v="5"/>
    <x v="10"/>
    <x v="1"/>
    <x v="1"/>
    <n v="7.8156085E-2"/>
  </r>
  <r>
    <x v="0"/>
    <x v="0"/>
    <x v="6"/>
    <x v="10"/>
    <x v="1"/>
    <x v="1"/>
    <n v="0.65946717600000004"/>
  </r>
  <r>
    <x v="0"/>
    <x v="0"/>
    <x v="4"/>
    <x v="11"/>
    <x v="1"/>
    <x v="0"/>
    <n v="231.813065193"/>
  </r>
  <r>
    <x v="0"/>
    <x v="0"/>
    <x v="5"/>
    <x v="11"/>
    <x v="1"/>
    <x v="1"/>
    <n v="6.3499337000000003E-2"/>
  </r>
  <r>
    <x v="0"/>
    <x v="0"/>
    <x v="6"/>
    <x v="11"/>
    <x v="1"/>
    <x v="1"/>
    <n v="0.65946717600000004"/>
  </r>
  <r>
    <x v="0"/>
    <x v="0"/>
    <x v="4"/>
    <x v="12"/>
    <x v="1"/>
    <x v="0"/>
    <n v="82.720966493000006"/>
  </r>
  <r>
    <x v="0"/>
    <x v="0"/>
    <x v="5"/>
    <x v="12"/>
    <x v="1"/>
    <x v="1"/>
    <n v="4.1868715000000001E-2"/>
  </r>
  <r>
    <x v="0"/>
    <x v="0"/>
    <x v="6"/>
    <x v="12"/>
    <x v="1"/>
    <x v="1"/>
    <n v="0.65946717600000004"/>
  </r>
  <r>
    <x v="0"/>
    <x v="0"/>
    <x v="4"/>
    <x v="13"/>
    <x v="1"/>
    <x v="0"/>
    <n v="199.746818042"/>
  </r>
  <r>
    <x v="0"/>
    <x v="0"/>
    <x v="5"/>
    <x v="13"/>
    <x v="1"/>
    <x v="1"/>
    <n v="5.0553511000000002E-2"/>
  </r>
  <r>
    <x v="0"/>
    <x v="0"/>
    <x v="6"/>
    <x v="13"/>
    <x v="1"/>
    <x v="1"/>
    <n v="0.65946717600000004"/>
  </r>
  <r>
    <x v="0"/>
    <x v="0"/>
    <x v="4"/>
    <x v="14"/>
    <x v="1"/>
    <x v="0"/>
    <n v="47.62000622"/>
  </r>
  <r>
    <x v="0"/>
    <x v="0"/>
    <x v="5"/>
    <x v="14"/>
    <x v="1"/>
    <x v="1"/>
    <n v="4.9587692000000003E-2"/>
  </r>
  <r>
    <x v="0"/>
    <x v="0"/>
    <x v="6"/>
    <x v="14"/>
    <x v="1"/>
    <x v="1"/>
    <n v="0.65946717600000004"/>
  </r>
  <r>
    <x v="0"/>
    <x v="0"/>
    <x v="4"/>
    <x v="15"/>
    <x v="1"/>
    <x v="0"/>
    <n v="58.450761321000002"/>
  </r>
  <r>
    <x v="0"/>
    <x v="0"/>
    <x v="5"/>
    <x v="15"/>
    <x v="1"/>
    <x v="1"/>
    <n v="4.3757926000000003E-2"/>
  </r>
  <r>
    <x v="0"/>
    <x v="0"/>
    <x v="6"/>
    <x v="15"/>
    <x v="1"/>
    <x v="1"/>
    <n v="0.65946717600000004"/>
  </r>
  <r>
    <x v="0"/>
    <x v="0"/>
    <x v="4"/>
    <x v="16"/>
    <x v="1"/>
    <x v="0"/>
    <n v="42.615095926000002"/>
  </r>
  <r>
    <x v="0"/>
    <x v="0"/>
    <x v="5"/>
    <x v="16"/>
    <x v="1"/>
    <x v="1"/>
    <n v="3.402384E-2"/>
  </r>
  <r>
    <x v="0"/>
    <x v="0"/>
    <x v="6"/>
    <x v="16"/>
    <x v="1"/>
    <x v="1"/>
    <n v="0.65946717600000004"/>
  </r>
  <r>
    <x v="0"/>
    <x v="0"/>
    <x v="4"/>
    <x v="17"/>
    <x v="1"/>
    <x v="0"/>
    <n v="83.849995820000004"/>
  </r>
  <r>
    <x v="0"/>
    <x v="0"/>
    <x v="5"/>
    <x v="17"/>
    <x v="1"/>
    <x v="1"/>
    <n v="3.7507223999999999E-2"/>
  </r>
  <r>
    <x v="0"/>
    <x v="0"/>
    <x v="6"/>
    <x v="17"/>
    <x v="1"/>
    <x v="1"/>
    <n v="0.65946717600000004"/>
  </r>
  <r>
    <x v="0"/>
    <x v="0"/>
    <x v="4"/>
    <x v="18"/>
    <x v="1"/>
    <x v="0"/>
    <n v="67.995802581999996"/>
  </r>
  <r>
    <x v="0"/>
    <x v="0"/>
    <x v="5"/>
    <x v="18"/>
    <x v="1"/>
    <x v="1"/>
    <n v="4.3309211E-2"/>
  </r>
  <r>
    <x v="0"/>
    <x v="0"/>
    <x v="6"/>
    <x v="18"/>
    <x v="1"/>
    <x v="1"/>
    <n v="0.65946717600000004"/>
  </r>
  <r>
    <x v="0"/>
    <x v="0"/>
    <x v="4"/>
    <x v="19"/>
    <x v="1"/>
    <x v="0"/>
    <n v="75.811256213999997"/>
  </r>
  <r>
    <x v="0"/>
    <x v="0"/>
    <x v="5"/>
    <x v="19"/>
    <x v="1"/>
    <x v="1"/>
    <n v="5.0337509000000003E-2"/>
  </r>
  <r>
    <x v="0"/>
    <x v="0"/>
    <x v="6"/>
    <x v="19"/>
    <x v="1"/>
    <x v="1"/>
    <n v="0.65946717600000004"/>
  </r>
  <r>
    <x v="0"/>
    <x v="0"/>
    <x v="4"/>
    <x v="20"/>
    <x v="1"/>
    <x v="0"/>
    <n v="11.343034900999999"/>
  </r>
  <r>
    <x v="0"/>
    <x v="0"/>
    <x v="5"/>
    <x v="20"/>
    <x v="1"/>
    <x v="1"/>
    <n v="7.8421531000000003E-2"/>
  </r>
  <r>
    <x v="0"/>
    <x v="0"/>
    <x v="6"/>
    <x v="20"/>
    <x v="1"/>
    <x v="1"/>
    <n v="0.65946717600000004"/>
  </r>
  <r>
    <x v="0"/>
    <x v="0"/>
    <x v="4"/>
    <x v="21"/>
    <x v="1"/>
    <x v="0"/>
    <n v="3.903497486"/>
  </r>
  <r>
    <x v="0"/>
    <x v="0"/>
    <x v="5"/>
    <x v="21"/>
    <x v="1"/>
    <x v="1"/>
    <n v="6.2075854999999999E-2"/>
  </r>
  <r>
    <x v="0"/>
    <x v="0"/>
    <x v="6"/>
    <x v="21"/>
    <x v="1"/>
    <x v="1"/>
    <n v="0.65946717600000004"/>
  </r>
  <r>
    <x v="0"/>
    <x v="0"/>
    <x v="4"/>
    <x v="22"/>
    <x v="1"/>
    <x v="0"/>
    <n v="86.926940721999998"/>
  </r>
  <r>
    <x v="0"/>
    <x v="0"/>
    <x v="5"/>
    <x v="22"/>
    <x v="1"/>
    <x v="1"/>
    <n v="0.19202398000000001"/>
  </r>
  <r>
    <x v="0"/>
    <x v="0"/>
    <x v="6"/>
    <x v="22"/>
    <x v="1"/>
    <x v="1"/>
    <n v="0.65946717600000004"/>
  </r>
  <r>
    <x v="0"/>
    <x v="0"/>
    <x v="4"/>
    <x v="23"/>
    <x v="1"/>
    <x v="0"/>
    <n v="0.76594109700000002"/>
  </r>
  <r>
    <x v="0"/>
    <x v="0"/>
    <x v="5"/>
    <x v="23"/>
    <x v="1"/>
    <x v="1"/>
    <n v="9.4091648999999999E-2"/>
  </r>
  <r>
    <x v="0"/>
    <x v="0"/>
    <x v="6"/>
    <x v="23"/>
    <x v="1"/>
    <x v="1"/>
    <n v="0.65946717600000004"/>
  </r>
  <r>
    <x v="0"/>
    <x v="0"/>
    <x v="4"/>
    <x v="24"/>
    <x v="1"/>
    <x v="0"/>
    <n v="148.77857948900001"/>
  </r>
  <r>
    <x v="0"/>
    <x v="0"/>
    <x v="5"/>
    <x v="24"/>
    <x v="1"/>
    <x v="1"/>
    <n v="7.6052518999999999E-2"/>
  </r>
  <r>
    <x v="0"/>
    <x v="0"/>
    <x v="6"/>
    <x v="24"/>
    <x v="1"/>
    <x v="1"/>
    <n v="0.65946717600000004"/>
  </r>
  <r>
    <x v="0"/>
    <x v="0"/>
    <x v="4"/>
    <x v="25"/>
    <x v="1"/>
    <x v="0"/>
    <n v="8.5312496299999996"/>
  </r>
  <r>
    <x v="0"/>
    <x v="0"/>
    <x v="5"/>
    <x v="25"/>
    <x v="1"/>
    <x v="1"/>
    <n v="6.5563999999999997E-2"/>
  </r>
  <r>
    <x v="0"/>
    <x v="0"/>
    <x v="6"/>
    <x v="25"/>
    <x v="1"/>
    <x v="1"/>
    <n v="0.65946717600000004"/>
  </r>
  <r>
    <x v="0"/>
    <x v="0"/>
    <x v="4"/>
    <x v="26"/>
    <x v="1"/>
    <x v="0"/>
    <n v="6.7653638210000002"/>
  </r>
  <r>
    <x v="0"/>
    <x v="0"/>
    <x v="5"/>
    <x v="26"/>
    <x v="1"/>
    <x v="1"/>
    <n v="8.3635942000000005E-2"/>
  </r>
  <r>
    <x v="0"/>
    <x v="0"/>
    <x v="6"/>
    <x v="26"/>
    <x v="1"/>
    <x v="1"/>
    <n v="0.65946717600000004"/>
  </r>
  <r>
    <x v="0"/>
    <x v="0"/>
    <x v="4"/>
    <x v="27"/>
    <x v="1"/>
    <x v="0"/>
    <n v="148.88801430300001"/>
  </r>
  <r>
    <x v="0"/>
    <x v="0"/>
    <x v="5"/>
    <x v="27"/>
    <x v="1"/>
    <x v="1"/>
    <n v="2.9015822E-2"/>
  </r>
  <r>
    <x v="0"/>
    <x v="0"/>
    <x v="6"/>
    <x v="27"/>
    <x v="1"/>
    <x v="1"/>
    <n v="0.65946717600000004"/>
  </r>
  <r>
    <x v="0"/>
    <x v="0"/>
    <x v="4"/>
    <x v="28"/>
    <x v="1"/>
    <x v="0"/>
    <n v="422.702232665"/>
  </r>
  <r>
    <x v="0"/>
    <x v="0"/>
    <x v="5"/>
    <x v="28"/>
    <x v="1"/>
    <x v="1"/>
    <n v="8.8681367999999997E-2"/>
  </r>
  <r>
    <x v="0"/>
    <x v="0"/>
    <x v="6"/>
    <x v="28"/>
    <x v="1"/>
    <x v="1"/>
    <n v="0.65946717600000004"/>
  </r>
  <r>
    <x v="0"/>
    <x v="0"/>
    <x v="4"/>
    <x v="29"/>
    <x v="1"/>
    <x v="0"/>
    <n v="240.717112813"/>
  </r>
  <r>
    <x v="0"/>
    <x v="0"/>
    <x v="5"/>
    <x v="29"/>
    <x v="1"/>
    <x v="1"/>
    <n v="7.6118015999999997E-2"/>
  </r>
  <r>
    <x v="0"/>
    <x v="0"/>
    <x v="6"/>
    <x v="29"/>
    <x v="1"/>
    <x v="1"/>
    <n v="0.65946717600000004"/>
  </r>
  <r>
    <x v="0"/>
    <x v="0"/>
    <x v="4"/>
    <x v="30"/>
    <x v="1"/>
    <x v="0"/>
    <n v="47.394419345999999"/>
  </r>
  <r>
    <x v="0"/>
    <x v="0"/>
    <x v="5"/>
    <x v="30"/>
    <x v="1"/>
    <x v="1"/>
    <n v="6.5697642000000001E-2"/>
  </r>
  <r>
    <x v="0"/>
    <x v="0"/>
    <x v="6"/>
    <x v="30"/>
    <x v="1"/>
    <x v="1"/>
    <n v="0.65946717600000004"/>
  </r>
  <r>
    <x v="0"/>
    <x v="0"/>
    <x v="4"/>
    <x v="31"/>
    <x v="1"/>
    <x v="0"/>
    <n v="158.41341810899999"/>
  </r>
  <r>
    <x v="0"/>
    <x v="0"/>
    <x v="5"/>
    <x v="31"/>
    <x v="1"/>
    <x v="1"/>
    <n v="6.7280462999999999E-2"/>
  </r>
  <r>
    <x v="0"/>
    <x v="0"/>
    <x v="6"/>
    <x v="31"/>
    <x v="1"/>
    <x v="1"/>
    <n v="0.65946717600000004"/>
  </r>
  <r>
    <x v="0"/>
    <x v="0"/>
    <x v="4"/>
    <x v="32"/>
    <x v="1"/>
    <x v="0"/>
    <n v="491.00584035000003"/>
  </r>
  <r>
    <x v="0"/>
    <x v="0"/>
    <x v="5"/>
    <x v="32"/>
    <x v="1"/>
    <x v="1"/>
    <n v="0.11287293900000001"/>
  </r>
  <r>
    <x v="0"/>
    <x v="0"/>
    <x v="6"/>
    <x v="32"/>
    <x v="1"/>
    <x v="1"/>
    <n v="0.65946717600000004"/>
  </r>
  <r>
    <x v="0"/>
    <x v="0"/>
    <x v="4"/>
    <x v="33"/>
    <x v="1"/>
    <x v="0"/>
    <n v="542.103389558"/>
  </r>
  <r>
    <x v="0"/>
    <x v="0"/>
    <x v="5"/>
    <x v="33"/>
    <x v="1"/>
    <x v="1"/>
    <n v="0.120874942"/>
  </r>
  <r>
    <x v="0"/>
    <x v="0"/>
    <x v="6"/>
    <x v="33"/>
    <x v="1"/>
    <x v="1"/>
    <n v="0.65946717600000004"/>
  </r>
  <r>
    <x v="0"/>
    <x v="0"/>
    <x v="4"/>
    <x v="34"/>
    <x v="1"/>
    <x v="0"/>
    <n v="106.36824174100001"/>
  </r>
  <r>
    <x v="0"/>
    <x v="0"/>
    <x v="5"/>
    <x v="34"/>
    <x v="1"/>
    <x v="1"/>
    <n v="9.8981752000000006E-2"/>
  </r>
  <r>
    <x v="0"/>
    <x v="0"/>
    <x v="6"/>
    <x v="34"/>
    <x v="1"/>
    <x v="1"/>
    <n v="0.65946717600000004"/>
  </r>
  <r>
    <x v="0"/>
    <x v="0"/>
    <x v="4"/>
    <x v="35"/>
    <x v="1"/>
    <x v="0"/>
    <n v="72.636552730999995"/>
  </r>
  <r>
    <x v="0"/>
    <x v="0"/>
    <x v="5"/>
    <x v="35"/>
    <x v="1"/>
    <x v="1"/>
    <n v="6.0835060000000003E-2"/>
  </r>
  <r>
    <x v="0"/>
    <x v="0"/>
    <x v="6"/>
    <x v="35"/>
    <x v="1"/>
    <x v="1"/>
    <n v="0.65946717600000004"/>
  </r>
  <r>
    <x v="0"/>
    <x v="0"/>
    <x v="4"/>
    <x v="36"/>
    <x v="1"/>
    <x v="0"/>
    <n v="20.204039915999999"/>
  </r>
  <r>
    <x v="0"/>
    <x v="0"/>
    <x v="5"/>
    <x v="36"/>
    <x v="1"/>
    <x v="1"/>
    <n v="5.7192142000000001E-2"/>
  </r>
  <r>
    <x v="0"/>
    <x v="0"/>
    <x v="6"/>
    <x v="36"/>
    <x v="1"/>
    <x v="1"/>
    <n v="0.65946717600000004"/>
  </r>
  <r>
    <x v="0"/>
    <x v="0"/>
    <x v="4"/>
    <x v="37"/>
    <x v="1"/>
    <x v="0"/>
    <n v="42.106440094"/>
  </r>
  <r>
    <x v="0"/>
    <x v="0"/>
    <x v="5"/>
    <x v="37"/>
    <x v="1"/>
    <x v="1"/>
    <n v="7.6215135000000003E-2"/>
  </r>
  <r>
    <x v="0"/>
    <x v="0"/>
    <x v="6"/>
    <x v="37"/>
    <x v="1"/>
    <x v="1"/>
    <n v="0.65946717600000004"/>
  </r>
  <r>
    <x v="0"/>
    <x v="0"/>
    <x v="4"/>
    <x v="38"/>
    <x v="1"/>
    <x v="0"/>
    <n v="43.294018497000003"/>
  </r>
  <r>
    <x v="0"/>
    <x v="0"/>
    <x v="5"/>
    <x v="38"/>
    <x v="1"/>
    <x v="1"/>
    <n v="5.5339566E-2"/>
  </r>
  <r>
    <x v="0"/>
    <x v="0"/>
    <x v="6"/>
    <x v="38"/>
    <x v="1"/>
    <x v="1"/>
    <n v="0.65946717600000004"/>
  </r>
  <r>
    <x v="0"/>
    <x v="0"/>
    <x v="4"/>
    <x v="39"/>
    <x v="1"/>
    <x v="0"/>
    <n v="24.028400788999999"/>
  </r>
  <r>
    <x v="0"/>
    <x v="0"/>
    <x v="5"/>
    <x v="39"/>
    <x v="1"/>
    <x v="1"/>
    <n v="3.7232372999999999E-2"/>
  </r>
  <r>
    <x v="0"/>
    <x v="0"/>
    <x v="6"/>
    <x v="39"/>
    <x v="1"/>
    <x v="1"/>
    <n v="0.65946717600000004"/>
  </r>
  <r>
    <x v="0"/>
    <x v="0"/>
    <x v="4"/>
    <x v="40"/>
    <x v="1"/>
    <x v="0"/>
    <n v="28.262830900000001"/>
  </r>
  <r>
    <x v="0"/>
    <x v="0"/>
    <x v="5"/>
    <x v="40"/>
    <x v="1"/>
    <x v="1"/>
    <n v="7.2593911999999997E-2"/>
  </r>
  <r>
    <x v="0"/>
    <x v="0"/>
    <x v="6"/>
    <x v="40"/>
    <x v="1"/>
    <x v="1"/>
    <n v="0.65946717600000004"/>
  </r>
  <r>
    <x v="0"/>
    <x v="0"/>
    <x v="4"/>
    <x v="41"/>
    <x v="1"/>
    <x v="0"/>
    <n v="53.624887047000001"/>
  </r>
  <r>
    <x v="0"/>
    <x v="0"/>
    <x v="5"/>
    <x v="41"/>
    <x v="1"/>
    <x v="1"/>
    <n v="6.5000799999999997E-2"/>
  </r>
  <r>
    <x v="0"/>
    <x v="0"/>
    <x v="6"/>
    <x v="41"/>
    <x v="1"/>
    <x v="1"/>
    <n v="0.65946717600000004"/>
  </r>
  <r>
    <x v="0"/>
    <x v="0"/>
    <x v="7"/>
    <x v="0"/>
    <x v="2"/>
    <x v="2"/>
    <n v="385.55473805899999"/>
  </r>
  <r>
    <x v="0"/>
    <x v="0"/>
    <x v="7"/>
    <x v="1"/>
    <x v="2"/>
    <x v="2"/>
    <n v="52.596385245"/>
  </r>
  <r>
    <x v="0"/>
    <x v="0"/>
    <x v="7"/>
    <x v="2"/>
    <x v="2"/>
    <x v="2"/>
    <n v="22.592703112999999"/>
  </r>
  <r>
    <x v="0"/>
    <x v="0"/>
    <x v="7"/>
    <x v="3"/>
    <x v="2"/>
    <x v="2"/>
    <n v="20.489808259"/>
  </r>
  <r>
    <x v="0"/>
    <x v="0"/>
    <x v="7"/>
    <x v="4"/>
    <x v="2"/>
    <x v="2"/>
    <n v="10.42375723"/>
  </r>
  <r>
    <x v="0"/>
    <x v="0"/>
    <x v="7"/>
    <x v="5"/>
    <x v="2"/>
    <x v="2"/>
    <n v="32.110933979999999"/>
  </r>
  <r>
    <x v="0"/>
    <x v="0"/>
    <x v="7"/>
    <x v="6"/>
    <x v="2"/>
    <x v="2"/>
    <n v="14.971370221000001"/>
  </r>
  <r>
    <x v="0"/>
    <x v="0"/>
    <x v="7"/>
    <x v="7"/>
    <x v="2"/>
    <x v="2"/>
    <n v="13.808818235"/>
  </r>
  <r>
    <x v="0"/>
    <x v="0"/>
    <x v="7"/>
    <x v="8"/>
    <x v="2"/>
    <x v="2"/>
    <n v="8.4146113049999993"/>
  </r>
  <r>
    <x v="0"/>
    <x v="0"/>
    <x v="7"/>
    <x v="9"/>
    <x v="2"/>
    <x v="2"/>
    <n v="21.449604884999999"/>
  </r>
  <r>
    <x v="0"/>
    <x v="0"/>
    <x v="7"/>
    <x v="10"/>
    <x v="2"/>
    <x v="2"/>
    <n v="10.013404988"/>
  </r>
  <r>
    <x v="0"/>
    <x v="0"/>
    <x v="7"/>
    <x v="11"/>
    <x v="2"/>
    <x v="2"/>
    <n v="48.010934730000002"/>
  </r>
  <r>
    <x v="0"/>
    <x v="0"/>
    <x v="7"/>
    <x v="12"/>
    <x v="2"/>
    <x v="2"/>
    <n v="22.381509355999999"/>
  </r>
  <r>
    <x v="0"/>
    <x v="0"/>
    <x v="7"/>
    <x v="13"/>
    <x v="2"/>
    <x v="2"/>
    <n v="32.850635523999998"/>
  </r>
  <r>
    <x v="0"/>
    <x v="0"/>
    <x v="7"/>
    <x v="14"/>
    <x v="2"/>
    <x v="2"/>
    <n v="14.798086916999999"/>
  </r>
  <r>
    <x v="0"/>
    <x v="0"/>
    <x v="7"/>
    <x v="15"/>
    <x v="2"/>
    <x v="2"/>
    <n v="20.280434226000001"/>
  </r>
  <r>
    <x v="0"/>
    <x v="0"/>
    <x v="7"/>
    <x v="16"/>
    <x v="2"/>
    <x v="2"/>
    <n v="13.599037223"/>
  </r>
  <r>
    <x v="0"/>
    <x v="0"/>
    <x v="7"/>
    <x v="17"/>
    <x v="2"/>
    <x v="2"/>
    <n v="26.004715101999999"/>
  </r>
  <r>
    <x v="0"/>
    <x v="0"/>
    <x v="7"/>
    <x v="18"/>
    <x v="2"/>
    <x v="2"/>
    <n v="16.411775983999998"/>
  </r>
  <r>
    <x v="0"/>
    <x v="0"/>
    <x v="7"/>
    <x v="19"/>
    <x v="2"/>
    <x v="2"/>
    <n v="31.201266696000001"/>
  </r>
  <r>
    <x v="0"/>
    <x v="0"/>
    <x v="7"/>
    <x v="20"/>
    <x v="2"/>
    <x v="2"/>
    <n v="3.807649235"/>
  </r>
  <r>
    <x v="0"/>
    <x v="0"/>
    <x v="7"/>
    <x v="21"/>
    <x v="2"/>
    <x v="2"/>
    <n v="1.5587666979999999"/>
  </r>
  <r>
    <x v="0"/>
    <x v="0"/>
    <x v="7"/>
    <x v="22"/>
    <x v="2"/>
    <x v="2"/>
    <n v="1.699641561"/>
  </r>
  <r>
    <x v="0"/>
    <x v="0"/>
    <x v="7"/>
    <x v="23"/>
    <x v="2"/>
    <x v="2"/>
    <n v="0.98600043299999995"/>
  </r>
  <r>
    <x v="0"/>
    <x v="0"/>
    <x v="7"/>
    <x v="24"/>
    <x v="2"/>
    <x v="2"/>
    <n v="23.935723708000001"/>
  </r>
  <r>
    <x v="0"/>
    <x v="0"/>
    <x v="7"/>
    <x v="25"/>
    <x v="2"/>
    <x v="2"/>
    <n v="1.1806049750000001"/>
  </r>
  <r>
    <x v="0"/>
    <x v="0"/>
    <x v="7"/>
    <x v="26"/>
    <x v="2"/>
    <x v="2"/>
    <n v="2.7226158479999998"/>
  </r>
  <r>
    <x v="0"/>
    <x v="0"/>
    <x v="7"/>
    <x v="27"/>
    <x v="2"/>
    <x v="2"/>
    <n v="87.836716340999999"/>
  </r>
  <r>
    <x v="0"/>
    <x v="0"/>
    <x v="7"/>
    <x v="28"/>
    <x v="2"/>
    <x v="2"/>
    <n v="106.981050364"/>
  </r>
  <r>
    <x v="0"/>
    <x v="0"/>
    <x v="7"/>
    <x v="29"/>
    <x v="2"/>
    <x v="2"/>
    <n v="73.317130535000004"/>
  </r>
  <r>
    <x v="0"/>
    <x v="0"/>
    <x v="7"/>
    <x v="30"/>
    <x v="2"/>
    <x v="2"/>
    <n v="39.113017878999997"/>
  </r>
  <r>
    <x v="0"/>
    <x v="0"/>
    <x v="7"/>
    <x v="31"/>
    <x v="2"/>
    <x v="2"/>
    <n v="22.781925664999999"/>
  </r>
  <r>
    <x v="0"/>
    <x v="0"/>
    <x v="7"/>
    <x v="32"/>
    <x v="2"/>
    <x v="2"/>
    <n v="91.0013632"/>
  </r>
  <r>
    <x v="0"/>
    <x v="0"/>
    <x v="7"/>
    <x v="33"/>
    <x v="2"/>
    <x v="2"/>
    <n v="33.242512402000003"/>
  </r>
  <r>
    <x v="0"/>
    <x v="0"/>
    <x v="7"/>
    <x v="34"/>
    <x v="2"/>
    <x v="2"/>
    <n v="42.444786993000001"/>
  </r>
  <r>
    <x v="0"/>
    <x v="0"/>
    <x v="7"/>
    <x v="35"/>
    <x v="2"/>
    <x v="2"/>
    <n v="29.149739437000001"/>
  </r>
  <r>
    <x v="0"/>
    <x v="0"/>
    <x v="7"/>
    <x v="36"/>
    <x v="2"/>
    <x v="2"/>
    <n v="8.5265296090000007"/>
  </r>
  <r>
    <x v="0"/>
    <x v="0"/>
    <x v="7"/>
    <x v="37"/>
    <x v="2"/>
    <x v="2"/>
    <n v="36.631338671000002"/>
  </r>
  <r>
    <x v="0"/>
    <x v="0"/>
    <x v="7"/>
    <x v="38"/>
    <x v="2"/>
    <x v="2"/>
    <n v="77.369735229"/>
  </r>
  <r>
    <x v="0"/>
    <x v="0"/>
    <x v="7"/>
    <x v="39"/>
    <x v="2"/>
    <x v="2"/>
    <n v="33.646683807999999"/>
  </r>
  <r>
    <x v="0"/>
    <x v="0"/>
    <x v="7"/>
    <x v="40"/>
    <x v="2"/>
    <x v="2"/>
    <n v="12.436501606"/>
  </r>
  <r>
    <x v="0"/>
    <x v="0"/>
    <x v="7"/>
    <x v="41"/>
    <x v="2"/>
    <x v="2"/>
    <n v="106.605274763"/>
  </r>
  <r>
    <x v="0"/>
    <x v="0"/>
    <x v="8"/>
    <x v="0"/>
    <x v="2"/>
    <x v="3"/>
    <n v="0.52698315900000003"/>
  </r>
  <r>
    <x v="0"/>
    <x v="0"/>
    <x v="8"/>
    <x v="1"/>
    <x v="2"/>
    <x v="3"/>
    <n v="0.52698315900000003"/>
  </r>
  <r>
    <x v="0"/>
    <x v="0"/>
    <x v="8"/>
    <x v="2"/>
    <x v="2"/>
    <x v="3"/>
    <n v="0.52698315900000003"/>
  </r>
  <r>
    <x v="0"/>
    <x v="0"/>
    <x v="8"/>
    <x v="3"/>
    <x v="2"/>
    <x v="3"/>
    <n v="0.52698315900000003"/>
  </r>
  <r>
    <x v="0"/>
    <x v="0"/>
    <x v="8"/>
    <x v="4"/>
    <x v="2"/>
    <x v="3"/>
    <n v="0.52698315900000003"/>
  </r>
  <r>
    <x v="0"/>
    <x v="0"/>
    <x v="8"/>
    <x v="5"/>
    <x v="2"/>
    <x v="3"/>
    <n v="0.52698315900000003"/>
  </r>
  <r>
    <x v="0"/>
    <x v="0"/>
    <x v="8"/>
    <x v="6"/>
    <x v="2"/>
    <x v="3"/>
    <n v="0.52698315900000003"/>
  </r>
  <r>
    <x v="0"/>
    <x v="0"/>
    <x v="8"/>
    <x v="7"/>
    <x v="2"/>
    <x v="3"/>
    <n v="0.52698315900000003"/>
  </r>
  <r>
    <x v="0"/>
    <x v="0"/>
    <x v="8"/>
    <x v="8"/>
    <x v="2"/>
    <x v="3"/>
    <n v="0.52698315900000003"/>
  </r>
  <r>
    <x v="0"/>
    <x v="0"/>
    <x v="8"/>
    <x v="9"/>
    <x v="2"/>
    <x v="3"/>
    <n v="0.52698315900000003"/>
  </r>
  <r>
    <x v="0"/>
    <x v="0"/>
    <x v="8"/>
    <x v="10"/>
    <x v="2"/>
    <x v="3"/>
    <n v="0.52698315900000003"/>
  </r>
  <r>
    <x v="0"/>
    <x v="0"/>
    <x v="8"/>
    <x v="11"/>
    <x v="2"/>
    <x v="3"/>
    <n v="0.52698315900000003"/>
  </r>
  <r>
    <x v="0"/>
    <x v="0"/>
    <x v="8"/>
    <x v="12"/>
    <x v="2"/>
    <x v="3"/>
    <n v="0.52698315900000003"/>
  </r>
  <r>
    <x v="0"/>
    <x v="0"/>
    <x v="8"/>
    <x v="13"/>
    <x v="2"/>
    <x v="3"/>
    <n v="0.52698315900000003"/>
  </r>
  <r>
    <x v="0"/>
    <x v="0"/>
    <x v="8"/>
    <x v="14"/>
    <x v="2"/>
    <x v="3"/>
    <n v="0.52698315900000003"/>
  </r>
  <r>
    <x v="0"/>
    <x v="0"/>
    <x v="8"/>
    <x v="15"/>
    <x v="2"/>
    <x v="3"/>
    <n v="0.52698315900000003"/>
  </r>
  <r>
    <x v="0"/>
    <x v="0"/>
    <x v="8"/>
    <x v="16"/>
    <x v="2"/>
    <x v="3"/>
    <n v="0.52698315900000003"/>
  </r>
  <r>
    <x v="0"/>
    <x v="0"/>
    <x v="8"/>
    <x v="17"/>
    <x v="2"/>
    <x v="3"/>
    <n v="0.52698315900000003"/>
  </r>
  <r>
    <x v="0"/>
    <x v="0"/>
    <x v="8"/>
    <x v="18"/>
    <x v="2"/>
    <x v="3"/>
    <n v="0.52698315900000003"/>
  </r>
  <r>
    <x v="0"/>
    <x v="0"/>
    <x v="8"/>
    <x v="19"/>
    <x v="2"/>
    <x v="3"/>
    <n v="0.52698315900000003"/>
  </r>
  <r>
    <x v="0"/>
    <x v="0"/>
    <x v="8"/>
    <x v="20"/>
    <x v="2"/>
    <x v="3"/>
    <n v="0.52698315900000003"/>
  </r>
  <r>
    <x v="0"/>
    <x v="0"/>
    <x v="8"/>
    <x v="21"/>
    <x v="2"/>
    <x v="3"/>
    <n v="0.52698315900000003"/>
  </r>
  <r>
    <x v="0"/>
    <x v="0"/>
    <x v="8"/>
    <x v="22"/>
    <x v="2"/>
    <x v="3"/>
    <n v="0.52698315900000003"/>
  </r>
  <r>
    <x v="0"/>
    <x v="0"/>
    <x v="8"/>
    <x v="23"/>
    <x v="2"/>
    <x v="3"/>
    <n v="0.52698315900000003"/>
  </r>
  <r>
    <x v="0"/>
    <x v="0"/>
    <x v="8"/>
    <x v="24"/>
    <x v="2"/>
    <x v="3"/>
    <n v="0.52698315900000003"/>
  </r>
  <r>
    <x v="0"/>
    <x v="0"/>
    <x v="8"/>
    <x v="25"/>
    <x v="2"/>
    <x v="3"/>
    <n v="0.52698315900000003"/>
  </r>
  <r>
    <x v="0"/>
    <x v="0"/>
    <x v="8"/>
    <x v="26"/>
    <x v="2"/>
    <x v="3"/>
    <n v="0.52698315900000003"/>
  </r>
  <r>
    <x v="0"/>
    <x v="0"/>
    <x v="8"/>
    <x v="27"/>
    <x v="2"/>
    <x v="3"/>
    <n v="0.52698315900000003"/>
  </r>
  <r>
    <x v="0"/>
    <x v="0"/>
    <x v="8"/>
    <x v="28"/>
    <x v="2"/>
    <x v="3"/>
    <n v="0.52698315900000003"/>
  </r>
  <r>
    <x v="0"/>
    <x v="0"/>
    <x v="8"/>
    <x v="29"/>
    <x v="2"/>
    <x v="3"/>
    <n v="0.52698315900000003"/>
  </r>
  <r>
    <x v="0"/>
    <x v="0"/>
    <x v="8"/>
    <x v="30"/>
    <x v="2"/>
    <x v="3"/>
    <n v="0.52698315900000003"/>
  </r>
  <r>
    <x v="0"/>
    <x v="0"/>
    <x v="8"/>
    <x v="31"/>
    <x v="2"/>
    <x v="3"/>
    <n v="0.52698315900000003"/>
  </r>
  <r>
    <x v="0"/>
    <x v="0"/>
    <x v="8"/>
    <x v="32"/>
    <x v="2"/>
    <x v="3"/>
    <n v="0.52698315900000003"/>
  </r>
  <r>
    <x v="0"/>
    <x v="0"/>
    <x v="8"/>
    <x v="33"/>
    <x v="2"/>
    <x v="3"/>
    <n v="0.52698315900000003"/>
  </r>
  <r>
    <x v="0"/>
    <x v="0"/>
    <x v="8"/>
    <x v="34"/>
    <x v="2"/>
    <x v="3"/>
    <n v="0.52698315900000003"/>
  </r>
  <r>
    <x v="0"/>
    <x v="0"/>
    <x v="8"/>
    <x v="35"/>
    <x v="2"/>
    <x v="3"/>
    <n v="0.52698315900000003"/>
  </r>
  <r>
    <x v="0"/>
    <x v="0"/>
    <x v="8"/>
    <x v="36"/>
    <x v="2"/>
    <x v="3"/>
    <n v="0.52698315900000003"/>
  </r>
  <r>
    <x v="0"/>
    <x v="0"/>
    <x v="8"/>
    <x v="37"/>
    <x v="2"/>
    <x v="3"/>
    <n v="0.52698315900000003"/>
  </r>
  <r>
    <x v="0"/>
    <x v="0"/>
    <x v="8"/>
    <x v="38"/>
    <x v="2"/>
    <x v="3"/>
    <n v="0.52698315900000003"/>
  </r>
  <r>
    <x v="0"/>
    <x v="0"/>
    <x v="8"/>
    <x v="39"/>
    <x v="2"/>
    <x v="3"/>
    <n v="0.52698315900000003"/>
  </r>
  <r>
    <x v="0"/>
    <x v="0"/>
    <x v="8"/>
    <x v="40"/>
    <x v="2"/>
    <x v="3"/>
    <n v="0.52698315900000003"/>
  </r>
  <r>
    <x v="0"/>
    <x v="0"/>
    <x v="8"/>
    <x v="41"/>
    <x v="2"/>
    <x v="3"/>
    <n v="0.52698315900000003"/>
  </r>
  <r>
    <x v="0"/>
    <x v="0"/>
    <x v="7"/>
    <x v="0"/>
    <x v="3"/>
    <x v="2"/>
    <n v="386.86115005699997"/>
  </r>
  <r>
    <x v="0"/>
    <x v="0"/>
    <x v="7"/>
    <x v="1"/>
    <x v="3"/>
    <x v="2"/>
    <n v="51.580924731000003"/>
  </r>
  <r>
    <x v="0"/>
    <x v="0"/>
    <x v="7"/>
    <x v="2"/>
    <x v="3"/>
    <x v="2"/>
    <n v="22.339964287000001"/>
  </r>
  <r>
    <x v="0"/>
    <x v="0"/>
    <x v="7"/>
    <x v="3"/>
    <x v="3"/>
    <x v="2"/>
    <n v="19.978271819"/>
  </r>
  <r>
    <x v="0"/>
    <x v="0"/>
    <x v="7"/>
    <x v="4"/>
    <x v="3"/>
    <x v="2"/>
    <n v="10.158317075999999"/>
  </r>
  <r>
    <x v="0"/>
    <x v="0"/>
    <x v="7"/>
    <x v="5"/>
    <x v="3"/>
    <x v="2"/>
    <n v="30.425042390000002"/>
  </r>
  <r>
    <x v="0"/>
    <x v="0"/>
    <x v="7"/>
    <x v="6"/>
    <x v="3"/>
    <x v="2"/>
    <n v="14.340251919"/>
  </r>
  <r>
    <x v="0"/>
    <x v="0"/>
    <x v="7"/>
    <x v="7"/>
    <x v="3"/>
    <x v="2"/>
    <n v="13.31771571"/>
  </r>
  <r>
    <x v="0"/>
    <x v="0"/>
    <x v="7"/>
    <x v="8"/>
    <x v="3"/>
    <x v="2"/>
    <n v="8.0443592610000003"/>
  </r>
  <r>
    <x v="0"/>
    <x v="0"/>
    <x v="7"/>
    <x v="9"/>
    <x v="3"/>
    <x v="2"/>
    <n v="20.717167867000001"/>
  </r>
  <r>
    <x v="0"/>
    <x v="0"/>
    <x v="7"/>
    <x v="10"/>
    <x v="3"/>
    <x v="2"/>
    <n v="9.5711594069999997"/>
  </r>
  <r>
    <x v="0"/>
    <x v="0"/>
    <x v="7"/>
    <x v="11"/>
    <x v="3"/>
    <x v="2"/>
    <n v="45.584383760999998"/>
  </r>
  <r>
    <x v="0"/>
    <x v="0"/>
    <x v="7"/>
    <x v="12"/>
    <x v="3"/>
    <x v="2"/>
    <n v="21.335003391000001"/>
  </r>
  <r>
    <x v="0"/>
    <x v="0"/>
    <x v="7"/>
    <x v="13"/>
    <x v="3"/>
    <x v="2"/>
    <n v="30.920546829999999"/>
  </r>
  <r>
    <x v="0"/>
    <x v="0"/>
    <x v="7"/>
    <x v="14"/>
    <x v="3"/>
    <x v="2"/>
    <n v="14.171885717"/>
  </r>
  <r>
    <x v="0"/>
    <x v="0"/>
    <x v="7"/>
    <x v="15"/>
    <x v="3"/>
    <x v="2"/>
    <n v="19.471955622999999"/>
  </r>
  <r>
    <x v="0"/>
    <x v="0"/>
    <x v="7"/>
    <x v="16"/>
    <x v="3"/>
    <x v="2"/>
    <n v="13.019554842"/>
  </r>
  <r>
    <x v="0"/>
    <x v="0"/>
    <x v="7"/>
    <x v="17"/>
    <x v="3"/>
    <x v="2"/>
    <n v="24.879374969000001"/>
  </r>
  <r>
    <x v="0"/>
    <x v="0"/>
    <x v="7"/>
    <x v="18"/>
    <x v="3"/>
    <x v="2"/>
    <n v="15.595106243"/>
  </r>
  <r>
    <x v="0"/>
    <x v="0"/>
    <x v="7"/>
    <x v="19"/>
    <x v="3"/>
    <x v="2"/>
    <n v="30.106332576"/>
  </r>
  <r>
    <x v="0"/>
    <x v="0"/>
    <x v="7"/>
    <x v="20"/>
    <x v="3"/>
    <x v="2"/>
    <n v="3.6656050339999999"/>
  </r>
  <r>
    <x v="0"/>
    <x v="0"/>
    <x v="7"/>
    <x v="21"/>
    <x v="3"/>
    <x v="2"/>
    <n v="1.504215769"/>
  </r>
  <r>
    <x v="0"/>
    <x v="0"/>
    <x v="7"/>
    <x v="22"/>
    <x v="3"/>
    <x v="2"/>
    <n v="1.630869836"/>
  </r>
  <r>
    <x v="0"/>
    <x v="0"/>
    <x v="7"/>
    <x v="23"/>
    <x v="3"/>
    <x v="2"/>
    <n v="0.97497390100000003"/>
  </r>
  <r>
    <x v="0"/>
    <x v="0"/>
    <x v="7"/>
    <x v="24"/>
    <x v="3"/>
    <x v="2"/>
    <n v="22.655424479000001"/>
  </r>
  <r>
    <x v="0"/>
    <x v="0"/>
    <x v="7"/>
    <x v="25"/>
    <x v="3"/>
    <x v="2"/>
    <n v="1.110770429"/>
  </r>
  <r>
    <x v="0"/>
    <x v="0"/>
    <x v="7"/>
    <x v="26"/>
    <x v="3"/>
    <x v="2"/>
    <n v="2.6332438730000001"/>
  </r>
  <r>
    <x v="0"/>
    <x v="0"/>
    <x v="7"/>
    <x v="27"/>
    <x v="3"/>
    <x v="2"/>
    <n v="85.525239890999998"/>
  </r>
  <r>
    <x v="0"/>
    <x v="0"/>
    <x v="7"/>
    <x v="28"/>
    <x v="3"/>
    <x v="2"/>
    <n v="102.502081011"/>
  </r>
  <r>
    <x v="0"/>
    <x v="0"/>
    <x v="7"/>
    <x v="29"/>
    <x v="3"/>
    <x v="2"/>
    <n v="70.403476239"/>
  </r>
  <r>
    <x v="0"/>
    <x v="0"/>
    <x v="7"/>
    <x v="30"/>
    <x v="3"/>
    <x v="2"/>
    <n v="38.360359952000003"/>
  </r>
  <r>
    <x v="0"/>
    <x v="0"/>
    <x v="7"/>
    <x v="31"/>
    <x v="3"/>
    <x v="2"/>
    <n v="21.462828289000001"/>
  </r>
  <r>
    <x v="0"/>
    <x v="0"/>
    <x v="7"/>
    <x v="32"/>
    <x v="3"/>
    <x v="2"/>
    <n v="87.066701308000006"/>
  </r>
  <r>
    <x v="0"/>
    <x v="0"/>
    <x v="7"/>
    <x v="33"/>
    <x v="3"/>
    <x v="2"/>
    <n v="31.427703051999998"/>
  </r>
  <r>
    <x v="0"/>
    <x v="0"/>
    <x v="7"/>
    <x v="34"/>
    <x v="3"/>
    <x v="2"/>
    <n v="41.112029993999997"/>
  </r>
  <r>
    <x v="0"/>
    <x v="0"/>
    <x v="7"/>
    <x v="35"/>
    <x v="3"/>
    <x v="2"/>
    <n v="28.130103771000002"/>
  </r>
  <r>
    <x v="0"/>
    <x v="0"/>
    <x v="7"/>
    <x v="36"/>
    <x v="3"/>
    <x v="2"/>
    <n v="8.2362098049999997"/>
  </r>
  <r>
    <x v="0"/>
    <x v="0"/>
    <x v="7"/>
    <x v="37"/>
    <x v="3"/>
    <x v="2"/>
    <n v="35.973441373"/>
  </r>
  <r>
    <x v="0"/>
    <x v="0"/>
    <x v="7"/>
    <x v="38"/>
    <x v="3"/>
    <x v="2"/>
    <n v="76.808336159000007"/>
  </r>
  <r>
    <x v="0"/>
    <x v="0"/>
    <x v="7"/>
    <x v="39"/>
    <x v="3"/>
    <x v="2"/>
    <n v="33.302853710999997"/>
  </r>
  <r>
    <x v="0"/>
    <x v="0"/>
    <x v="7"/>
    <x v="40"/>
    <x v="3"/>
    <x v="2"/>
    <n v="12.039659812"/>
  </r>
  <r>
    <x v="0"/>
    <x v="0"/>
    <x v="7"/>
    <x v="41"/>
    <x v="3"/>
    <x v="2"/>
    <n v="105.963887533"/>
  </r>
  <r>
    <x v="0"/>
    <x v="0"/>
    <x v="8"/>
    <x v="0"/>
    <x v="3"/>
    <x v="3"/>
    <n v="0.51423595799999999"/>
  </r>
  <r>
    <x v="0"/>
    <x v="0"/>
    <x v="8"/>
    <x v="1"/>
    <x v="3"/>
    <x v="3"/>
    <n v="0.51423595799999999"/>
  </r>
  <r>
    <x v="0"/>
    <x v="0"/>
    <x v="8"/>
    <x v="2"/>
    <x v="3"/>
    <x v="3"/>
    <n v="0.51423595799999999"/>
  </r>
  <r>
    <x v="0"/>
    <x v="0"/>
    <x v="8"/>
    <x v="3"/>
    <x v="3"/>
    <x v="3"/>
    <n v="0.51423595799999999"/>
  </r>
  <r>
    <x v="0"/>
    <x v="0"/>
    <x v="8"/>
    <x v="4"/>
    <x v="3"/>
    <x v="3"/>
    <n v="0.51423595799999999"/>
  </r>
  <r>
    <x v="0"/>
    <x v="0"/>
    <x v="8"/>
    <x v="5"/>
    <x v="3"/>
    <x v="3"/>
    <n v="0.51423595799999999"/>
  </r>
  <r>
    <x v="0"/>
    <x v="0"/>
    <x v="8"/>
    <x v="6"/>
    <x v="3"/>
    <x v="3"/>
    <n v="0.51423595799999999"/>
  </r>
  <r>
    <x v="0"/>
    <x v="0"/>
    <x v="8"/>
    <x v="7"/>
    <x v="3"/>
    <x v="3"/>
    <n v="0.51423595799999999"/>
  </r>
  <r>
    <x v="0"/>
    <x v="0"/>
    <x v="8"/>
    <x v="8"/>
    <x v="3"/>
    <x v="3"/>
    <n v="0.51423595799999999"/>
  </r>
  <r>
    <x v="0"/>
    <x v="0"/>
    <x v="8"/>
    <x v="9"/>
    <x v="3"/>
    <x v="3"/>
    <n v="0.51423595799999999"/>
  </r>
  <r>
    <x v="0"/>
    <x v="0"/>
    <x v="8"/>
    <x v="10"/>
    <x v="3"/>
    <x v="3"/>
    <n v="0.51423595799999999"/>
  </r>
  <r>
    <x v="0"/>
    <x v="0"/>
    <x v="8"/>
    <x v="11"/>
    <x v="3"/>
    <x v="3"/>
    <n v="0.51423595799999999"/>
  </r>
  <r>
    <x v="0"/>
    <x v="0"/>
    <x v="8"/>
    <x v="12"/>
    <x v="3"/>
    <x v="3"/>
    <n v="0.51423595799999999"/>
  </r>
  <r>
    <x v="0"/>
    <x v="0"/>
    <x v="8"/>
    <x v="13"/>
    <x v="3"/>
    <x v="3"/>
    <n v="0.51423595799999999"/>
  </r>
  <r>
    <x v="0"/>
    <x v="0"/>
    <x v="8"/>
    <x v="14"/>
    <x v="3"/>
    <x v="3"/>
    <n v="0.51423595799999999"/>
  </r>
  <r>
    <x v="0"/>
    <x v="0"/>
    <x v="8"/>
    <x v="15"/>
    <x v="3"/>
    <x v="3"/>
    <n v="0.51423595799999999"/>
  </r>
  <r>
    <x v="0"/>
    <x v="0"/>
    <x v="8"/>
    <x v="16"/>
    <x v="3"/>
    <x v="3"/>
    <n v="0.51423595799999999"/>
  </r>
  <r>
    <x v="0"/>
    <x v="0"/>
    <x v="8"/>
    <x v="17"/>
    <x v="3"/>
    <x v="3"/>
    <n v="0.51423595799999999"/>
  </r>
  <r>
    <x v="0"/>
    <x v="0"/>
    <x v="8"/>
    <x v="18"/>
    <x v="3"/>
    <x v="3"/>
    <n v="0.51423595799999999"/>
  </r>
  <r>
    <x v="0"/>
    <x v="0"/>
    <x v="8"/>
    <x v="19"/>
    <x v="3"/>
    <x v="3"/>
    <n v="0.51423595799999999"/>
  </r>
  <r>
    <x v="0"/>
    <x v="0"/>
    <x v="8"/>
    <x v="20"/>
    <x v="3"/>
    <x v="3"/>
    <n v="0.51423595799999999"/>
  </r>
  <r>
    <x v="0"/>
    <x v="0"/>
    <x v="8"/>
    <x v="21"/>
    <x v="3"/>
    <x v="3"/>
    <n v="0.51423595799999999"/>
  </r>
  <r>
    <x v="0"/>
    <x v="0"/>
    <x v="8"/>
    <x v="22"/>
    <x v="3"/>
    <x v="3"/>
    <n v="0.51423595799999999"/>
  </r>
  <r>
    <x v="0"/>
    <x v="0"/>
    <x v="8"/>
    <x v="23"/>
    <x v="3"/>
    <x v="3"/>
    <n v="0.51423595799999999"/>
  </r>
  <r>
    <x v="0"/>
    <x v="0"/>
    <x v="8"/>
    <x v="24"/>
    <x v="3"/>
    <x v="3"/>
    <n v="0.51423595799999999"/>
  </r>
  <r>
    <x v="0"/>
    <x v="0"/>
    <x v="8"/>
    <x v="25"/>
    <x v="3"/>
    <x v="3"/>
    <n v="0.51423595799999999"/>
  </r>
  <r>
    <x v="0"/>
    <x v="0"/>
    <x v="8"/>
    <x v="26"/>
    <x v="3"/>
    <x v="3"/>
    <n v="0.51423595799999999"/>
  </r>
  <r>
    <x v="0"/>
    <x v="0"/>
    <x v="8"/>
    <x v="27"/>
    <x v="3"/>
    <x v="3"/>
    <n v="0.51423595799999999"/>
  </r>
  <r>
    <x v="0"/>
    <x v="0"/>
    <x v="8"/>
    <x v="28"/>
    <x v="3"/>
    <x v="3"/>
    <n v="0.51423595799999999"/>
  </r>
  <r>
    <x v="0"/>
    <x v="0"/>
    <x v="8"/>
    <x v="29"/>
    <x v="3"/>
    <x v="3"/>
    <n v="0.51423595799999999"/>
  </r>
  <r>
    <x v="0"/>
    <x v="0"/>
    <x v="8"/>
    <x v="30"/>
    <x v="3"/>
    <x v="3"/>
    <n v="0.51423595799999999"/>
  </r>
  <r>
    <x v="0"/>
    <x v="0"/>
    <x v="8"/>
    <x v="31"/>
    <x v="3"/>
    <x v="3"/>
    <n v="0.51423595799999999"/>
  </r>
  <r>
    <x v="0"/>
    <x v="0"/>
    <x v="8"/>
    <x v="32"/>
    <x v="3"/>
    <x v="3"/>
    <n v="0.51423595799999999"/>
  </r>
  <r>
    <x v="0"/>
    <x v="0"/>
    <x v="8"/>
    <x v="33"/>
    <x v="3"/>
    <x v="3"/>
    <n v="0.51423595799999999"/>
  </r>
  <r>
    <x v="0"/>
    <x v="0"/>
    <x v="8"/>
    <x v="34"/>
    <x v="3"/>
    <x v="3"/>
    <n v="0.51423595799999999"/>
  </r>
  <r>
    <x v="0"/>
    <x v="0"/>
    <x v="8"/>
    <x v="35"/>
    <x v="3"/>
    <x v="3"/>
    <n v="0.51423595799999999"/>
  </r>
  <r>
    <x v="0"/>
    <x v="0"/>
    <x v="8"/>
    <x v="36"/>
    <x v="3"/>
    <x v="3"/>
    <n v="0.51423595799999999"/>
  </r>
  <r>
    <x v="0"/>
    <x v="0"/>
    <x v="8"/>
    <x v="37"/>
    <x v="3"/>
    <x v="3"/>
    <n v="0.51423595799999999"/>
  </r>
  <r>
    <x v="0"/>
    <x v="0"/>
    <x v="8"/>
    <x v="38"/>
    <x v="3"/>
    <x v="3"/>
    <n v="0.51423595799999999"/>
  </r>
  <r>
    <x v="0"/>
    <x v="0"/>
    <x v="8"/>
    <x v="39"/>
    <x v="3"/>
    <x v="3"/>
    <n v="0.51423595799999999"/>
  </r>
  <r>
    <x v="0"/>
    <x v="0"/>
    <x v="8"/>
    <x v="40"/>
    <x v="3"/>
    <x v="3"/>
    <n v="0.51423595799999999"/>
  </r>
  <r>
    <x v="0"/>
    <x v="0"/>
    <x v="8"/>
    <x v="41"/>
    <x v="3"/>
    <x v="3"/>
    <n v="0.51423595799999999"/>
  </r>
  <r>
    <x v="0"/>
    <x v="0"/>
    <x v="9"/>
    <x v="42"/>
    <x v="4"/>
    <x v="4"/>
    <n v="76.244586757999997"/>
  </r>
  <r>
    <x v="0"/>
    <x v="0"/>
    <x v="9"/>
    <x v="42"/>
    <x v="5"/>
    <x v="4"/>
    <n v="1.0008038379999999"/>
  </r>
  <r>
    <x v="0"/>
    <x v="0"/>
    <x v="9"/>
    <x v="42"/>
    <x v="6"/>
    <x v="4"/>
    <n v="0"/>
  </r>
  <r>
    <x v="0"/>
    <x v="0"/>
    <x v="9"/>
    <x v="42"/>
    <x v="7"/>
    <x v="4"/>
    <n v="0"/>
  </r>
  <r>
    <x v="0"/>
    <x v="0"/>
    <x v="9"/>
    <x v="42"/>
    <x v="8"/>
    <x v="4"/>
    <n v="0"/>
  </r>
  <r>
    <x v="0"/>
    <x v="0"/>
    <x v="9"/>
    <x v="42"/>
    <x v="9"/>
    <x v="4"/>
    <n v="100.50413881599999"/>
  </r>
  <r>
    <x v="0"/>
    <x v="0"/>
    <x v="9"/>
    <x v="42"/>
    <x v="10"/>
    <x v="4"/>
    <n v="3.2673396139999999"/>
  </r>
  <r>
    <x v="0"/>
    <x v="0"/>
    <x v="9"/>
    <x v="42"/>
    <x v="11"/>
    <x v="4"/>
    <n v="19.098409036"/>
  </r>
  <r>
    <x v="0"/>
    <x v="0"/>
    <x v="9"/>
    <x v="42"/>
    <x v="12"/>
    <x v="4"/>
    <n v="2.7394409780000002"/>
  </r>
  <r>
    <x v="0"/>
    <x v="0"/>
    <x v="9"/>
    <x v="42"/>
    <x v="13"/>
    <x v="4"/>
    <n v="4.0851197880000001"/>
  </r>
  <r>
    <x v="0"/>
    <x v="0"/>
    <x v="9"/>
    <x v="42"/>
    <x v="14"/>
    <x v="4"/>
    <n v="2.5000379910000001"/>
  </r>
  <r>
    <x v="0"/>
    <x v="0"/>
    <x v="9"/>
    <x v="42"/>
    <x v="15"/>
    <x v="4"/>
    <n v="13.440914134"/>
  </r>
  <r>
    <x v="0"/>
    <x v="0"/>
    <x v="9"/>
    <x v="42"/>
    <x v="16"/>
    <x v="4"/>
    <n v="1.8938042230000001"/>
  </r>
  <r>
    <x v="0"/>
    <x v="0"/>
    <x v="9"/>
    <x v="42"/>
    <x v="17"/>
    <x v="4"/>
    <n v="0"/>
  </r>
  <r>
    <x v="0"/>
    <x v="0"/>
    <x v="9"/>
    <x v="42"/>
    <x v="18"/>
    <x v="4"/>
    <n v="1.12215335"/>
  </r>
  <r>
    <x v="0"/>
    <x v="0"/>
    <x v="9"/>
    <x v="42"/>
    <x v="19"/>
    <x v="4"/>
    <n v="0.58973352800000001"/>
  </r>
  <r>
    <x v="0"/>
    <x v="0"/>
    <x v="9"/>
    <x v="42"/>
    <x v="20"/>
    <x v="4"/>
    <n v="0.150749568"/>
  </r>
  <r>
    <x v="0"/>
    <x v="0"/>
    <x v="9"/>
    <x v="42"/>
    <x v="21"/>
    <x v="4"/>
    <n v="10.23525611"/>
  </r>
  <r>
    <x v="0"/>
    <x v="0"/>
    <x v="9"/>
    <x v="42"/>
    <x v="22"/>
    <x v="4"/>
    <n v="10.586587072"/>
  </r>
  <r>
    <x v="0"/>
    <x v="0"/>
    <x v="9"/>
    <x v="42"/>
    <x v="23"/>
    <x v="4"/>
    <n v="9.5601274650000008"/>
  </r>
  <r>
    <x v="0"/>
    <x v="0"/>
    <x v="9"/>
    <x v="42"/>
    <x v="24"/>
    <x v="4"/>
    <n v="0.68518487400000005"/>
  </r>
  <r>
    <x v="0"/>
    <x v="0"/>
    <x v="9"/>
    <x v="42"/>
    <x v="25"/>
    <x v="4"/>
    <n v="0.81567280799999997"/>
  </r>
  <r>
    <x v="0"/>
    <x v="0"/>
    <x v="9"/>
    <x v="42"/>
    <x v="26"/>
    <x v="4"/>
    <n v="0"/>
  </r>
  <r>
    <x v="0"/>
    <x v="0"/>
    <x v="9"/>
    <x v="42"/>
    <x v="27"/>
    <x v="4"/>
    <n v="0"/>
  </r>
  <r>
    <x v="0"/>
    <x v="0"/>
    <x v="9"/>
    <x v="42"/>
    <x v="28"/>
    <x v="4"/>
    <n v="11.547359666"/>
  </r>
  <r>
    <x v="0"/>
    <x v="0"/>
    <x v="9"/>
    <x v="42"/>
    <x v="29"/>
    <x v="4"/>
    <n v="1.1517287060000001"/>
  </r>
  <r>
    <x v="0"/>
    <x v="0"/>
    <x v="9"/>
    <x v="42"/>
    <x v="30"/>
    <x v="4"/>
    <n v="1.0162980699999999"/>
  </r>
  <r>
    <x v="0"/>
    <x v="0"/>
    <x v="9"/>
    <x v="42"/>
    <x v="31"/>
    <x v="4"/>
    <n v="0"/>
  </r>
  <r>
    <x v="0"/>
    <x v="0"/>
    <x v="9"/>
    <x v="42"/>
    <x v="32"/>
    <x v="4"/>
    <n v="49.548146731000003"/>
  </r>
  <r>
    <x v="0"/>
    <x v="0"/>
    <x v="9"/>
    <x v="42"/>
    <x v="33"/>
    <x v="4"/>
    <n v="18.659993756999999"/>
  </r>
  <r>
    <x v="0"/>
    <x v="0"/>
    <x v="9"/>
    <x v="42"/>
    <x v="34"/>
    <x v="4"/>
    <n v="13.550481918999999"/>
  </r>
  <r>
    <x v="0"/>
    <x v="0"/>
    <x v="9"/>
    <x v="42"/>
    <x v="35"/>
    <x v="4"/>
    <n v="22.386799284999999"/>
  </r>
  <r>
    <x v="0"/>
    <x v="0"/>
    <x v="9"/>
    <x v="42"/>
    <x v="36"/>
    <x v="4"/>
    <n v="25.870156729000001"/>
  </r>
  <r>
    <x v="0"/>
    <x v="0"/>
    <x v="9"/>
    <x v="42"/>
    <x v="37"/>
    <x v="4"/>
    <n v="108.98252193"/>
  </r>
  <r>
    <x v="0"/>
    <x v="0"/>
    <x v="9"/>
    <x v="42"/>
    <x v="38"/>
    <x v="4"/>
    <n v="0.75540898199999995"/>
  </r>
  <r>
    <x v="0"/>
    <x v="0"/>
    <x v="9"/>
    <x v="42"/>
    <x v="39"/>
    <x v="4"/>
    <n v="0.41667432100000001"/>
  </r>
  <r>
    <x v="0"/>
    <x v="0"/>
    <x v="9"/>
    <x v="42"/>
    <x v="40"/>
    <x v="4"/>
    <n v="0.76886115700000002"/>
  </r>
  <r>
    <x v="0"/>
    <x v="0"/>
    <x v="9"/>
    <x v="42"/>
    <x v="41"/>
    <x v="4"/>
    <n v="12.31730059"/>
  </r>
  <r>
    <x v="0"/>
    <x v="0"/>
    <x v="9"/>
    <x v="42"/>
    <x v="42"/>
    <x v="4"/>
    <n v="6.3923352949999996"/>
  </r>
  <r>
    <x v="0"/>
    <x v="0"/>
    <x v="9"/>
    <x v="42"/>
    <x v="43"/>
    <x v="4"/>
    <n v="16.014754679999999"/>
  </r>
  <r>
    <x v="0"/>
    <x v="0"/>
    <x v="9"/>
    <x v="42"/>
    <x v="44"/>
    <x v="4"/>
    <n v="4.3869690500000003"/>
  </r>
  <r>
    <x v="0"/>
    <x v="0"/>
    <x v="9"/>
    <x v="42"/>
    <x v="45"/>
    <x v="4"/>
    <n v="0.16334110800000001"/>
  </r>
  <r>
    <x v="0"/>
    <x v="0"/>
    <x v="10"/>
    <x v="42"/>
    <x v="0"/>
    <x v="4"/>
    <n v="6.046075117"/>
  </r>
  <r>
    <x v="0"/>
    <x v="0"/>
    <x v="11"/>
    <x v="42"/>
    <x v="0"/>
    <x v="4"/>
    <n v="16.199930199000001"/>
  </r>
  <r>
    <x v="0"/>
    <x v="0"/>
    <x v="9"/>
    <x v="43"/>
    <x v="4"/>
    <x v="4"/>
    <n v="126.285398903"/>
  </r>
  <r>
    <x v="0"/>
    <x v="0"/>
    <x v="9"/>
    <x v="43"/>
    <x v="5"/>
    <x v="4"/>
    <n v="0.64405323599999997"/>
  </r>
  <r>
    <x v="0"/>
    <x v="0"/>
    <x v="9"/>
    <x v="43"/>
    <x v="6"/>
    <x v="4"/>
    <n v="0"/>
  </r>
  <r>
    <x v="0"/>
    <x v="0"/>
    <x v="9"/>
    <x v="43"/>
    <x v="7"/>
    <x v="4"/>
    <n v="0"/>
  </r>
  <r>
    <x v="0"/>
    <x v="0"/>
    <x v="9"/>
    <x v="43"/>
    <x v="8"/>
    <x v="4"/>
    <n v="0"/>
  </r>
  <r>
    <x v="0"/>
    <x v="0"/>
    <x v="9"/>
    <x v="43"/>
    <x v="9"/>
    <x v="4"/>
    <n v="275.64171617199997"/>
  </r>
  <r>
    <x v="0"/>
    <x v="0"/>
    <x v="9"/>
    <x v="43"/>
    <x v="10"/>
    <x v="4"/>
    <n v="5.494472537"/>
  </r>
  <r>
    <x v="0"/>
    <x v="0"/>
    <x v="9"/>
    <x v="43"/>
    <x v="11"/>
    <x v="4"/>
    <n v="82.467552799000003"/>
  </r>
  <r>
    <x v="0"/>
    <x v="0"/>
    <x v="9"/>
    <x v="43"/>
    <x v="12"/>
    <x v="4"/>
    <n v="9.7024409580000004"/>
  </r>
  <r>
    <x v="0"/>
    <x v="0"/>
    <x v="9"/>
    <x v="43"/>
    <x v="13"/>
    <x v="4"/>
    <n v="16.782045119999999"/>
  </r>
  <r>
    <x v="0"/>
    <x v="0"/>
    <x v="9"/>
    <x v="43"/>
    <x v="14"/>
    <x v="4"/>
    <n v="25.687039485"/>
  </r>
  <r>
    <x v="0"/>
    <x v="0"/>
    <x v="9"/>
    <x v="43"/>
    <x v="15"/>
    <x v="4"/>
    <n v="58.133614543999997"/>
  </r>
  <r>
    <x v="0"/>
    <x v="0"/>
    <x v="9"/>
    <x v="43"/>
    <x v="16"/>
    <x v="4"/>
    <n v="4.4732454109999997"/>
  </r>
  <r>
    <x v="0"/>
    <x v="0"/>
    <x v="9"/>
    <x v="43"/>
    <x v="17"/>
    <x v="4"/>
    <n v="0"/>
  </r>
  <r>
    <x v="0"/>
    <x v="0"/>
    <x v="9"/>
    <x v="43"/>
    <x v="18"/>
    <x v="4"/>
    <n v="5.0976408109999998"/>
  </r>
  <r>
    <x v="0"/>
    <x v="0"/>
    <x v="9"/>
    <x v="43"/>
    <x v="19"/>
    <x v="4"/>
    <n v="1.3867052719999999"/>
  </r>
  <r>
    <x v="0"/>
    <x v="0"/>
    <x v="9"/>
    <x v="43"/>
    <x v="20"/>
    <x v="4"/>
    <n v="1.3784569470000001"/>
  </r>
  <r>
    <x v="0"/>
    <x v="0"/>
    <x v="9"/>
    <x v="43"/>
    <x v="21"/>
    <x v="4"/>
    <n v="68.596337306999999"/>
  </r>
  <r>
    <x v="0"/>
    <x v="0"/>
    <x v="9"/>
    <x v="43"/>
    <x v="22"/>
    <x v="4"/>
    <n v="32.009414599999999"/>
  </r>
  <r>
    <x v="0"/>
    <x v="0"/>
    <x v="9"/>
    <x v="43"/>
    <x v="23"/>
    <x v="4"/>
    <n v="33.896525230999998"/>
  </r>
  <r>
    <x v="0"/>
    <x v="0"/>
    <x v="9"/>
    <x v="43"/>
    <x v="24"/>
    <x v="4"/>
    <n v="1.7343822719999999"/>
  </r>
  <r>
    <x v="0"/>
    <x v="0"/>
    <x v="9"/>
    <x v="43"/>
    <x v="25"/>
    <x v="4"/>
    <n v="1.8573724410000001"/>
  </r>
  <r>
    <x v="0"/>
    <x v="0"/>
    <x v="9"/>
    <x v="43"/>
    <x v="26"/>
    <x v="4"/>
    <n v="0"/>
  </r>
  <r>
    <x v="0"/>
    <x v="0"/>
    <x v="9"/>
    <x v="43"/>
    <x v="27"/>
    <x v="4"/>
    <n v="0"/>
  </r>
  <r>
    <x v="0"/>
    <x v="0"/>
    <x v="9"/>
    <x v="43"/>
    <x v="28"/>
    <x v="4"/>
    <n v="38.350835254000003"/>
  </r>
  <r>
    <x v="0"/>
    <x v="0"/>
    <x v="9"/>
    <x v="43"/>
    <x v="29"/>
    <x v="4"/>
    <n v="20.661171441"/>
  </r>
  <r>
    <x v="0"/>
    <x v="0"/>
    <x v="9"/>
    <x v="43"/>
    <x v="30"/>
    <x v="4"/>
    <n v="8.702543125"/>
  </r>
  <r>
    <x v="0"/>
    <x v="0"/>
    <x v="9"/>
    <x v="43"/>
    <x v="31"/>
    <x v="4"/>
    <n v="0"/>
  </r>
  <r>
    <x v="0"/>
    <x v="0"/>
    <x v="9"/>
    <x v="43"/>
    <x v="32"/>
    <x v="4"/>
    <n v="151.98844462400001"/>
  </r>
  <r>
    <x v="0"/>
    <x v="0"/>
    <x v="9"/>
    <x v="43"/>
    <x v="33"/>
    <x v="4"/>
    <n v="75.064672454000004"/>
  </r>
  <r>
    <x v="0"/>
    <x v="0"/>
    <x v="9"/>
    <x v="43"/>
    <x v="34"/>
    <x v="4"/>
    <n v="81.742012697999996"/>
  </r>
  <r>
    <x v="0"/>
    <x v="0"/>
    <x v="9"/>
    <x v="43"/>
    <x v="35"/>
    <x v="4"/>
    <n v="88.426301350000003"/>
  </r>
  <r>
    <x v="0"/>
    <x v="0"/>
    <x v="9"/>
    <x v="43"/>
    <x v="36"/>
    <x v="4"/>
    <n v="138.70512745400001"/>
  </r>
  <r>
    <x v="0"/>
    <x v="0"/>
    <x v="9"/>
    <x v="43"/>
    <x v="37"/>
    <x v="4"/>
    <n v="325.84341385499999"/>
  </r>
  <r>
    <x v="0"/>
    <x v="0"/>
    <x v="9"/>
    <x v="43"/>
    <x v="38"/>
    <x v="4"/>
    <n v="14.017675641"/>
  </r>
  <r>
    <x v="0"/>
    <x v="0"/>
    <x v="9"/>
    <x v="43"/>
    <x v="39"/>
    <x v="4"/>
    <n v="2.6765611250000001"/>
  </r>
  <r>
    <x v="0"/>
    <x v="0"/>
    <x v="9"/>
    <x v="43"/>
    <x v="40"/>
    <x v="4"/>
    <n v="4.4728095870000004"/>
  </r>
  <r>
    <x v="0"/>
    <x v="0"/>
    <x v="9"/>
    <x v="43"/>
    <x v="41"/>
    <x v="4"/>
    <n v="60.572956210000001"/>
  </r>
  <r>
    <x v="0"/>
    <x v="0"/>
    <x v="9"/>
    <x v="43"/>
    <x v="42"/>
    <x v="4"/>
    <n v="22.680446794000002"/>
  </r>
  <r>
    <x v="0"/>
    <x v="0"/>
    <x v="9"/>
    <x v="43"/>
    <x v="43"/>
    <x v="4"/>
    <n v="58.704169268999998"/>
  </r>
  <r>
    <x v="0"/>
    <x v="0"/>
    <x v="9"/>
    <x v="43"/>
    <x v="44"/>
    <x v="4"/>
    <n v="28.503695696000001"/>
  </r>
  <r>
    <x v="0"/>
    <x v="0"/>
    <x v="9"/>
    <x v="43"/>
    <x v="45"/>
    <x v="4"/>
    <n v="1.1935518899999999"/>
  </r>
  <r>
    <x v="0"/>
    <x v="0"/>
    <x v="10"/>
    <x v="43"/>
    <x v="0"/>
    <x v="4"/>
    <n v="32.106383956000002"/>
  </r>
  <r>
    <x v="0"/>
    <x v="0"/>
    <x v="11"/>
    <x v="43"/>
    <x v="0"/>
    <x v="4"/>
    <n v="85.343099414999998"/>
  </r>
  <r>
    <x v="0"/>
    <x v="0"/>
    <x v="12"/>
    <x v="0"/>
    <x v="0"/>
    <x v="0"/>
    <n v="901.28212337000002"/>
  </r>
  <r>
    <x v="0"/>
    <x v="0"/>
    <x v="13"/>
    <x v="0"/>
    <x v="0"/>
    <x v="0"/>
    <n v="156.79888215"/>
  </r>
  <r>
    <x v="0"/>
    <x v="0"/>
    <x v="14"/>
    <x v="0"/>
    <x v="0"/>
    <x v="0"/>
    <n v="2.2455599529999999"/>
  </r>
  <r>
    <x v="0"/>
    <x v="0"/>
    <x v="15"/>
    <x v="0"/>
    <x v="0"/>
    <x v="1"/>
    <n v="0.614322759"/>
  </r>
  <r>
    <x v="0"/>
    <x v="0"/>
    <x v="16"/>
    <x v="0"/>
    <x v="0"/>
    <x v="1"/>
    <n v="0.63170161800000002"/>
  </r>
  <r>
    <x v="0"/>
    <x v="0"/>
    <x v="12"/>
    <x v="1"/>
    <x v="0"/>
    <x v="0"/>
    <n v="319.011978634"/>
  </r>
  <r>
    <x v="0"/>
    <x v="0"/>
    <x v="13"/>
    <x v="1"/>
    <x v="0"/>
    <x v="0"/>
    <n v="34.622779508000001"/>
  </r>
  <r>
    <x v="0"/>
    <x v="0"/>
    <x v="14"/>
    <x v="1"/>
    <x v="0"/>
    <x v="0"/>
    <n v="0.51254406100000005"/>
  </r>
  <r>
    <x v="0"/>
    <x v="0"/>
    <x v="15"/>
    <x v="1"/>
    <x v="0"/>
    <x v="1"/>
    <n v="0.43359266000000002"/>
  </r>
  <r>
    <x v="0"/>
    <x v="0"/>
    <x v="16"/>
    <x v="1"/>
    <x v="0"/>
    <x v="1"/>
    <n v="0.43659576700000002"/>
  </r>
  <r>
    <x v="0"/>
    <x v="0"/>
    <x v="12"/>
    <x v="2"/>
    <x v="0"/>
    <x v="0"/>
    <n v="311.013559961"/>
  </r>
  <r>
    <x v="0"/>
    <x v="0"/>
    <x v="13"/>
    <x v="2"/>
    <x v="0"/>
    <x v="0"/>
    <n v="180.85272477199999"/>
  </r>
  <r>
    <x v="0"/>
    <x v="0"/>
    <x v="14"/>
    <x v="2"/>
    <x v="0"/>
    <x v="0"/>
    <n v="1.556774941"/>
  </r>
  <r>
    <x v="0"/>
    <x v="0"/>
    <x v="15"/>
    <x v="2"/>
    <x v="0"/>
    <x v="1"/>
    <n v="0.39298239099999999"/>
  </r>
  <r>
    <x v="0"/>
    <x v="0"/>
    <x v="16"/>
    <x v="2"/>
    <x v="0"/>
    <x v="1"/>
    <n v="0.39547537900000002"/>
  </r>
  <r>
    <x v="0"/>
    <x v="0"/>
    <x v="12"/>
    <x v="3"/>
    <x v="0"/>
    <x v="0"/>
    <n v="202.621659685"/>
  </r>
  <r>
    <x v="0"/>
    <x v="0"/>
    <x v="13"/>
    <x v="3"/>
    <x v="0"/>
    <x v="0"/>
    <n v="100.68587264"/>
  </r>
  <r>
    <x v="0"/>
    <x v="0"/>
    <x v="14"/>
    <x v="3"/>
    <x v="0"/>
    <x v="0"/>
    <n v="0.43534919300000002"/>
  </r>
  <r>
    <x v="0"/>
    <x v="0"/>
    <x v="15"/>
    <x v="3"/>
    <x v="0"/>
    <x v="1"/>
    <n v="0.38154239499999998"/>
  </r>
  <r>
    <x v="0"/>
    <x v="0"/>
    <x v="16"/>
    <x v="3"/>
    <x v="0"/>
    <x v="1"/>
    <n v="0.379202863"/>
  </r>
  <r>
    <x v="0"/>
    <x v="0"/>
    <x v="12"/>
    <x v="4"/>
    <x v="0"/>
    <x v="0"/>
    <n v="83.260993479999996"/>
  </r>
  <r>
    <x v="0"/>
    <x v="0"/>
    <x v="13"/>
    <x v="4"/>
    <x v="0"/>
    <x v="0"/>
    <n v="6.6450145220000003"/>
  </r>
  <r>
    <x v="0"/>
    <x v="0"/>
    <x v="14"/>
    <x v="4"/>
    <x v="0"/>
    <x v="0"/>
    <n v="0.76983620500000005"/>
  </r>
  <r>
    <x v="0"/>
    <x v="0"/>
    <x v="15"/>
    <x v="4"/>
    <x v="0"/>
    <x v="1"/>
    <n v="0.407116545"/>
  </r>
  <r>
    <x v="0"/>
    <x v="0"/>
    <x v="16"/>
    <x v="4"/>
    <x v="0"/>
    <x v="1"/>
    <n v="0.40807560700000001"/>
  </r>
  <r>
    <x v="0"/>
    <x v="0"/>
    <x v="12"/>
    <x v="5"/>
    <x v="0"/>
    <x v="0"/>
    <n v="677.26076613600003"/>
  </r>
  <r>
    <x v="0"/>
    <x v="0"/>
    <x v="13"/>
    <x v="5"/>
    <x v="0"/>
    <x v="0"/>
    <n v="93.798425749000003"/>
  </r>
  <r>
    <x v="0"/>
    <x v="0"/>
    <x v="14"/>
    <x v="5"/>
    <x v="0"/>
    <x v="0"/>
    <n v="9.4880373569999996"/>
  </r>
  <r>
    <x v="0"/>
    <x v="0"/>
    <x v="15"/>
    <x v="5"/>
    <x v="0"/>
    <x v="1"/>
    <n v="0.50829774100000003"/>
  </r>
  <r>
    <x v="0"/>
    <x v="0"/>
    <x v="16"/>
    <x v="5"/>
    <x v="0"/>
    <x v="1"/>
    <n v="0.51552663600000004"/>
  </r>
  <r>
    <x v="0"/>
    <x v="0"/>
    <x v="12"/>
    <x v="6"/>
    <x v="0"/>
    <x v="0"/>
    <n v="235.58788909500001"/>
  </r>
  <r>
    <x v="0"/>
    <x v="0"/>
    <x v="13"/>
    <x v="6"/>
    <x v="0"/>
    <x v="0"/>
    <n v="16.782472835"/>
  </r>
  <r>
    <x v="0"/>
    <x v="0"/>
    <x v="14"/>
    <x v="6"/>
    <x v="0"/>
    <x v="0"/>
    <n v="18.040800122"/>
  </r>
  <r>
    <x v="0"/>
    <x v="0"/>
    <x v="15"/>
    <x v="6"/>
    <x v="0"/>
    <x v="1"/>
    <n v="0.46320201599999999"/>
  </r>
  <r>
    <x v="0"/>
    <x v="0"/>
    <x v="16"/>
    <x v="6"/>
    <x v="0"/>
    <x v="1"/>
    <n v="0.46569988600000001"/>
  </r>
  <r>
    <x v="0"/>
    <x v="0"/>
    <x v="12"/>
    <x v="7"/>
    <x v="0"/>
    <x v="0"/>
    <n v="127.080634285"/>
  </r>
  <r>
    <x v="0"/>
    <x v="0"/>
    <x v="13"/>
    <x v="7"/>
    <x v="0"/>
    <x v="0"/>
    <n v="26.205483219000001"/>
  </r>
  <r>
    <x v="0"/>
    <x v="0"/>
    <x v="14"/>
    <x v="7"/>
    <x v="0"/>
    <x v="0"/>
    <n v="37.152661707999997"/>
  </r>
  <r>
    <x v="0"/>
    <x v="0"/>
    <x v="15"/>
    <x v="7"/>
    <x v="0"/>
    <x v="1"/>
    <n v="0.48536141599999999"/>
  </r>
  <r>
    <x v="0"/>
    <x v="0"/>
    <x v="16"/>
    <x v="7"/>
    <x v="0"/>
    <x v="1"/>
    <n v="0.49433793399999998"/>
  </r>
  <r>
    <x v="0"/>
    <x v="0"/>
    <x v="12"/>
    <x v="8"/>
    <x v="0"/>
    <x v="0"/>
    <n v="115.690734109"/>
  </r>
  <r>
    <x v="0"/>
    <x v="0"/>
    <x v="13"/>
    <x v="8"/>
    <x v="0"/>
    <x v="0"/>
    <n v="8.6989415660000002"/>
  </r>
  <r>
    <x v="0"/>
    <x v="0"/>
    <x v="14"/>
    <x v="8"/>
    <x v="0"/>
    <x v="0"/>
    <n v="14.25556703"/>
  </r>
  <r>
    <x v="0"/>
    <x v="0"/>
    <x v="15"/>
    <x v="8"/>
    <x v="0"/>
    <x v="1"/>
    <n v="0.44414498800000002"/>
  </r>
  <r>
    <x v="0"/>
    <x v="0"/>
    <x v="16"/>
    <x v="8"/>
    <x v="0"/>
    <x v="1"/>
    <n v="0.44624487099999999"/>
  </r>
  <r>
    <x v="0"/>
    <x v="0"/>
    <x v="12"/>
    <x v="9"/>
    <x v="0"/>
    <x v="0"/>
    <n v="256.74840863499998"/>
  </r>
  <r>
    <x v="0"/>
    <x v="0"/>
    <x v="13"/>
    <x v="9"/>
    <x v="0"/>
    <x v="0"/>
    <n v="29.764348182999999"/>
  </r>
  <r>
    <x v="0"/>
    <x v="0"/>
    <x v="14"/>
    <x v="9"/>
    <x v="0"/>
    <x v="0"/>
    <n v="27.575988745"/>
  </r>
  <r>
    <x v="0"/>
    <x v="0"/>
    <x v="15"/>
    <x v="9"/>
    <x v="0"/>
    <x v="1"/>
    <n v="0.42188674100000001"/>
  </r>
  <r>
    <x v="0"/>
    <x v="0"/>
    <x v="16"/>
    <x v="9"/>
    <x v="0"/>
    <x v="1"/>
    <n v="0.42397979800000002"/>
  </r>
  <r>
    <x v="0"/>
    <x v="0"/>
    <x v="12"/>
    <x v="10"/>
    <x v="0"/>
    <x v="0"/>
    <n v="424.03490355600002"/>
  </r>
  <r>
    <x v="0"/>
    <x v="0"/>
    <x v="13"/>
    <x v="10"/>
    <x v="0"/>
    <x v="0"/>
    <n v="49.774659172"/>
  </r>
  <r>
    <x v="0"/>
    <x v="0"/>
    <x v="14"/>
    <x v="10"/>
    <x v="0"/>
    <x v="0"/>
    <n v="6.6555579939999996"/>
  </r>
  <r>
    <x v="0"/>
    <x v="0"/>
    <x v="15"/>
    <x v="10"/>
    <x v="0"/>
    <x v="1"/>
    <n v="0.38713366599999999"/>
  </r>
  <r>
    <x v="0"/>
    <x v="0"/>
    <x v="16"/>
    <x v="10"/>
    <x v="0"/>
    <x v="1"/>
    <n v="0.387087456"/>
  </r>
  <r>
    <x v="0"/>
    <x v="0"/>
    <x v="12"/>
    <x v="11"/>
    <x v="0"/>
    <x v="0"/>
    <n v="1136.443003133"/>
  </r>
  <r>
    <x v="0"/>
    <x v="0"/>
    <x v="13"/>
    <x v="11"/>
    <x v="0"/>
    <x v="0"/>
    <n v="189.26235666599999"/>
  </r>
  <r>
    <x v="0"/>
    <x v="0"/>
    <x v="14"/>
    <x v="11"/>
    <x v="0"/>
    <x v="0"/>
    <n v="54.901431660999997"/>
  </r>
  <r>
    <x v="0"/>
    <x v="0"/>
    <x v="15"/>
    <x v="11"/>
    <x v="0"/>
    <x v="1"/>
    <n v="0.38597548599999998"/>
  </r>
  <r>
    <x v="0"/>
    <x v="0"/>
    <x v="16"/>
    <x v="11"/>
    <x v="0"/>
    <x v="1"/>
    <n v="0.385796892"/>
  </r>
  <r>
    <x v="0"/>
    <x v="0"/>
    <x v="12"/>
    <x v="12"/>
    <x v="0"/>
    <x v="0"/>
    <n v="342.60512929499998"/>
  </r>
  <r>
    <x v="0"/>
    <x v="0"/>
    <x v="13"/>
    <x v="12"/>
    <x v="0"/>
    <x v="0"/>
    <n v="7.8724537190000001"/>
  </r>
  <r>
    <x v="0"/>
    <x v="0"/>
    <x v="14"/>
    <x v="12"/>
    <x v="0"/>
    <x v="0"/>
    <n v="13.519290156"/>
  </r>
  <r>
    <x v="0"/>
    <x v="0"/>
    <x v="15"/>
    <x v="12"/>
    <x v="0"/>
    <x v="1"/>
    <n v="0.37934166400000002"/>
  </r>
  <r>
    <x v="0"/>
    <x v="0"/>
    <x v="16"/>
    <x v="12"/>
    <x v="0"/>
    <x v="1"/>
    <n v="0.37922684899999998"/>
  </r>
  <r>
    <x v="0"/>
    <x v="0"/>
    <x v="12"/>
    <x v="13"/>
    <x v="0"/>
    <x v="0"/>
    <n v="967.62909979000005"/>
  </r>
  <r>
    <x v="0"/>
    <x v="0"/>
    <x v="13"/>
    <x v="13"/>
    <x v="0"/>
    <x v="0"/>
    <n v="99.393401733999994"/>
  </r>
  <r>
    <x v="0"/>
    <x v="0"/>
    <x v="14"/>
    <x v="13"/>
    <x v="0"/>
    <x v="0"/>
    <n v="27.881545096"/>
  </r>
  <r>
    <x v="0"/>
    <x v="0"/>
    <x v="15"/>
    <x v="13"/>
    <x v="0"/>
    <x v="1"/>
    <n v="0.34873801799999998"/>
  </r>
  <r>
    <x v="0"/>
    <x v="0"/>
    <x v="16"/>
    <x v="13"/>
    <x v="0"/>
    <x v="1"/>
    <n v="0.34617962499999999"/>
  </r>
  <r>
    <x v="0"/>
    <x v="0"/>
    <x v="12"/>
    <x v="14"/>
    <x v="0"/>
    <x v="0"/>
    <n v="236.473509761"/>
  </r>
  <r>
    <x v="0"/>
    <x v="0"/>
    <x v="13"/>
    <x v="14"/>
    <x v="0"/>
    <x v="0"/>
    <n v="10.855554808000001"/>
  </r>
  <r>
    <x v="0"/>
    <x v="0"/>
    <x v="14"/>
    <x v="14"/>
    <x v="0"/>
    <x v="0"/>
    <n v="23.086088259"/>
  </r>
  <r>
    <x v="0"/>
    <x v="0"/>
    <x v="15"/>
    <x v="14"/>
    <x v="0"/>
    <x v="1"/>
    <n v="0.37599585299999999"/>
  </r>
  <r>
    <x v="0"/>
    <x v="0"/>
    <x v="16"/>
    <x v="14"/>
    <x v="0"/>
    <x v="1"/>
    <n v="0.37568128200000001"/>
  </r>
  <r>
    <x v="0"/>
    <x v="0"/>
    <x v="12"/>
    <x v="15"/>
    <x v="0"/>
    <x v="0"/>
    <n v="272.01373858699998"/>
  </r>
  <r>
    <x v="0"/>
    <x v="0"/>
    <x v="13"/>
    <x v="15"/>
    <x v="0"/>
    <x v="0"/>
    <n v="73.768121957000005"/>
  </r>
  <r>
    <x v="0"/>
    <x v="0"/>
    <x v="14"/>
    <x v="15"/>
    <x v="0"/>
    <x v="0"/>
    <n v="35.850667973999997"/>
  </r>
  <r>
    <x v="0"/>
    <x v="0"/>
    <x v="15"/>
    <x v="15"/>
    <x v="0"/>
    <x v="1"/>
    <n v="0.39758722200000002"/>
  </r>
  <r>
    <x v="0"/>
    <x v="0"/>
    <x v="16"/>
    <x v="15"/>
    <x v="0"/>
    <x v="1"/>
    <n v="0.39909766200000002"/>
  </r>
  <r>
    <x v="0"/>
    <x v="0"/>
    <x v="12"/>
    <x v="16"/>
    <x v="0"/>
    <x v="0"/>
    <n v="174.652147783"/>
  </r>
  <r>
    <x v="0"/>
    <x v="0"/>
    <x v="13"/>
    <x v="16"/>
    <x v="0"/>
    <x v="0"/>
    <n v="62.611849139999997"/>
  </r>
  <r>
    <x v="0"/>
    <x v="0"/>
    <x v="14"/>
    <x v="16"/>
    <x v="0"/>
    <x v="0"/>
    <n v="17.195427754000001"/>
  </r>
  <r>
    <x v="0"/>
    <x v="0"/>
    <x v="15"/>
    <x v="16"/>
    <x v="0"/>
    <x v="1"/>
    <n v="0.41280460499999999"/>
  </r>
  <r>
    <x v="0"/>
    <x v="0"/>
    <x v="16"/>
    <x v="16"/>
    <x v="0"/>
    <x v="1"/>
    <n v="0.41769823"/>
  </r>
  <r>
    <x v="0"/>
    <x v="0"/>
    <x v="12"/>
    <x v="17"/>
    <x v="0"/>
    <x v="0"/>
    <n v="400.84026819799999"/>
  </r>
  <r>
    <x v="0"/>
    <x v="0"/>
    <x v="13"/>
    <x v="17"/>
    <x v="0"/>
    <x v="0"/>
    <n v="97.754431780999994"/>
  </r>
  <r>
    <x v="0"/>
    <x v="0"/>
    <x v="14"/>
    <x v="17"/>
    <x v="0"/>
    <x v="0"/>
    <n v="27.664089400999998"/>
  </r>
  <r>
    <x v="0"/>
    <x v="0"/>
    <x v="15"/>
    <x v="17"/>
    <x v="0"/>
    <x v="1"/>
    <n v="0.41124966800000001"/>
  </r>
  <r>
    <x v="0"/>
    <x v="0"/>
    <x v="16"/>
    <x v="17"/>
    <x v="0"/>
    <x v="1"/>
    <n v="0.41433534399999999"/>
  </r>
  <r>
    <x v="0"/>
    <x v="0"/>
    <x v="12"/>
    <x v="18"/>
    <x v="0"/>
    <x v="0"/>
    <n v="318.63465288499998"/>
  </r>
  <r>
    <x v="0"/>
    <x v="0"/>
    <x v="13"/>
    <x v="18"/>
    <x v="0"/>
    <x v="0"/>
    <n v="58.021680781000001"/>
  </r>
  <r>
    <x v="0"/>
    <x v="0"/>
    <x v="14"/>
    <x v="18"/>
    <x v="0"/>
    <x v="0"/>
    <n v="57.330076579"/>
  </r>
  <r>
    <x v="0"/>
    <x v="0"/>
    <x v="15"/>
    <x v="18"/>
    <x v="0"/>
    <x v="1"/>
    <n v="0.38372698700000002"/>
  </r>
  <r>
    <x v="0"/>
    <x v="0"/>
    <x v="16"/>
    <x v="18"/>
    <x v="0"/>
    <x v="1"/>
    <n v="0.38330090100000003"/>
  </r>
  <r>
    <x v="0"/>
    <x v="0"/>
    <x v="12"/>
    <x v="19"/>
    <x v="0"/>
    <x v="0"/>
    <n v="349.32388801600001"/>
  </r>
  <r>
    <x v="0"/>
    <x v="0"/>
    <x v="13"/>
    <x v="19"/>
    <x v="0"/>
    <x v="0"/>
    <n v="348.28689247099999"/>
  </r>
  <r>
    <x v="0"/>
    <x v="0"/>
    <x v="14"/>
    <x v="19"/>
    <x v="0"/>
    <x v="0"/>
    <n v="157.58634401"/>
  </r>
  <r>
    <x v="0"/>
    <x v="0"/>
    <x v="15"/>
    <x v="19"/>
    <x v="0"/>
    <x v="1"/>
    <n v="0.40046237499999998"/>
  </r>
  <r>
    <x v="0"/>
    <x v="0"/>
    <x v="16"/>
    <x v="19"/>
    <x v="0"/>
    <x v="1"/>
    <n v="0.40792402"/>
  </r>
  <r>
    <x v="0"/>
    <x v="0"/>
    <x v="12"/>
    <x v="20"/>
    <x v="0"/>
    <x v="0"/>
    <n v="46.122731326999997"/>
  </r>
  <r>
    <x v="0"/>
    <x v="0"/>
    <x v="13"/>
    <x v="20"/>
    <x v="0"/>
    <x v="0"/>
    <n v="41.047247376999998"/>
  </r>
  <r>
    <x v="0"/>
    <x v="0"/>
    <x v="14"/>
    <x v="20"/>
    <x v="0"/>
    <x v="0"/>
    <n v="11.300617053"/>
  </r>
  <r>
    <x v="0"/>
    <x v="0"/>
    <x v="15"/>
    <x v="20"/>
    <x v="0"/>
    <x v="1"/>
    <n v="0.38879804299999998"/>
  </r>
  <r>
    <x v="0"/>
    <x v="0"/>
    <x v="16"/>
    <x v="20"/>
    <x v="0"/>
    <x v="1"/>
    <n v="0.38937086199999998"/>
  </r>
  <r>
    <x v="0"/>
    <x v="0"/>
    <x v="12"/>
    <x v="21"/>
    <x v="0"/>
    <x v="0"/>
    <n v="19.640429372"/>
  </r>
  <r>
    <x v="0"/>
    <x v="0"/>
    <x v="13"/>
    <x v="21"/>
    <x v="0"/>
    <x v="0"/>
    <n v="0.75915903600000001"/>
  </r>
  <r>
    <x v="0"/>
    <x v="0"/>
    <x v="14"/>
    <x v="21"/>
    <x v="0"/>
    <x v="0"/>
    <n v="2.2586980109999999"/>
  </r>
  <r>
    <x v="0"/>
    <x v="0"/>
    <x v="15"/>
    <x v="21"/>
    <x v="0"/>
    <x v="1"/>
    <n v="0.43391501999999998"/>
  </r>
  <r>
    <x v="0"/>
    <x v="0"/>
    <x v="16"/>
    <x v="21"/>
    <x v="0"/>
    <x v="1"/>
    <n v="0.43480675099999999"/>
  </r>
  <r>
    <x v="0"/>
    <x v="0"/>
    <x v="12"/>
    <x v="22"/>
    <x v="0"/>
    <x v="0"/>
    <n v="89.827523322000005"/>
  </r>
  <r>
    <x v="0"/>
    <x v="0"/>
    <x v="13"/>
    <x v="22"/>
    <x v="0"/>
    <x v="0"/>
    <n v="13.725890712"/>
  </r>
  <r>
    <x v="0"/>
    <x v="0"/>
    <x v="14"/>
    <x v="22"/>
    <x v="0"/>
    <x v="0"/>
    <n v="0.72938119499999998"/>
  </r>
  <r>
    <x v="0"/>
    <x v="0"/>
    <x v="15"/>
    <x v="22"/>
    <x v="0"/>
    <x v="1"/>
    <n v="0.296820425"/>
  </r>
  <r>
    <x v="0"/>
    <x v="0"/>
    <x v="16"/>
    <x v="22"/>
    <x v="0"/>
    <x v="1"/>
    <n v="0.28002537999999999"/>
  </r>
  <r>
    <x v="0"/>
    <x v="0"/>
    <x v="12"/>
    <x v="23"/>
    <x v="0"/>
    <x v="0"/>
    <n v="10.009076042"/>
  </r>
  <r>
    <x v="0"/>
    <x v="0"/>
    <x v="13"/>
    <x v="23"/>
    <x v="0"/>
    <x v="0"/>
    <n v="0"/>
  </r>
  <r>
    <x v="0"/>
    <x v="0"/>
    <x v="14"/>
    <x v="23"/>
    <x v="0"/>
    <x v="0"/>
    <n v="0"/>
  </r>
  <r>
    <x v="0"/>
    <x v="0"/>
    <x v="15"/>
    <x v="23"/>
    <x v="0"/>
    <x v="1"/>
    <n v="0.42005344999999999"/>
  </r>
  <r>
    <x v="0"/>
    <x v="0"/>
    <x v="16"/>
    <x v="23"/>
    <x v="0"/>
    <x v="1"/>
    <n v="0.42005344999999999"/>
  </r>
  <r>
    <x v="0"/>
    <x v="0"/>
    <x v="12"/>
    <x v="24"/>
    <x v="0"/>
    <x v="0"/>
    <n v="544.10827187699999"/>
  </r>
  <r>
    <x v="0"/>
    <x v="0"/>
    <x v="13"/>
    <x v="24"/>
    <x v="0"/>
    <x v="0"/>
    <n v="0.34119784600000003"/>
  </r>
  <r>
    <x v="0"/>
    <x v="0"/>
    <x v="14"/>
    <x v="24"/>
    <x v="0"/>
    <x v="0"/>
    <n v="0.49874153799999998"/>
  </r>
  <r>
    <x v="0"/>
    <x v="0"/>
    <x v="15"/>
    <x v="24"/>
    <x v="0"/>
    <x v="1"/>
    <n v="0.36393447800000001"/>
  </r>
  <r>
    <x v="0"/>
    <x v="0"/>
    <x v="16"/>
    <x v="24"/>
    <x v="0"/>
    <x v="1"/>
    <n v="0.363925312"/>
  </r>
  <r>
    <x v="0"/>
    <x v="0"/>
    <x v="12"/>
    <x v="25"/>
    <x v="0"/>
    <x v="0"/>
    <n v="31.290893448999999"/>
  </r>
  <r>
    <x v="0"/>
    <x v="0"/>
    <x v="13"/>
    <x v="25"/>
    <x v="0"/>
    <x v="0"/>
    <n v="3.03E-7"/>
  </r>
  <r>
    <x v="0"/>
    <x v="0"/>
    <x v="14"/>
    <x v="25"/>
    <x v="0"/>
    <x v="0"/>
    <n v="0"/>
  </r>
  <r>
    <x v="0"/>
    <x v="0"/>
    <x v="15"/>
    <x v="25"/>
    <x v="0"/>
    <x v="1"/>
    <n v="0.38359965400000001"/>
  </r>
  <r>
    <x v="0"/>
    <x v="0"/>
    <x v="16"/>
    <x v="25"/>
    <x v="0"/>
    <x v="1"/>
    <n v="0.38359965400000001"/>
  </r>
  <r>
    <x v="0"/>
    <x v="0"/>
    <x v="12"/>
    <x v="26"/>
    <x v="0"/>
    <x v="0"/>
    <n v="17.830652104999999"/>
  </r>
  <r>
    <x v="0"/>
    <x v="0"/>
    <x v="13"/>
    <x v="26"/>
    <x v="0"/>
    <x v="0"/>
    <n v="0"/>
  </r>
  <r>
    <x v="0"/>
    <x v="0"/>
    <x v="14"/>
    <x v="26"/>
    <x v="0"/>
    <x v="0"/>
    <n v="0"/>
  </r>
  <r>
    <x v="0"/>
    <x v="0"/>
    <x v="15"/>
    <x v="26"/>
    <x v="0"/>
    <x v="1"/>
    <n v="0.42238153299999998"/>
  </r>
  <r>
    <x v="0"/>
    <x v="0"/>
    <x v="16"/>
    <x v="26"/>
    <x v="0"/>
    <x v="1"/>
    <n v="0.42238153299999998"/>
  </r>
  <r>
    <x v="0"/>
    <x v="0"/>
    <x v="12"/>
    <x v="27"/>
    <x v="0"/>
    <x v="0"/>
    <n v="705.32787968699995"/>
  </r>
  <r>
    <x v="0"/>
    <x v="0"/>
    <x v="13"/>
    <x v="27"/>
    <x v="0"/>
    <x v="0"/>
    <n v="4.7251207759999998"/>
  </r>
  <r>
    <x v="0"/>
    <x v="0"/>
    <x v="14"/>
    <x v="27"/>
    <x v="0"/>
    <x v="0"/>
    <n v="3.0549256659999999"/>
  </r>
  <r>
    <x v="0"/>
    <x v="0"/>
    <x v="15"/>
    <x v="27"/>
    <x v="0"/>
    <x v="1"/>
    <n v="0.46250026799999999"/>
  </r>
  <r>
    <x v="0"/>
    <x v="0"/>
    <x v="16"/>
    <x v="27"/>
    <x v="0"/>
    <x v="1"/>
    <n v="0.46274216499999998"/>
  </r>
  <r>
    <x v="0"/>
    <x v="0"/>
    <x v="12"/>
    <x v="28"/>
    <x v="0"/>
    <x v="0"/>
    <n v="750.055834022"/>
  </r>
  <r>
    <x v="0"/>
    <x v="0"/>
    <x v="13"/>
    <x v="28"/>
    <x v="0"/>
    <x v="0"/>
    <n v="0"/>
  </r>
  <r>
    <x v="0"/>
    <x v="0"/>
    <x v="14"/>
    <x v="28"/>
    <x v="0"/>
    <x v="0"/>
    <n v="94.325934253"/>
  </r>
  <r>
    <x v="0"/>
    <x v="0"/>
    <x v="15"/>
    <x v="28"/>
    <x v="0"/>
    <x v="1"/>
    <n v="0.37289319300000001"/>
  </r>
  <r>
    <x v="0"/>
    <x v="0"/>
    <x v="16"/>
    <x v="28"/>
    <x v="0"/>
    <x v="1"/>
    <n v="0.37289319300000001"/>
  </r>
  <r>
    <x v="0"/>
    <x v="0"/>
    <x v="12"/>
    <x v="29"/>
    <x v="0"/>
    <x v="0"/>
    <n v="610.65519603799999"/>
  </r>
  <r>
    <x v="0"/>
    <x v="0"/>
    <x v="13"/>
    <x v="29"/>
    <x v="0"/>
    <x v="0"/>
    <n v="52.155105484000003"/>
  </r>
  <r>
    <x v="0"/>
    <x v="0"/>
    <x v="14"/>
    <x v="29"/>
    <x v="0"/>
    <x v="0"/>
    <n v="33.207545269999997"/>
  </r>
  <r>
    <x v="0"/>
    <x v="0"/>
    <x v="15"/>
    <x v="29"/>
    <x v="0"/>
    <x v="1"/>
    <n v="0.397990544"/>
  </r>
  <r>
    <x v="0"/>
    <x v="0"/>
    <x v="16"/>
    <x v="29"/>
    <x v="0"/>
    <x v="1"/>
    <n v="0.39851917100000001"/>
  </r>
  <r>
    <x v="0"/>
    <x v="0"/>
    <x v="12"/>
    <x v="30"/>
    <x v="0"/>
    <x v="0"/>
    <n v="198.534453458"/>
  </r>
  <r>
    <x v="0"/>
    <x v="0"/>
    <x v="13"/>
    <x v="30"/>
    <x v="0"/>
    <x v="0"/>
    <n v="30.504173338000001"/>
  </r>
  <r>
    <x v="0"/>
    <x v="0"/>
    <x v="14"/>
    <x v="30"/>
    <x v="0"/>
    <x v="0"/>
    <n v="2.0305772960000001"/>
  </r>
  <r>
    <x v="0"/>
    <x v="0"/>
    <x v="15"/>
    <x v="30"/>
    <x v="0"/>
    <x v="1"/>
    <n v="0.52041014900000004"/>
  </r>
  <r>
    <x v="0"/>
    <x v="0"/>
    <x v="16"/>
    <x v="30"/>
    <x v="0"/>
    <x v="1"/>
    <n v="0.52994548399999997"/>
  </r>
  <r>
    <x v="0"/>
    <x v="0"/>
    <x v="12"/>
    <x v="31"/>
    <x v="0"/>
    <x v="0"/>
    <n v="249.94192322399999"/>
  </r>
  <r>
    <x v="0"/>
    <x v="0"/>
    <x v="13"/>
    <x v="31"/>
    <x v="0"/>
    <x v="0"/>
    <n v="9.6498724330000005"/>
  </r>
  <r>
    <x v="0"/>
    <x v="0"/>
    <x v="14"/>
    <x v="31"/>
    <x v="0"/>
    <x v="0"/>
    <n v="8.3438003280000004"/>
  </r>
  <r>
    <x v="0"/>
    <x v="0"/>
    <x v="15"/>
    <x v="31"/>
    <x v="0"/>
    <x v="1"/>
    <n v="0.34633838300000003"/>
  </r>
  <r>
    <x v="0"/>
    <x v="0"/>
    <x v="16"/>
    <x v="31"/>
    <x v="0"/>
    <x v="1"/>
    <n v="0.34514999400000002"/>
  </r>
  <r>
    <x v="0"/>
    <x v="0"/>
    <x v="12"/>
    <x v="32"/>
    <x v="0"/>
    <x v="0"/>
    <n v="812.63682369699995"/>
  </r>
  <r>
    <x v="0"/>
    <x v="0"/>
    <x v="13"/>
    <x v="32"/>
    <x v="0"/>
    <x v="0"/>
    <n v="5.6842411239999997"/>
  </r>
  <r>
    <x v="0"/>
    <x v="0"/>
    <x v="14"/>
    <x v="32"/>
    <x v="0"/>
    <x v="0"/>
    <n v="3.4571898550000002"/>
  </r>
  <r>
    <x v="0"/>
    <x v="0"/>
    <x v="15"/>
    <x v="32"/>
    <x v="0"/>
    <x v="1"/>
    <n v="0.35996699100000001"/>
  </r>
  <r>
    <x v="0"/>
    <x v="0"/>
    <x v="16"/>
    <x v="32"/>
    <x v="0"/>
    <x v="1"/>
    <n v="0.35981704799999997"/>
  </r>
  <r>
    <x v="0"/>
    <x v="0"/>
    <x v="12"/>
    <x v="33"/>
    <x v="0"/>
    <x v="0"/>
    <n v="626.13639287800004"/>
  </r>
  <r>
    <x v="0"/>
    <x v="0"/>
    <x v="13"/>
    <x v="33"/>
    <x v="0"/>
    <x v="0"/>
    <n v="0"/>
  </r>
  <r>
    <x v="0"/>
    <x v="0"/>
    <x v="14"/>
    <x v="33"/>
    <x v="0"/>
    <x v="0"/>
    <n v="0"/>
  </r>
  <r>
    <x v="0"/>
    <x v="0"/>
    <x v="15"/>
    <x v="33"/>
    <x v="0"/>
    <x v="1"/>
    <n v="0.30637839700000002"/>
  </r>
  <r>
    <x v="0"/>
    <x v="0"/>
    <x v="16"/>
    <x v="33"/>
    <x v="0"/>
    <x v="1"/>
    <n v="0.30637839700000002"/>
  </r>
  <r>
    <x v="0"/>
    <x v="0"/>
    <x v="12"/>
    <x v="34"/>
    <x v="0"/>
    <x v="0"/>
    <n v="380.65308623300001"/>
  </r>
  <r>
    <x v="0"/>
    <x v="0"/>
    <x v="13"/>
    <x v="34"/>
    <x v="0"/>
    <x v="0"/>
    <n v="54.938991551999997"/>
  </r>
  <r>
    <x v="0"/>
    <x v="0"/>
    <x v="14"/>
    <x v="34"/>
    <x v="0"/>
    <x v="0"/>
    <n v="22.745079019999999"/>
  </r>
  <r>
    <x v="0"/>
    <x v="0"/>
    <x v="15"/>
    <x v="34"/>
    <x v="0"/>
    <x v="1"/>
    <n v="0.41599903300000002"/>
  </r>
  <r>
    <x v="0"/>
    <x v="0"/>
    <x v="16"/>
    <x v="34"/>
    <x v="0"/>
    <x v="1"/>
    <n v="0.41832128699999999"/>
  </r>
  <r>
    <x v="0"/>
    <x v="0"/>
    <x v="12"/>
    <x v="35"/>
    <x v="0"/>
    <x v="0"/>
    <n v="220.500422163"/>
  </r>
  <r>
    <x v="0"/>
    <x v="0"/>
    <x v="13"/>
    <x v="35"/>
    <x v="0"/>
    <x v="0"/>
    <n v="3.7043436679999999"/>
  </r>
  <r>
    <x v="0"/>
    <x v="0"/>
    <x v="14"/>
    <x v="35"/>
    <x v="0"/>
    <x v="0"/>
    <n v="0.13215848299999999"/>
  </r>
  <r>
    <x v="0"/>
    <x v="0"/>
    <x v="15"/>
    <x v="35"/>
    <x v="0"/>
    <x v="1"/>
    <n v="0.421717956"/>
  </r>
  <r>
    <x v="0"/>
    <x v="0"/>
    <x v="16"/>
    <x v="35"/>
    <x v="0"/>
    <x v="1"/>
    <n v="0.42203968200000003"/>
  </r>
  <r>
    <x v="0"/>
    <x v="0"/>
    <x v="12"/>
    <x v="36"/>
    <x v="0"/>
    <x v="0"/>
    <n v="49.206493999999999"/>
  </r>
  <r>
    <x v="0"/>
    <x v="0"/>
    <x v="13"/>
    <x v="36"/>
    <x v="0"/>
    <x v="0"/>
    <n v="5.1262135999999998"/>
  </r>
  <r>
    <x v="0"/>
    <x v="0"/>
    <x v="14"/>
    <x v="36"/>
    <x v="0"/>
    <x v="0"/>
    <n v="0.50359581099999995"/>
  </r>
  <r>
    <x v="0"/>
    <x v="0"/>
    <x v="15"/>
    <x v="36"/>
    <x v="0"/>
    <x v="1"/>
    <n v="0.463714087"/>
  </r>
  <r>
    <x v="0"/>
    <x v="0"/>
    <x v="16"/>
    <x v="36"/>
    <x v="0"/>
    <x v="1"/>
    <n v="0.46790057200000001"/>
  </r>
  <r>
    <x v="0"/>
    <x v="0"/>
    <x v="12"/>
    <x v="37"/>
    <x v="0"/>
    <x v="0"/>
    <n v="147.226720648"/>
  </r>
  <r>
    <x v="0"/>
    <x v="0"/>
    <x v="13"/>
    <x v="37"/>
    <x v="0"/>
    <x v="0"/>
    <n v="3.0031595979999999"/>
  </r>
  <r>
    <x v="0"/>
    <x v="0"/>
    <x v="14"/>
    <x v="37"/>
    <x v="0"/>
    <x v="0"/>
    <n v="0.51742125000000005"/>
  </r>
  <r>
    <x v="0"/>
    <x v="0"/>
    <x v="15"/>
    <x v="37"/>
    <x v="0"/>
    <x v="1"/>
    <n v="0.48823473000000001"/>
  </r>
  <r>
    <x v="0"/>
    <x v="0"/>
    <x v="16"/>
    <x v="37"/>
    <x v="0"/>
    <x v="1"/>
    <n v="0.48933373800000002"/>
  </r>
  <r>
    <x v="0"/>
    <x v="0"/>
    <x v="12"/>
    <x v="38"/>
    <x v="0"/>
    <x v="0"/>
    <n v="162.20101423200001"/>
  </r>
  <r>
    <x v="0"/>
    <x v="0"/>
    <x v="13"/>
    <x v="38"/>
    <x v="0"/>
    <x v="0"/>
    <n v="3.8427527299999999"/>
  </r>
  <r>
    <x v="0"/>
    <x v="0"/>
    <x v="14"/>
    <x v="38"/>
    <x v="0"/>
    <x v="0"/>
    <n v="0.141683432"/>
  </r>
  <r>
    <x v="0"/>
    <x v="0"/>
    <x v="15"/>
    <x v="38"/>
    <x v="0"/>
    <x v="1"/>
    <n v="0.62633041"/>
  </r>
  <r>
    <x v="0"/>
    <x v="0"/>
    <x v="16"/>
    <x v="38"/>
    <x v="0"/>
    <x v="1"/>
    <n v="0.629085593"/>
  </r>
  <r>
    <x v="0"/>
    <x v="0"/>
    <x v="12"/>
    <x v="39"/>
    <x v="0"/>
    <x v="0"/>
    <n v="117.70697491200001"/>
  </r>
  <r>
    <x v="0"/>
    <x v="0"/>
    <x v="13"/>
    <x v="39"/>
    <x v="0"/>
    <x v="0"/>
    <n v="2.4114478250000002"/>
  </r>
  <r>
    <x v="0"/>
    <x v="0"/>
    <x v="14"/>
    <x v="39"/>
    <x v="0"/>
    <x v="0"/>
    <n v="0.14051633399999999"/>
  </r>
  <r>
    <x v="0"/>
    <x v="0"/>
    <x v="15"/>
    <x v="39"/>
    <x v="0"/>
    <x v="1"/>
    <n v="0.55081545499999995"/>
  </r>
  <r>
    <x v="0"/>
    <x v="0"/>
    <x v="16"/>
    <x v="39"/>
    <x v="0"/>
    <x v="1"/>
    <n v="0.55231316200000002"/>
  </r>
  <r>
    <x v="0"/>
    <x v="0"/>
    <x v="12"/>
    <x v="40"/>
    <x v="0"/>
    <x v="0"/>
    <n v="63.789990035999999"/>
  </r>
  <r>
    <x v="0"/>
    <x v="0"/>
    <x v="13"/>
    <x v="40"/>
    <x v="0"/>
    <x v="0"/>
    <n v="24.440462374999999"/>
  </r>
  <r>
    <x v="0"/>
    <x v="0"/>
    <x v="14"/>
    <x v="40"/>
    <x v="0"/>
    <x v="0"/>
    <n v="2.9272239390000001"/>
  </r>
  <r>
    <x v="0"/>
    <x v="0"/>
    <x v="15"/>
    <x v="40"/>
    <x v="0"/>
    <x v="1"/>
    <n v="0.44346877099999998"/>
  </r>
  <r>
    <x v="0"/>
    <x v="0"/>
    <x v="16"/>
    <x v="40"/>
    <x v="0"/>
    <x v="1"/>
    <n v="0.45621951100000002"/>
  </r>
  <r>
    <x v="0"/>
    <x v="0"/>
    <x v="12"/>
    <x v="41"/>
    <x v="0"/>
    <x v="0"/>
    <n v="262.952366713"/>
  </r>
  <r>
    <x v="0"/>
    <x v="0"/>
    <x v="13"/>
    <x v="41"/>
    <x v="0"/>
    <x v="0"/>
    <n v="2.4697820739999998"/>
  </r>
  <r>
    <x v="0"/>
    <x v="0"/>
    <x v="14"/>
    <x v="41"/>
    <x v="0"/>
    <x v="0"/>
    <n v="0.20620177200000001"/>
  </r>
  <r>
    <x v="0"/>
    <x v="0"/>
    <x v="15"/>
    <x v="41"/>
    <x v="0"/>
    <x v="1"/>
    <n v="0.616113625"/>
  </r>
  <r>
    <x v="0"/>
    <x v="0"/>
    <x v="16"/>
    <x v="41"/>
    <x v="0"/>
    <x v="1"/>
    <n v="0.61707508099999997"/>
  </r>
  <r>
    <x v="0"/>
    <x v="0"/>
    <x v="17"/>
    <x v="0"/>
    <x v="46"/>
    <x v="1"/>
    <n v="570.52342267400002"/>
  </r>
  <r>
    <x v="0"/>
    <x v="0"/>
    <x v="17"/>
    <x v="0"/>
    <x v="47"/>
    <x v="1"/>
    <n v="570.52342267400002"/>
  </r>
  <r>
    <x v="0"/>
    <x v="0"/>
    <x v="17"/>
    <x v="0"/>
    <x v="48"/>
    <x v="1"/>
    <n v="570.52342267400002"/>
  </r>
  <r>
    <x v="0"/>
    <x v="0"/>
    <x v="17"/>
    <x v="0"/>
    <x v="49"/>
    <x v="1"/>
    <n v="0"/>
  </r>
  <r>
    <x v="0"/>
    <x v="0"/>
    <x v="17"/>
    <x v="0"/>
    <x v="50"/>
    <x v="1"/>
    <n v="0"/>
  </r>
  <r>
    <x v="0"/>
    <x v="0"/>
    <x v="17"/>
    <x v="0"/>
    <x v="51"/>
    <x v="1"/>
    <n v="0"/>
  </r>
  <r>
    <x v="0"/>
    <x v="0"/>
    <x v="17"/>
    <x v="0"/>
    <x v="52"/>
    <x v="1"/>
    <n v="0"/>
  </r>
  <r>
    <x v="0"/>
    <x v="0"/>
    <x v="17"/>
    <x v="0"/>
    <x v="53"/>
    <x v="1"/>
    <n v="0"/>
  </r>
  <r>
    <x v="0"/>
    <x v="0"/>
    <x v="17"/>
    <x v="0"/>
    <x v="54"/>
    <x v="1"/>
    <n v="0"/>
  </r>
  <r>
    <x v="0"/>
    <x v="0"/>
    <x v="17"/>
    <x v="0"/>
    <x v="55"/>
    <x v="1"/>
    <n v="0"/>
  </r>
  <r>
    <x v="0"/>
    <x v="0"/>
    <x v="17"/>
    <x v="1"/>
    <x v="46"/>
    <x v="1"/>
    <n v="139.49121161900001"/>
  </r>
  <r>
    <x v="0"/>
    <x v="0"/>
    <x v="17"/>
    <x v="1"/>
    <x v="47"/>
    <x v="1"/>
    <n v="139.49121161900001"/>
  </r>
  <r>
    <x v="0"/>
    <x v="0"/>
    <x v="17"/>
    <x v="1"/>
    <x v="48"/>
    <x v="1"/>
    <n v="139.49121161900001"/>
  </r>
  <r>
    <x v="0"/>
    <x v="0"/>
    <x v="17"/>
    <x v="1"/>
    <x v="49"/>
    <x v="1"/>
    <n v="0"/>
  </r>
  <r>
    <x v="0"/>
    <x v="0"/>
    <x v="17"/>
    <x v="1"/>
    <x v="50"/>
    <x v="1"/>
    <n v="0"/>
  </r>
  <r>
    <x v="0"/>
    <x v="0"/>
    <x v="17"/>
    <x v="1"/>
    <x v="51"/>
    <x v="1"/>
    <n v="0"/>
  </r>
  <r>
    <x v="0"/>
    <x v="0"/>
    <x v="17"/>
    <x v="1"/>
    <x v="52"/>
    <x v="1"/>
    <n v="0"/>
  </r>
  <r>
    <x v="0"/>
    <x v="0"/>
    <x v="17"/>
    <x v="1"/>
    <x v="53"/>
    <x v="1"/>
    <n v="0"/>
  </r>
  <r>
    <x v="0"/>
    <x v="0"/>
    <x v="17"/>
    <x v="1"/>
    <x v="54"/>
    <x v="1"/>
    <n v="0"/>
  </r>
  <r>
    <x v="0"/>
    <x v="0"/>
    <x v="17"/>
    <x v="1"/>
    <x v="55"/>
    <x v="1"/>
    <n v="0"/>
  </r>
  <r>
    <x v="0"/>
    <x v="0"/>
    <x v="17"/>
    <x v="2"/>
    <x v="46"/>
    <x v="1"/>
    <n v="123.606004435"/>
  </r>
  <r>
    <x v="0"/>
    <x v="0"/>
    <x v="17"/>
    <x v="2"/>
    <x v="47"/>
    <x v="1"/>
    <n v="123.606004435"/>
  </r>
  <r>
    <x v="0"/>
    <x v="0"/>
    <x v="17"/>
    <x v="2"/>
    <x v="48"/>
    <x v="1"/>
    <n v="123.606004435"/>
  </r>
  <r>
    <x v="0"/>
    <x v="0"/>
    <x v="17"/>
    <x v="2"/>
    <x v="49"/>
    <x v="1"/>
    <n v="0"/>
  </r>
  <r>
    <x v="0"/>
    <x v="0"/>
    <x v="17"/>
    <x v="2"/>
    <x v="50"/>
    <x v="1"/>
    <n v="0"/>
  </r>
  <r>
    <x v="0"/>
    <x v="0"/>
    <x v="17"/>
    <x v="2"/>
    <x v="51"/>
    <x v="1"/>
    <n v="0"/>
  </r>
  <r>
    <x v="0"/>
    <x v="0"/>
    <x v="17"/>
    <x v="2"/>
    <x v="52"/>
    <x v="1"/>
    <n v="0"/>
  </r>
  <r>
    <x v="0"/>
    <x v="0"/>
    <x v="17"/>
    <x v="2"/>
    <x v="53"/>
    <x v="1"/>
    <n v="0"/>
  </r>
  <r>
    <x v="0"/>
    <x v="0"/>
    <x v="17"/>
    <x v="2"/>
    <x v="54"/>
    <x v="1"/>
    <n v="0"/>
  </r>
  <r>
    <x v="0"/>
    <x v="0"/>
    <x v="17"/>
    <x v="2"/>
    <x v="55"/>
    <x v="1"/>
    <n v="0"/>
  </r>
  <r>
    <x v="0"/>
    <x v="0"/>
    <x v="17"/>
    <x v="3"/>
    <x v="46"/>
    <x v="1"/>
    <n v="77.003438001000006"/>
  </r>
  <r>
    <x v="0"/>
    <x v="0"/>
    <x v="17"/>
    <x v="3"/>
    <x v="47"/>
    <x v="1"/>
    <n v="77.003438001000006"/>
  </r>
  <r>
    <x v="0"/>
    <x v="0"/>
    <x v="17"/>
    <x v="3"/>
    <x v="48"/>
    <x v="1"/>
    <n v="77.003438001000006"/>
  </r>
  <r>
    <x v="0"/>
    <x v="0"/>
    <x v="17"/>
    <x v="3"/>
    <x v="49"/>
    <x v="1"/>
    <n v="0"/>
  </r>
  <r>
    <x v="0"/>
    <x v="0"/>
    <x v="17"/>
    <x v="3"/>
    <x v="50"/>
    <x v="1"/>
    <n v="0"/>
  </r>
  <r>
    <x v="0"/>
    <x v="0"/>
    <x v="17"/>
    <x v="3"/>
    <x v="51"/>
    <x v="1"/>
    <n v="0"/>
  </r>
  <r>
    <x v="0"/>
    <x v="0"/>
    <x v="17"/>
    <x v="3"/>
    <x v="52"/>
    <x v="1"/>
    <n v="0"/>
  </r>
  <r>
    <x v="0"/>
    <x v="0"/>
    <x v="17"/>
    <x v="3"/>
    <x v="53"/>
    <x v="1"/>
    <n v="0"/>
  </r>
  <r>
    <x v="0"/>
    <x v="0"/>
    <x v="17"/>
    <x v="3"/>
    <x v="54"/>
    <x v="1"/>
    <n v="0"/>
  </r>
  <r>
    <x v="0"/>
    <x v="0"/>
    <x v="17"/>
    <x v="3"/>
    <x v="55"/>
    <x v="1"/>
    <n v="0"/>
  </r>
  <r>
    <x v="0"/>
    <x v="0"/>
    <x v="17"/>
    <x v="4"/>
    <x v="46"/>
    <x v="1"/>
    <n v="34.284237069"/>
  </r>
  <r>
    <x v="0"/>
    <x v="0"/>
    <x v="17"/>
    <x v="4"/>
    <x v="47"/>
    <x v="1"/>
    <n v="34.284237069"/>
  </r>
  <r>
    <x v="0"/>
    <x v="0"/>
    <x v="17"/>
    <x v="4"/>
    <x v="48"/>
    <x v="1"/>
    <n v="34.284237069"/>
  </r>
  <r>
    <x v="0"/>
    <x v="0"/>
    <x v="17"/>
    <x v="4"/>
    <x v="49"/>
    <x v="1"/>
    <n v="0"/>
  </r>
  <r>
    <x v="0"/>
    <x v="0"/>
    <x v="17"/>
    <x v="4"/>
    <x v="50"/>
    <x v="1"/>
    <n v="0"/>
  </r>
  <r>
    <x v="0"/>
    <x v="0"/>
    <x v="17"/>
    <x v="4"/>
    <x v="51"/>
    <x v="1"/>
    <n v="0"/>
  </r>
  <r>
    <x v="0"/>
    <x v="0"/>
    <x v="17"/>
    <x v="4"/>
    <x v="52"/>
    <x v="1"/>
    <n v="0"/>
  </r>
  <r>
    <x v="0"/>
    <x v="0"/>
    <x v="17"/>
    <x v="4"/>
    <x v="53"/>
    <x v="1"/>
    <n v="0"/>
  </r>
  <r>
    <x v="0"/>
    <x v="0"/>
    <x v="17"/>
    <x v="4"/>
    <x v="54"/>
    <x v="1"/>
    <n v="0"/>
  </r>
  <r>
    <x v="0"/>
    <x v="0"/>
    <x v="17"/>
    <x v="4"/>
    <x v="55"/>
    <x v="1"/>
    <n v="0"/>
  </r>
  <r>
    <x v="0"/>
    <x v="0"/>
    <x v="17"/>
    <x v="5"/>
    <x v="46"/>
    <x v="1"/>
    <n v="353.53829570699997"/>
  </r>
  <r>
    <x v="0"/>
    <x v="0"/>
    <x v="17"/>
    <x v="5"/>
    <x v="47"/>
    <x v="1"/>
    <n v="353.53829570699997"/>
  </r>
  <r>
    <x v="0"/>
    <x v="0"/>
    <x v="17"/>
    <x v="5"/>
    <x v="48"/>
    <x v="1"/>
    <n v="353.53829570699997"/>
  </r>
  <r>
    <x v="0"/>
    <x v="0"/>
    <x v="17"/>
    <x v="5"/>
    <x v="49"/>
    <x v="1"/>
    <n v="0"/>
  </r>
  <r>
    <x v="0"/>
    <x v="0"/>
    <x v="17"/>
    <x v="5"/>
    <x v="50"/>
    <x v="1"/>
    <n v="0"/>
  </r>
  <r>
    <x v="0"/>
    <x v="0"/>
    <x v="17"/>
    <x v="5"/>
    <x v="51"/>
    <x v="1"/>
    <n v="0"/>
  </r>
  <r>
    <x v="0"/>
    <x v="0"/>
    <x v="17"/>
    <x v="5"/>
    <x v="52"/>
    <x v="1"/>
    <n v="0"/>
  </r>
  <r>
    <x v="0"/>
    <x v="0"/>
    <x v="17"/>
    <x v="5"/>
    <x v="53"/>
    <x v="1"/>
    <n v="0"/>
  </r>
  <r>
    <x v="0"/>
    <x v="0"/>
    <x v="17"/>
    <x v="5"/>
    <x v="54"/>
    <x v="1"/>
    <n v="0"/>
  </r>
  <r>
    <x v="0"/>
    <x v="0"/>
    <x v="17"/>
    <x v="5"/>
    <x v="55"/>
    <x v="1"/>
    <n v="0"/>
  </r>
  <r>
    <x v="0"/>
    <x v="0"/>
    <x v="17"/>
    <x v="6"/>
    <x v="46"/>
    <x v="1"/>
    <n v="117.90090195099999"/>
  </r>
  <r>
    <x v="0"/>
    <x v="0"/>
    <x v="17"/>
    <x v="6"/>
    <x v="47"/>
    <x v="1"/>
    <n v="117.90090195099999"/>
  </r>
  <r>
    <x v="0"/>
    <x v="0"/>
    <x v="17"/>
    <x v="6"/>
    <x v="48"/>
    <x v="1"/>
    <n v="117.90090195099999"/>
  </r>
  <r>
    <x v="0"/>
    <x v="0"/>
    <x v="17"/>
    <x v="6"/>
    <x v="49"/>
    <x v="1"/>
    <n v="0"/>
  </r>
  <r>
    <x v="0"/>
    <x v="0"/>
    <x v="17"/>
    <x v="6"/>
    <x v="50"/>
    <x v="1"/>
    <n v="0"/>
  </r>
  <r>
    <x v="0"/>
    <x v="0"/>
    <x v="17"/>
    <x v="6"/>
    <x v="51"/>
    <x v="1"/>
    <n v="0"/>
  </r>
  <r>
    <x v="0"/>
    <x v="0"/>
    <x v="17"/>
    <x v="6"/>
    <x v="52"/>
    <x v="1"/>
    <n v="0"/>
  </r>
  <r>
    <x v="0"/>
    <x v="0"/>
    <x v="17"/>
    <x v="6"/>
    <x v="53"/>
    <x v="1"/>
    <n v="0"/>
  </r>
  <r>
    <x v="0"/>
    <x v="0"/>
    <x v="17"/>
    <x v="6"/>
    <x v="54"/>
    <x v="1"/>
    <n v="0"/>
  </r>
  <r>
    <x v="0"/>
    <x v="0"/>
    <x v="17"/>
    <x v="6"/>
    <x v="55"/>
    <x v="1"/>
    <n v="0"/>
  </r>
  <r>
    <x v="0"/>
    <x v="0"/>
    <x v="17"/>
    <x v="7"/>
    <x v="46"/>
    <x v="1"/>
    <n v="79.839069777000006"/>
  </r>
  <r>
    <x v="0"/>
    <x v="0"/>
    <x v="17"/>
    <x v="7"/>
    <x v="47"/>
    <x v="1"/>
    <n v="79.839069777000006"/>
  </r>
  <r>
    <x v="0"/>
    <x v="0"/>
    <x v="17"/>
    <x v="7"/>
    <x v="48"/>
    <x v="1"/>
    <n v="79.839069777000006"/>
  </r>
  <r>
    <x v="0"/>
    <x v="0"/>
    <x v="17"/>
    <x v="7"/>
    <x v="49"/>
    <x v="1"/>
    <n v="0"/>
  </r>
  <r>
    <x v="0"/>
    <x v="0"/>
    <x v="17"/>
    <x v="7"/>
    <x v="50"/>
    <x v="1"/>
    <n v="0"/>
  </r>
  <r>
    <x v="0"/>
    <x v="0"/>
    <x v="17"/>
    <x v="7"/>
    <x v="51"/>
    <x v="1"/>
    <n v="0"/>
  </r>
  <r>
    <x v="0"/>
    <x v="0"/>
    <x v="17"/>
    <x v="7"/>
    <x v="52"/>
    <x v="1"/>
    <n v="0"/>
  </r>
  <r>
    <x v="0"/>
    <x v="0"/>
    <x v="17"/>
    <x v="7"/>
    <x v="53"/>
    <x v="1"/>
    <n v="0"/>
  </r>
  <r>
    <x v="0"/>
    <x v="0"/>
    <x v="17"/>
    <x v="7"/>
    <x v="54"/>
    <x v="1"/>
    <n v="0"/>
  </r>
  <r>
    <x v="0"/>
    <x v="0"/>
    <x v="17"/>
    <x v="7"/>
    <x v="55"/>
    <x v="1"/>
    <n v="0"/>
  </r>
  <r>
    <x v="0"/>
    <x v="0"/>
    <x v="17"/>
    <x v="8"/>
    <x v="46"/>
    <x v="1"/>
    <n v="57.880511804999998"/>
  </r>
  <r>
    <x v="0"/>
    <x v="0"/>
    <x v="17"/>
    <x v="8"/>
    <x v="47"/>
    <x v="1"/>
    <n v="57.880511804999998"/>
  </r>
  <r>
    <x v="0"/>
    <x v="0"/>
    <x v="17"/>
    <x v="8"/>
    <x v="48"/>
    <x v="1"/>
    <n v="57.880511804999998"/>
  </r>
  <r>
    <x v="0"/>
    <x v="0"/>
    <x v="17"/>
    <x v="8"/>
    <x v="49"/>
    <x v="1"/>
    <n v="0"/>
  </r>
  <r>
    <x v="0"/>
    <x v="0"/>
    <x v="17"/>
    <x v="8"/>
    <x v="50"/>
    <x v="1"/>
    <n v="0"/>
  </r>
  <r>
    <x v="0"/>
    <x v="0"/>
    <x v="17"/>
    <x v="8"/>
    <x v="51"/>
    <x v="1"/>
    <n v="0"/>
  </r>
  <r>
    <x v="0"/>
    <x v="0"/>
    <x v="17"/>
    <x v="8"/>
    <x v="52"/>
    <x v="1"/>
    <n v="0"/>
  </r>
  <r>
    <x v="0"/>
    <x v="0"/>
    <x v="17"/>
    <x v="8"/>
    <x v="53"/>
    <x v="1"/>
    <n v="0"/>
  </r>
  <r>
    <x v="0"/>
    <x v="0"/>
    <x v="17"/>
    <x v="8"/>
    <x v="54"/>
    <x v="1"/>
    <n v="0"/>
  </r>
  <r>
    <x v="0"/>
    <x v="0"/>
    <x v="17"/>
    <x v="8"/>
    <x v="55"/>
    <x v="1"/>
    <n v="0"/>
  </r>
  <r>
    <x v="0"/>
    <x v="0"/>
    <x v="17"/>
    <x v="9"/>
    <x v="46"/>
    <x v="1"/>
    <n v="120.14117913600001"/>
  </r>
  <r>
    <x v="0"/>
    <x v="0"/>
    <x v="17"/>
    <x v="9"/>
    <x v="47"/>
    <x v="1"/>
    <n v="120.14117913600001"/>
  </r>
  <r>
    <x v="0"/>
    <x v="0"/>
    <x v="17"/>
    <x v="9"/>
    <x v="48"/>
    <x v="1"/>
    <n v="120.14117913600001"/>
  </r>
  <r>
    <x v="0"/>
    <x v="0"/>
    <x v="17"/>
    <x v="9"/>
    <x v="49"/>
    <x v="1"/>
    <n v="0"/>
  </r>
  <r>
    <x v="0"/>
    <x v="0"/>
    <x v="17"/>
    <x v="9"/>
    <x v="50"/>
    <x v="1"/>
    <n v="0"/>
  </r>
  <r>
    <x v="0"/>
    <x v="0"/>
    <x v="17"/>
    <x v="9"/>
    <x v="51"/>
    <x v="1"/>
    <n v="0"/>
  </r>
  <r>
    <x v="0"/>
    <x v="0"/>
    <x v="17"/>
    <x v="9"/>
    <x v="52"/>
    <x v="1"/>
    <n v="0"/>
  </r>
  <r>
    <x v="0"/>
    <x v="0"/>
    <x v="17"/>
    <x v="9"/>
    <x v="53"/>
    <x v="1"/>
    <n v="0"/>
  </r>
  <r>
    <x v="0"/>
    <x v="0"/>
    <x v="17"/>
    <x v="9"/>
    <x v="54"/>
    <x v="1"/>
    <n v="0"/>
  </r>
  <r>
    <x v="0"/>
    <x v="0"/>
    <x v="17"/>
    <x v="9"/>
    <x v="55"/>
    <x v="1"/>
    <n v="0"/>
  </r>
  <r>
    <x v="0"/>
    <x v="0"/>
    <x v="17"/>
    <x v="10"/>
    <x v="46"/>
    <x v="1"/>
    <n v="166.722354645"/>
  </r>
  <r>
    <x v="0"/>
    <x v="0"/>
    <x v="17"/>
    <x v="10"/>
    <x v="47"/>
    <x v="1"/>
    <n v="166.722354645"/>
  </r>
  <r>
    <x v="0"/>
    <x v="0"/>
    <x v="17"/>
    <x v="10"/>
    <x v="48"/>
    <x v="1"/>
    <n v="166.722354645"/>
  </r>
  <r>
    <x v="0"/>
    <x v="0"/>
    <x v="17"/>
    <x v="10"/>
    <x v="49"/>
    <x v="1"/>
    <n v="0"/>
  </r>
  <r>
    <x v="0"/>
    <x v="0"/>
    <x v="17"/>
    <x v="10"/>
    <x v="50"/>
    <x v="1"/>
    <n v="0"/>
  </r>
  <r>
    <x v="0"/>
    <x v="0"/>
    <x v="17"/>
    <x v="10"/>
    <x v="51"/>
    <x v="1"/>
    <n v="0"/>
  </r>
  <r>
    <x v="0"/>
    <x v="0"/>
    <x v="17"/>
    <x v="10"/>
    <x v="52"/>
    <x v="1"/>
    <n v="0"/>
  </r>
  <r>
    <x v="0"/>
    <x v="0"/>
    <x v="17"/>
    <x v="10"/>
    <x v="53"/>
    <x v="1"/>
    <n v="0"/>
  </r>
  <r>
    <x v="0"/>
    <x v="0"/>
    <x v="17"/>
    <x v="10"/>
    <x v="54"/>
    <x v="1"/>
    <n v="0"/>
  </r>
  <r>
    <x v="0"/>
    <x v="0"/>
    <x v="17"/>
    <x v="10"/>
    <x v="55"/>
    <x v="1"/>
    <n v="0"/>
  </r>
  <r>
    <x v="0"/>
    <x v="0"/>
    <x v="17"/>
    <x v="11"/>
    <x v="46"/>
    <x v="1"/>
    <n v="459.99887555800001"/>
  </r>
  <r>
    <x v="0"/>
    <x v="0"/>
    <x v="17"/>
    <x v="11"/>
    <x v="47"/>
    <x v="1"/>
    <n v="459.99887555800001"/>
  </r>
  <r>
    <x v="0"/>
    <x v="0"/>
    <x v="17"/>
    <x v="11"/>
    <x v="48"/>
    <x v="1"/>
    <n v="459.99887555800001"/>
  </r>
  <r>
    <x v="0"/>
    <x v="0"/>
    <x v="17"/>
    <x v="11"/>
    <x v="49"/>
    <x v="1"/>
    <n v="0"/>
  </r>
  <r>
    <x v="0"/>
    <x v="0"/>
    <x v="17"/>
    <x v="11"/>
    <x v="50"/>
    <x v="1"/>
    <n v="0"/>
  </r>
  <r>
    <x v="0"/>
    <x v="0"/>
    <x v="17"/>
    <x v="11"/>
    <x v="51"/>
    <x v="1"/>
    <n v="0"/>
  </r>
  <r>
    <x v="0"/>
    <x v="0"/>
    <x v="17"/>
    <x v="11"/>
    <x v="52"/>
    <x v="1"/>
    <n v="0"/>
  </r>
  <r>
    <x v="0"/>
    <x v="0"/>
    <x v="17"/>
    <x v="11"/>
    <x v="53"/>
    <x v="1"/>
    <n v="0"/>
  </r>
  <r>
    <x v="0"/>
    <x v="0"/>
    <x v="17"/>
    <x v="11"/>
    <x v="54"/>
    <x v="1"/>
    <n v="0"/>
  </r>
  <r>
    <x v="0"/>
    <x v="0"/>
    <x v="17"/>
    <x v="11"/>
    <x v="55"/>
    <x v="1"/>
    <n v="0"/>
  </r>
  <r>
    <x v="0"/>
    <x v="0"/>
    <x v="17"/>
    <x v="12"/>
    <x v="46"/>
    <x v="1"/>
    <n v="135.40051607199999"/>
  </r>
  <r>
    <x v="0"/>
    <x v="0"/>
    <x v="17"/>
    <x v="12"/>
    <x v="47"/>
    <x v="1"/>
    <n v="135.40051607199999"/>
  </r>
  <r>
    <x v="0"/>
    <x v="0"/>
    <x v="17"/>
    <x v="12"/>
    <x v="48"/>
    <x v="1"/>
    <n v="135.40051607199999"/>
  </r>
  <r>
    <x v="0"/>
    <x v="0"/>
    <x v="17"/>
    <x v="12"/>
    <x v="49"/>
    <x v="1"/>
    <n v="0"/>
  </r>
  <r>
    <x v="0"/>
    <x v="0"/>
    <x v="17"/>
    <x v="12"/>
    <x v="50"/>
    <x v="1"/>
    <n v="0"/>
  </r>
  <r>
    <x v="0"/>
    <x v="0"/>
    <x v="17"/>
    <x v="12"/>
    <x v="51"/>
    <x v="1"/>
    <n v="0"/>
  </r>
  <r>
    <x v="0"/>
    <x v="0"/>
    <x v="17"/>
    <x v="12"/>
    <x v="52"/>
    <x v="1"/>
    <n v="0"/>
  </r>
  <r>
    <x v="0"/>
    <x v="0"/>
    <x v="17"/>
    <x v="12"/>
    <x v="53"/>
    <x v="1"/>
    <n v="0"/>
  </r>
  <r>
    <x v="0"/>
    <x v="0"/>
    <x v="17"/>
    <x v="12"/>
    <x v="54"/>
    <x v="1"/>
    <n v="0"/>
  </r>
  <r>
    <x v="0"/>
    <x v="0"/>
    <x v="17"/>
    <x v="12"/>
    <x v="55"/>
    <x v="1"/>
    <n v="0"/>
  </r>
  <r>
    <x v="0"/>
    <x v="0"/>
    <x v="17"/>
    <x v="13"/>
    <x v="46"/>
    <x v="1"/>
    <n v="345.44928756299998"/>
  </r>
  <r>
    <x v="0"/>
    <x v="0"/>
    <x v="17"/>
    <x v="13"/>
    <x v="47"/>
    <x v="1"/>
    <n v="345.44928756299998"/>
  </r>
  <r>
    <x v="0"/>
    <x v="0"/>
    <x v="17"/>
    <x v="13"/>
    <x v="48"/>
    <x v="1"/>
    <n v="345.44928756299998"/>
  </r>
  <r>
    <x v="0"/>
    <x v="0"/>
    <x v="17"/>
    <x v="13"/>
    <x v="49"/>
    <x v="1"/>
    <n v="0"/>
  </r>
  <r>
    <x v="0"/>
    <x v="0"/>
    <x v="17"/>
    <x v="13"/>
    <x v="50"/>
    <x v="1"/>
    <n v="0"/>
  </r>
  <r>
    <x v="0"/>
    <x v="0"/>
    <x v="17"/>
    <x v="13"/>
    <x v="51"/>
    <x v="1"/>
    <n v="0"/>
  </r>
  <r>
    <x v="0"/>
    <x v="0"/>
    <x v="17"/>
    <x v="13"/>
    <x v="52"/>
    <x v="1"/>
    <n v="0"/>
  </r>
  <r>
    <x v="0"/>
    <x v="0"/>
    <x v="17"/>
    <x v="13"/>
    <x v="53"/>
    <x v="1"/>
    <n v="0"/>
  </r>
  <r>
    <x v="0"/>
    <x v="0"/>
    <x v="17"/>
    <x v="13"/>
    <x v="54"/>
    <x v="1"/>
    <n v="0"/>
  </r>
  <r>
    <x v="0"/>
    <x v="0"/>
    <x v="17"/>
    <x v="13"/>
    <x v="55"/>
    <x v="1"/>
    <n v="0"/>
  </r>
  <r>
    <x v="0"/>
    <x v="0"/>
    <x v="17"/>
    <x v="14"/>
    <x v="46"/>
    <x v="1"/>
    <n v="97.916599930000004"/>
  </r>
  <r>
    <x v="0"/>
    <x v="0"/>
    <x v="17"/>
    <x v="14"/>
    <x v="47"/>
    <x v="1"/>
    <n v="97.916599930000004"/>
  </r>
  <r>
    <x v="0"/>
    <x v="0"/>
    <x v="17"/>
    <x v="14"/>
    <x v="48"/>
    <x v="1"/>
    <n v="97.916599930000004"/>
  </r>
  <r>
    <x v="0"/>
    <x v="0"/>
    <x v="17"/>
    <x v="14"/>
    <x v="49"/>
    <x v="1"/>
    <n v="0"/>
  </r>
  <r>
    <x v="0"/>
    <x v="0"/>
    <x v="17"/>
    <x v="14"/>
    <x v="50"/>
    <x v="1"/>
    <n v="0"/>
  </r>
  <r>
    <x v="0"/>
    <x v="0"/>
    <x v="17"/>
    <x v="14"/>
    <x v="51"/>
    <x v="1"/>
    <n v="0"/>
  </r>
  <r>
    <x v="0"/>
    <x v="0"/>
    <x v="17"/>
    <x v="14"/>
    <x v="52"/>
    <x v="1"/>
    <n v="0"/>
  </r>
  <r>
    <x v="0"/>
    <x v="0"/>
    <x v="17"/>
    <x v="14"/>
    <x v="53"/>
    <x v="1"/>
    <n v="0"/>
  </r>
  <r>
    <x v="0"/>
    <x v="0"/>
    <x v="17"/>
    <x v="14"/>
    <x v="54"/>
    <x v="1"/>
    <n v="0"/>
  </r>
  <r>
    <x v="0"/>
    <x v="0"/>
    <x v="17"/>
    <x v="14"/>
    <x v="55"/>
    <x v="1"/>
    <n v="0"/>
  </r>
  <r>
    <x v="0"/>
    <x v="0"/>
    <x v="17"/>
    <x v="15"/>
    <x v="46"/>
    <x v="1"/>
    <n v="123.151094125"/>
  </r>
  <r>
    <x v="0"/>
    <x v="0"/>
    <x v="17"/>
    <x v="15"/>
    <x v="47"/>
    <x v="1"/>
    <n v="123.151094125"/>
  </r>
  <r>
    <x v="0"/>
    <x v="0"/>
    <x v="17"/>
    <x v="15"/>
    <x v="48"/>
    <x v="1"/>
    <n v="123.151094125"/>
  </r>
  <r>
    <x v="0"/>
    <x v="0"/>
    <x v="17"/>
    <x v="15"/>
    <x v="49"/>
    <x v="1"/>
    <n v="0"/>
  </r>
  <r>
    <x v="0"/>
    <x v="0"/>
    <x v="17"/>
    <x v="15"/>
    <x v="50"/>
    <x v="1"/>
    <n v="0"/>
  </r>
  <r>
    <x v="0"/>
    <x v="0"/>
    <x v="17"/>
    <x v="15"/>
    <x v="51"/>
    <x v="1"/>
    <n v="0"/>
  </r>
  <r>
    <x v="0"/>
    <x v="0"/>
    <x v="17"/>
    <x v="15"/>
    <x v="52"/>
    <x v="1"/>
    <n v="0"/>
  </r>
  <r>
    <x v="0"/>
    <x v="0"/>
    <x v="17"/>
    <x v="15"/>
    <x v="53"/>
    <x v="1"/>
    <n v="0"/>
  </r>
  <r>
    <x v="0"/>
    <x v="0"/>
    <x v="17"/>
    <x v="15"/>
    <x v="54"/>
    <x v="1"/>
    <n v="0"/>
  </r>
  <r>
    <x v="0"/>
    <x v="0"/>
    <x v="17"/>
    <x v="15"/>
    <x v="55"/>
    <x v="1"/>
    <n v="0"/>
  </r>
  <r>
    <x v="0"/>
    <x v="0"/>
    <x v="17"/>
    <x v="16"/>
    <x v="46"/>
    <x v="1"/>
    <n v="80.094923590999997"/>
  </r>
  <r>
    <x v="0"/>
    <x v="0"/>
    <x v="17"/>
    <x v="16"/>
    <x v="47"/>
    <x v="1"/>
    <n v="80.094923590999997"/>
  </r>
  <r>
    <x v="0"/>
    <x v="0"/>
    <x v="17"/>
    <x v="16"/>
    <x v="48"/>
    <x v="1"/>
    <n v="80.094923590999997"/>
  </r>
  <r>
    <x v="0"/>
    <x v="0"/>
    <x v="17"/>
    <x v="16"/>
    <x v="49"/>
    <x v="1"/>
    <n v="0"/>
  </r>
  <r>
    <x v="0"/>
    <x v="0"/>
    <x v="17"/>
    <x v="16"/>
    <x v="50"/>
    <x v="1"/>
    <n v="0"/>
  </r>
  <r>
    <x v="0"/>
    <x v="0"/>
    <x v="17"/>
    <x v="16"/>
    <x v="51"/>
    <x v="1"/>
    <n v="0"/>
  </r>
  <r>
    <x v="0"/>
    <x v="0"/>
    <x v="17"/>
    <x v="16"/>
    <x v="52"/>
    <x v="1"/>
    <n v="0"/>
  </r>
  <r>
    <x v="0"/>
    <x v="0"/>
    <x v="17"/>
    <x v="16"/>
    <x v="53"/>
    <x v="1"/>
    <n v="0"/>
  </r>
  <r>
    <x v="0"/>
    <x v="0"/>
    <x v="17"/>
    <x v="16"/>
    <x v="54"/>
    <x v="1"/>
    <n v="0"/>
  </r>
  <r>
    <x v="0"/>
    <x v="0"/>
    <x v="17"/>
    <x v="16"/>
    <x v="55"/>
    <x v="1"/>
    <n v="0"/>
  </r>
  <r>
    <x v="0"/>
    <x v="0"/>
    <x v="17"/>
    <x v="17"/>
    <x v="46"/>
    <x v="1"/>
    <n v="177.542773799"/>
  </r>
  <r>
    <x v="0"/>
    <x v="0"/>
    <x v="17"/>
    <x v="17"/>
    <x v="47"/>
    <x v="1"/>
    <n v="177.542773799"/>
  </r>
  <r>
    <x v="0"/>
    <x v="0"/>
    <x v="17"/>
    <x v="17"/>
    <x v="48"/>
    <x v="1"/>
    <n v="177.542773799"/>
  </r>
  <r>
    <x v="0"/>
    <x v="0"/>
    <x v="17"/>
    <x v="17"/>
    <x v="49"/>
    <x v="1"/>
    <n v="0"/>
  </r>
  <r>
    <x v="0"/>
    <x v="0"/>
    <x v="17"/>
    <x v="17"/>
    <x v="50"/>
    <x v="1"/>
    <n v="0"/>
  </r>
  <r>
    <x v="0"/>
    <x v="0"/>
    <x v="17"/>
    <x v="17"/>
    <x v="51"/>
    <x v="1"/>
    <n v="0"/>
  </r>
  <r>
    <x v="0"/>
    <x v="0"/>
    <x v="17"/>
    <x v="17"/>
    <x v="52"/>
    <x v="1"/>
    <n v="0"/>
  </r>
  <r>
    <x v="0"/>
    <x v="0"/>
    <x v="17"/>
    <x v="17"/>
    <x v="53"/>
    <x v="1"/>
    <n v="0"/>
  </r>
  <r>
    <x v="0"/>
    <x v="0"/>
    <x v="17"/>
    <x v="17"/>
    <x v="54"/>
    <x v="1"/>
    <n v="0"/>
  </r>
  <r>
    <x v="0"/>
    <x v="0"/>
    <x v="17"/>
    <x v="17"/>
    <x v="55"/>
    <x v="1"/>
    <n v="0"/>
  </r>
  <r>
    <x v="0"/>
    <x v="0"/>
    <x v="17"/>
    <x v="18"/>
    <x v="46"/>
    <x v="1"/>
    <n v="144.77340584300001"/>
  </r>
  <r>
    <x v="0"/>
    <x v="0"/>
    <x v="17"/>
    <x v="18"/>
    <x v="47"/>
    <x v="1"/>
    <n v="144.77340584300001"/>
  </r>
  <r>
    <x v="0"/>
    <x v="0"/>
    <x v="17"/>
    <x v="18"/>
    <x v="48"/>
    <x v="1"/>
    <n v="144.77340584300001"/>
  </r>
  <r>
    <x v="0"/>
    <x v="0"/>
    <x v="17"/>
    <x v="18"/>
    <x v="49"/>
    <x v="1"/>
    <n v="0"/>
  </r>
  <r>
    <x v="0"/>
    <x v="0"/>
    <x v="17"/>
    <x v="18"/>
    <x v="50"/>
    <x v="1"/>
    <n v="0"/>
  </r>
  <r>
    <x v="0"/>
    <x v="0"/>
    <x v="17"/>
    <x v="18"/>
    <x v="51"/>
    <x v="1"/>
    <n v="0"/>
  </r>
  <r>
    <x v="0"/>
    <x v="0"/>
    <x v="17"/>
    <x v="18"/>
    <x v="52"/>
    <x v="1"/>
    <n v="0"/>
  </r>
  <r>
    <x v="0"/>
    <x v="0"/>
    <x v="17"/>
    <x v="18"/>
    <x v="53"/>
    <x v="1"/>
    <n v="0"/>
  </r>
  <r>
    <x v="0"/>
    <x v="0"/>
    <x v="17"/>
    <x v="18"/>
    <x v="54"/>
    <x v="1"/>
    <n v="0"/>
  </r>
  <r>
    <x v="0"/>
    <x v="0"/>
    <x v="17"/>
    <x v="18"/>
    <x v="55"/>
    <x v="1"/>
    <n v="0"/>
  </r>
  <r>
    <x v="0"/>
    <x v="0"/>
    <x v="17"/>
    <x v="19"/>
    <x v="46"/>
    <x v="1"/>
    <n v="207.24989763100001"/>
  </r>
  <r>
    <x v="0"/>
    <x v="0"/>
    <x v="17"/>
    <x v="19"/>
    <x v="47"/>
    <x v="1"/>
    <n v="207.24989763100001"/>
  </r>
  <r>
    <x v="0"/>
    <x v="0"/>
    <x v="17"/>
    <x v="19"/>
    <x v="48"/>
    <x v="1"/>
    <n v="207.24989763100001"/>
  </r>
  <r>
    <x v="0"/>
    <x v="0"/>
    <x v="17"/>
    <x v="19"/>
    <x v="49"/>
    <x v="1"/>
    <n v="0"/>
  </r>
  <r>
    <x v="0"/>
    <x v="0"/>
    <x v="17"/>
    <x v="19"/>
    <x v="50"/>
    <x v="1"/>
    <n v="0"/>
  </r>
  <r>
    <x v="0"/>
    <x v="0"/>
    <x v="17"/>
    <x v="19"/>
    <x v="51"/>
    <x v="1"/>
    <n v="0"/>
  </r>
  <r>
    <x v="0"/>
    <x v="0"/>
    <x v="17"/>
    <x v="19"/>
    <x v="52"/>
    <x v="1"/>
    <n v="0"/>
  </r>
  <r>
    <x v="0"/>
    <x v="0"/>
    <x v="17"/>
    <x v="19"/>
    <x v="53"/>
    <x v="1"/>
    <n v="0"/>
  </r>
  <r>
    <x v="0"/>
    <x v="0"/>
    <x v="17"/>
    <x v="19"/>
    <x v="54"/>
    <x v="1"/>
    <n v="0"/>
  </r>
  <r>
    <x v="0"/>
    <x v="0"/>
    <x v="17"/>
    <x v="19"/>
    <x v="55"/>
    <x v="1"/>
    <n v="0"/>
  </r>
  <r>
    <x v="0"/>
    <x v="0"/>
    <x v="17"/>
    <x v="20"/>
    <x v="46"/>
    <x v="1"/>
    <n v="22.396427039999999"/>
  </r>
  <r>
    <x v="0"/>
    <x v="0"/>
    <x v="17"/>
    <x v="20"/>
    <x v="47"/>
    <x v="1"/>
    <n v="22.396427039999999"/>
  </r>
  <r>
    <x v="0"/>
    <x v="0"/>
    <x v="17"/>
    <x v="20"/>
    <x v="48"/>
    <x v="1"/>
    <n v="22.396427039999999"/>
  </r>
  <r>
    <x v="0"/>
    <x v="0"/>
    <x v="17"/>
    <x v="20"/>
    <x v="49"/>
    <x v="1"/>
    <n v="0"/>
  </r>
  <r>
    <x v="0"/>
    <x v="0"/>
    <x v="17"/>
    <x v="20"/>
    <x v="50"/>
    <x v="1"/>
    <n v="0"/>
  </r>
  <r>
    <x v="0"/>
    <x v="0"/>
    <x v="17"/>
    <x v="20"/>
    <x v="51"/>
    <x v="1"/>
    <n v="0"/>
  </r>
  <r>
    <x v="0"/>
    <x v="0"/>
    <x v="17"/>
    <x v="20"/>
    <x v="52"/>
    <x v="1"/>
    <n v="0"/>
  </r>
  <r>
    <x v="0"/>
    <x v="0"/>
    <x v="17"/>
    <x v="20"/>
    <x v="53"/>
    <x v="1"/>
    <n v="0"/>
  </r>
  <r>
    <x v="0"/>
    <x v="0"/>
    <x v="17"/>
    <x v="20"/>
    <x v="54"/>
    <x v="1"/>
    <n v="0"/>
  </r>
  <r>
    <x v="0"/>
    <x v="0"/>
    <x v="17"/>
    <x v="20"/>
    <x v="55"/>
    <x v="1"/>
    <n v="0"/>
  </r>
  <r>
    <x v="0"/>
    <x v="0"/>
    <x v="17"/>
    <x v="21"/>
    <x v="46"/>
    <x v="1"/>
    <n v="9.4772351970000006"/>
  </r>
  <r>
    <x v="0"/>
    <x v="0"/>
    <x v="17"/>
    <x v="21"/>
    <x v="47"/>
    <x v="1"/>
    <n v="9.4772351970000006"/>
  </r>
  <r>
    <x v="0"/>
    <x v="0"/>
    <x v="17"/>
    <x v="21"/>
    <x v="48"/>
    <x v="1"/>
    <n v="9.4772351970000006"/>
  </r>
  <r>
    <x v="0"/>
    <x v="0"/>
    <x v="17"/>
    <x v="21"/>
    <x v="49"/>
    <x v="1"/>
    <n v="0"/>
  </r>
  <r>
    <x v="0"/>
    <x v="0"/>
    <x v="17"/>
    <x v="21"/>
    <x v="50"/>
    <x v="1"/>
    <n v="0"/>
  </r>
  <r>
    <x v="0"/>
    <x v="0"/>
    <x v="17"/>
    <x v="21"/>
    <x v="51"/>
    <x v="1"/>
    <n v="0"/>
  </r>
  <r>
    <x v="0"/>
    <x v="0"/>
    <x v="17"/>
    <x v="21"/>
    <x v="52"/>
    <x v="1"/>
    <n v="0"/>
  </r>
  <r>
    <x v="0"/>
    <x v="0"/>
    <x v="17"/>
    <x v="21"/>
    <x v="53"/>
    <x v="1"/>
    <n v="0"/>
  </r>
  <r>
    <x v="0"/>
    <x v="0"/>
    <x v="17"/>
    <x v="21"/>
    <x v="54"/>
    <x v="1"/>
    <n v="0"/>
  </r>
  <r>
    <x v="0"/>
    <x v="0"/>
    <x v="17"/>
    <x v="21"/>
    <x v="55"/>
    <x v="1"/>
    <n v="0"/>
  </r>
  <r>
    <x v="0"/>
    <x v="0"/>
    <x v="17"/>
    <x v="22"/>
    <x v="46"/>
    <x v="1"/>
    <n v="25.388884529999999"/>
  </r>
  <r>
    <x v="0"/>
    <x v="0"/>
    <x v="17"/>
    <x v="22"/>
    <x v="47"/>
    <x v="1"/>
    <n v="25.388884529999999"/>
  </r>
  <r>
    <x v="0"/>
    <x v="0"/>
    <x v="17"/>
    <x v="22"/>
    <x v="48"/>
    <x v="1"/>
    <n v="25.388884529999999"/>
  </r>
  <r>
    <x v="0"/>
    <x v="0"/>
    <x v="17"/>
    <x v="22"/>
    <x v="49"/>
    <x v="1"/>
    <n v="0"/>
  </r>
  <r>
    <x v="0"/>
    <x v="0"/>
    <x v="17"/>
    <x v="22"/>
    <x v="50"/>
    <x v="1"/>
    <n v="0"/>
  </r>
  <r>
    <x v="0"/>
    <x v="0"/>
    <x v="17"/>
    <x v="22"/>
    <x v="51"/>
    <x v="1"/>
    <n v="0"/>
  </r>
  <r>
    <x v="0"/>
    <x v="0"/>
    <x v="17"/>
    <x v="22"/>
    <x v="52"/>
    <x v="1"/>
    <n v="0"/>
  </r>
  <r>
    <x v="0"/>
    <x v="0"/>
    <x v="17"/>
    <x v="22"/>
    <x v="53"/>
    <x v="1"/>
    <n v="0"/>
  </r>
  <r>
    <x v="0"/>
    <x v="0"/>
    <x v="17"/>
    <x v="22"/>
    <x v="54"/>
    <x v="1"/>
    <n v="0"/>
  </r>
  <r>
    <x v="0"/>
    <x v="0"/>
    <x v="17"/>
    <x v="22"/>
    <x v="55"/>
    <x v="1"/>
    <n v="0"/>
  </r>
  <r>
    <x v="0"/>
    <x v="0"/>
    <x v="17"/>
    <x v="23"/>
    <x v="46"/>
    <x v="1"/>
    <n v="4.2043469179999997"/>
  </r>
  <r>
    <x v="0"/>
    <x v="0"/>
    <x v="17"/>
    <x v="23"/>
    <x v="47"/>
    <x v="1"/>
    <n v="4.2043469179999997"/>
  </r>
  <r>
    <x v="0"/>
    <x v="0"/>
    <x v="17"/>
    <x v="23"/>
    <x v="48"/>
    <x v="1"/>
    <n v="4.2043469179999997"/>
  </r>
  <r>
    <x v="0"/>
    <x v="0"/>
    <x v="17"/>
    <x v="23"/>
    <x v="49"/>
    <x v="1"/>
    <n v="0"/>
  </r>
  <r>
    <x v="0"/>
    <x v="0"/>
    <x v="17"/>
    <x v="23"/>
    <x v="50"/>
    <x v="1"/>
    <n v="0"/>
  </r>
  <r>
    <x v="0"/>
    <x v="0"/>
    <x v="17"/>
    <x v="23"/>
    <x v="51"/>
    <x v="1"/>
    <n v="0"/>
  </r>
  <r>
    <x v="0"/>
    <x v="0"/>
    <x v="17"/>
    <x v="23"/>
    <x v="52"/>
    <x v="1"/>
    <n v="0"/>
  </r>
  <r>
    <x v="0"/>
    <x v="0"/>
    <x v="17"/>
    <x v="23"/>
    <x v="53"/>
    <x v="1"/>
    <n v="0"/>
  </r>
  <r>
    <x v="0"/>
    <x v="0"/>
    <x v="17"/>
    <x v="23"/>
    <x v="54"/>
    <x v="1"/>
    <n v="0"/>
  </r>
  <r>
    <x v="0"/>
    <x v="0"/>
    <x v="17"/>
    <x v="23"/>
    <x v="55"/>
    <x v="1"/>
    <n v="0"/>
  </r>
  <r>
    <x v="0"/>
    <x v="0"/>
    <x v="17"/>
    <x v="24"/>
    <x v="46"/>
    <x v="1"/>
    <n v="198.20122321700001"/>
  </r>
  <r>
    <x v="0"/>
    <x v="0"/>
    <x v="17"/>
    <x v="24"/>
    <x v="47"/>
    <x v="1"/>
    <n v="198.20122321700001"/>
  </r>
  <r>
    <x v="0"/>
    <x v="0"/>
    <x v="17"/>
    <x v="24"/>
    <x v="48"/>
    <x v="1"/>
    <n v="198.20122321700001"/>
  </r>
  <r>
    <x v="0"/>
    <x v="0"/>
    <x v="17"/>
    <x v="24"/>
    <x v="49"/>
    <x v="1"/>
    <n v="0"/>
  </r>
  <r>
    <x v="0"/>
    <x v="0"/>
    <x v="17"/>
    <x v="24"/>
    <x v="50"/>
    <x v="1"/>
    <n v="0"/>
  </r>
  <r>
    <x v="0"/>
    <x v="0"/>
    <x v="17"/>
    <x v="24"/>
    <x v="51"/>
    <x v="1"/>
    <n v="0"/>
  </r>
  <r>
    <x v="0"/>
    <x v="0"/>
    <x v="17"/>
    <x v="24"/>
    <x v="52"/>
    <x v="1"/>
    <n v="0"/>
  </r>
  <r>
    <x v="0"/>
    <x v="0"/>
    <x v="17"/>
    <x v="24"/>
    <x v="53"/>
    <x v="1"/>
    <n v="0"/>
  </r>
  <r>
    <x v="0"/>
    <x v="0"/>
    <x v="17"/>
    <x v="24"/>
    <x v="54"/>
    <x v="1"/>
    <n v="0"/>
  </r>
  <r>
    <x v="0"/>
    <x v="0"/>
    <x v="17"/>
    <x v="24"/>
    <x v="55"/>
    <x v="1"/>
    <n v="0"/>
  </r>
  <r>
    <x v="0"/>
    <x v="0"/>
    <x v="17"/>
    <x v="25"/>
    <x v="46"/>
    <x v="1"/>
    <n v="12.003175914"/>
  </r>
  <r>
    <x v="0"/>
    <x v="0"/>
    <x v="17"/>
    <x v="25"/>
    <x v="47"/>
    <x v="1"/>
    <n v="12.003175914"/>
  </r>
  <r>
    <x v="0"/>
    <x v="0"/>
    <x v="17"/>
    <x v="25"/>
    <x v="48"/>
    <x v="1"/>
    <n v="12.003175914"/>
  </r>
  <r>
    <x v="0"/>
    <x v="0"/>
    <x v="17"/>
    <x v="25"/>
    <x v="49"/>
    <x v="1"/>
    <n v="0"/>
  </r>
  <r>
    <x v="0"/>
    <x v="0"/>
    <x v="17"/>
    <x v="25"/>
    <x v="50"/>
    <x v="1"/>
    <n v="0"/>
  </r>
  <r>
    <x v="0"/>
    <x v="0"/>
    <x v="17"/>
    <x v="25"/>
    <x v="51"/>
    <x v="1"/>
    <n v="0"/>
  </r>
  <r>
    <x v="0"/>
    <x v="0"/>
    <x v="17"/>
    <x v="25"/>
    <x v="52"/>
    <x v="1"/>
    <n v="0"/>
  </r>
  <r>
    <x v="0"/>
    <x v="0"/>
    <x v="17"/>
    <x v="25"/>
    <x v="53"/>
    <x v="1"/>
    <n v="0"/>
  </r>
  <r>
    <x v="0"/>
    <x v="0"/>
    <x v="17"/>
    <x v="25"/>
    <x v="54"/>
    <x v="1"/>
    <n v="0"/>
  </r>
  <r>
    <x v="0"/>
    <x v="0"/>
    <x v="17"/>
    <x v="25"/>
    <x v="55"/>
    <x v="1"/>
    <n v="0"/>
  </r>
  <r>
    <x v="0"/>
    <x v="0"/>
    <x v="17"/>
    <x v="26"/>
    <x v="46"/>
    <x v="1"/>
    <n v="7.5313381660000003"/>
  </r>
  <r>
    <x v="0"/>
    <x v="0"/>
    <x v="17"/>
    <x v="26"/>
    <x v="47"/>
    <x v="1"/>
    <n v="7.5313381660000003"/>
  </r>
  <r>
    <x v="0"/>
    <x v="0"/>
    <x v="17"/>
    <x v="26"/>
    <x v="48"/>
    <x v="1"/>
    <n v="7.5313381660000003"/>
  </r>
  <r>
    <x v="0"/>
    <x v="0"/>
    <x v="17"/>
    <x v="26"/>
    <x v="49"/>
    <x v="1"/>
    <n v="0"/>
  </r>
  <r>
    <x v="0"/>
    <x v="0"/>
    <x v="17"/>
    <x v="26"/>
    <x v="50"/>
    <x v="1"/>
    <n v="0"/>
  </r>
  <r>
    <x v="0"/>
    <x v="0"/>
    <x v="17"/>
    <x v="26"/>
    <x v="51"/>
    <x v="1"/>
    <n v="0"/>
  </r>
  <r>
    <x v="0"/>
    <x v="0"/>
    <x v="17"/>
    <x v="26"/>
    <x v="52"/>
    <x v="1"/>
    <n v="0"/>
  </r>
  <r>
    <x v="0"/>
    <x v="0"/>
    <x v="17"/>
    <x v="26"/>
    <x v="53"/>
    <x v="1"/>
    <n v="0"/>
  </r>
  <r>
    <x v="0"/>
    <x v="0"/>
    <x v="17"/>
    <x v="26"/>
    <x v="54"/>
    <x v="1"/>
    <n v="0"/>
  </r>
  <r>
    <x v="0"/>
    <x v="0"/>
    <x v="17"/>
    <x v="26"/>
    <x v="55"/>
    <x v="1"/>
    <n v="0"/>
  </r>
  <r>
    <x v="0"/>
    <x v="0"/>
    <x v="17"/>
    <x v="27"/>
    <x v="46"/>
    <x v="1"/>
    <n v="327.72898870699998"/>
  </r>
  <r>
    <x v="0"/>
    <x v="0"/>
    <x v="17"/>
    <x v="27"/>
    <x v="47"/>
    <x v="1"/>
    <n v="327.72898870699998"/>
  </r>
  <r>
    <x v="0"/>
    <x v="0"/>
    <x v="17"/>
    <x v="27"/>
    <x v="48"/>
    <x v="1"/>
    <n v="327.72898870699998"/>
  </r>
  <r>
    <x v="0"/>
    <x v="0"/>
    <x v="17"/>
    <x v="27"/>
    <x v="49"/>
    <x v="1"/>
    <n v="0"/>
  </r>
  <r>
    <x v="0"/>
    <x v="0"/>
    <x v="17"/>
    <x v="27"/>
    <x v="50"/>
    <x v="1"/>
    <n v="0"/>
  </r>
  <r>
    <x v="0"/>
    <x v="0"/>
    <x v="17"/>
    <x v="27"/>
    <x v="51"/>
    <x v="1"/>
    <n v="0"/>
  </r>
  <r>
    <x v="0"/>
    <x v="0"/>
    <x v="17"/>
    <x v="27"/>
    <x v="52"/>
    <x v="1"/>
    <n v="0"/>
  </r>
  <r>
    <x v="0"/>
    <x v="0"/>
    <x v="17"/>
    <x v="27"/>
    <x v="53"/>
    <x v="1"/>
    <n v="0"/>
  </r>
  <r>
    <x v="0"/>
    <x v="0"/>
    <x v="17"/>
    <x v="27"/>
    <x v="54"/>
    <x v="1"/>
    <n v="0"/>
  </r>
  <r>
    <x v="0"/>
    <x v="0"/>
    <x v="17"/>
    <x v="27"/>
    <x v="55"/>
    <x v="1"/>
    <n v="0"/>
  </r>
  <r>
    <x v="0"/>
    <x v="0"/>
    <x v="17"/>
    <x v="28"/>
    <x v="46"/>
    <x v="1"/>
    <n v="315.69300875699997"/>
  </r>
  <r>
    <x v="0"/>
    <x v="0"/>
    <x v="17"/>
    <x v="28"/>
    <x v="47"/>
    <x v="1"/>
    <n v="315.69300875699997"/>
  </r>
  <r>
    <x v="0"/>
    <x v="0"/>
    <x v="17"/>
    <x v="28"/>
    <x v="48"/>
    <x v="1"/>
    <n v="315.69300875699997"/>
  </r>
  <r>
    <x v="0"/>
    <x v="0"/>
    <x v="17"/>
    <x v="28"/>
    <x v="49"/>
    <x v="1"/>
    <n v="0"/>
  </r>
  <r>
    <x v="0"/>
    <x v="0"/>
    <x v="17"/>
    <x v="28"/>
    <x v="50"/>
    <x v="1"/>
    <n v="0"/>
  </r>
  <r>
    <x v="0"/>
    <x v="0"/>
    <x v="17"/>
    <x v="28"/>
    <x v="51"/>
    <x v="1"/>
    <n v="0"/>
  </r>
  <r>
    <x v="0"/>
    <x v="0"/>
    <x v="17"/>
    <x v="28"/>
    <x v="52"/>
    <x v="1"/>
    <n v="0"/>
  </r>
  <r>
    <x v="0"/>
    <x v="0"/>
    <x v="17"/>
    <x v="28"/>
    <x v="53"/>
    <x v="1"/>
    <n v="0"/>
  </r>
  <r>
    <x v="0"/>
    <x v="0"/>
    <x v="17"/>
    <x v="28"/>
    <x v="54"/>
    <x v="1"/>
    <n v="0"/>
  </r>
  <r>
    <x v="0"/>
    <x v="0"/>
    <x v="17"/>
    <x v="28"/>
    <x v="55"/>
    <x v="1"/>
    <n v="0"/>
  </r>
  <r>
    <x v="0"/>
    <x v="0"/>
    <x v="17"/>
    <x v="29"/>
    <x v="46"/>
    <x v="1"/>
    <n v="256.54214073100002"/>
  </r>
  <r>
    <x v="0"/>
    <x v="0"/>
    <x v="17"/>
    <x v="29"/>
    <x v="47"/>
    <x v="1"/>
    <n v="256.54214073100002"/>
  </r>
  <r>
    <x v="0"/>
    <x v="0"/>
    <x v="17"/>
    <x v="29"/>
    <x v="48"/>
    <x v="1"/>
    <n v="256.54214073100002"/>
  </r>
  <r>
    <x v="0"/>
    <x v="0"/>
    <x v="17"/>
    <x v="29"/>
    <x v="49"/>
    <x v="1"/>
    <n v="0"/>
  </r>
  <r>
    <x v="0"/>
    <x v="0"/>
    <x v="17"/>
    <x v="29"/>
    <x v="50"/>
    <x v="1"/>
    <n v="0"/>
  </r>
  <r>
    <x v="0"/>
    <x v="0"/>
    <x v="17"/>
    <x v="29"/>
    <x v="51"/>
    <x v="1"/>
    <n v="0"/>
  </r>
  <r>
    <x v="0"/>
    <x v="0"/>
    <x v="17"/>
    <x v="29"/>
    <x v="52"/>
    <x v="1"/>
    <n v="0"/>
  </r>
  <r>
    <x v="0"/>
    <x v="0"/>
    <x v="17"/>
    <x v="29"/>
    <x v="53"/>
    <x v="1"/>
    <n v="0"/>
  </r>
  <r>
    <x v="0"/>
    <x v="0"/>
    <x v="17"/>
    <x v="29"/>
    <x v="54"/>
    <x v="1"/>
    <n v="0"/>
  </r>
  <r>
    <x v="0"/>
    <x v="0"/>
    <x v="17"/>
    <x v="29"/>
    <x v="55"/>
    <x v="1"/>
    <n v="0"/>
  </r>
  <r>
    <x v="0"/>
    <x v="0"/>
    <x v="17"/>
    <x v="30"/>
    <x v="46"/>
    <x v="1"/>
    <n v="106.167052676"/>
  </r>
  <r>
    <x v="0"/>
    <x v="0"/>
    <x v="17"/>
    <x v="30"/>
    <x v="47"/>
    <x v="1"/>
    <n v="106.167052676"/>
  </r>
  <r>
    <x v="0"/>
    <x v="0"/>
    <x v="17"/>
    <x v="30"/>
    <x v="48"/>
    <x v="1"/>
    <n v="106.167052676"/>
  </r>
  <r>
    <x v="0"/>
    <x v="0"/>
    <x v="17"/>
    <x v="30"/>
    <x v="49"/>
    <x v="1"/>
    <n v="0"/>
  </r>
  <r>
    <x v="0"/>
    <x v="0"/>
    <x v="17"/>
    <x v="30"/>
    <x v="50"/>
    <x v="1"/>
    <n v="0"/>
  </r>
  <r>
    <x v="0"/>
    <x v="0"/>
    <x v="17"/>
    <x v="30"/>
    <x v="51"/>
    <x v="1"/>
    <n v="0"/>
  </r>
  <r>
    <x v="0"/>
    <x v="0"/>
    <x v="17"/>
    <x v="30"/>
    <x v="52"/>
    <x v="1"/>
    <n v="0"/>
  </r>
  <r>
    <x v="0"/>
    <x v="0"/>
    <x v="17"/>
    <x v="30"/>
    <x v="53"/>
    <x v="1"/>
    <n v="0"/>
  </r>
  <r>
    <x v="0"/>
    <x v="0"/>
    <x v="17"/>
    <x v="30"/>
    <x v="54"/>
    <x v="1"/>
    <n v="0"/>
  </r>
  <r>
    <x v="0"/>
    <x v="0"/>
    <x v="17"/>
    <x v="30"/>
    <x v="55"/>
    <x v="1"/>
    <n v="0"/>
  </r>
  <r>
    <x v="0"/>
    <x v="0"/>
    <x v="17"/>
    <x v="31"/>
    <x v="46"/>
    <x v="1"/>
    <n v="89.258324317000003"/>
  </r>
  <r>
    <x v="0"/>
    <x v="0"/>
    <x v="17"/>
    <x v="31"/>
    <x v="47"/>
    <x v="1"/>
    <n v="89.258324317000003"/>
  </r>
  <r>
    <x v="0"/>
    <x v="0"/>
    <x v="17"/>
    <x v="31"/>
    <x v="48"/>
    <x v="1"/>
    <n v="89.258324317000003"/>
  </r>
  <r>
    <x v="0"/>
    <x v="0"/>
    <x v="17"/>
    <x v="31"/>
    <x v="49"/>
    <x v="1"/>
    <n v="0"/>
  </r>
  <r>
    <x v="0"/>
    <x v="0"/>
    <x v="17"/>
    <x v="31"/>
    <x v="50"/>
    <x v="1"/>
    <n v="0"/>
  </r>
  <r>
    <x v="0"/>
    <x v="0"/>
    <x v="17"/>
    <x v="31"/>
    <x v="51"/>
    <x v="1"/>
    <n v="0"/>
  </r>
  <r>
    <x v="0"/>
    <x v="0"/>
    <x v="17"/>
    <x v="31"/>
    <x v="52"/>
    <x v="1"/>
    <n v="0"/>
  </r>
  <r>
    <x v="0"/>
    <x v="0"/>
    <x v="17"/>
    <x v="31"/>
    <x v="53"/>
    <x v="1"/>
    <n v="0"/>
  </r>
  <r>
    <x v="0"/>
    <x v="0"/>
    <x v="17"/>
    <x v="31"/>
    <x v="54"/>
    <x v="1"/>
    <n v="0"/>
  </r>
  <r>
    <x v="0"/>
    <x v="0"/>
    <x v="17"/>
    <x v="31"/>
    <x v="55"/>
    <x v="1"/>
    <n v="0"/>
  </r>
  <r>
    <x v="0"/>
    <x v="0"/>
    <x v="17"/>
    <x v="32"/>
    <x v="46"/>
    <x v="1"/>
    <n v="293.67393033799999"/>
  </r>
  <r>
    <x v="0"/>
    <x v="0"/>
    <x v="17"/>
    <x v="32"/>
    <x v="47"/>
    <x v="1"/>
    <n v="293.67393033799999"/>
  </r>
  <r>
    <x v="0"/>
    <x v="0"/>
    <x v="17"/>
    <x v="32"/>
    <x v="48"/>
    <x v="1"/>
    <n v="293.67393033799999"/>
  </r>
  <r>
    <x v="0"/>
    <x v="0"/>
    <x v="17"/>
    <x v="32"/>
    <x v="49"/>
    <x v="1"/>
    <n v="0"/>
  </r>
  <r>
    <x v="0"/>
    <x v="0"/>
    <x v="17"/>
    <x v="32"/>
    <x v="50"/>
    <x v="1"/>
    <n v="0"/>
  </r>
  <r>
    <x v="0"/>
    <x v="0"/>
    <x v="17"/>
    <x v="32"/>
    <x v="51"/>
    <x v="1"/>
    <n v="0"/>
  </r>
  <r>
    <x v="0"/>
    <x v="0"/>
    <x v="17"/>
    <x v="32"/>
    <x v="52"/>
    <x v="1"/>
    <n v="0"/>
  </r>
  <r>
    <x v="0"/>
    <x v="0"/>
    <x v="17"/>
    <x v="32"/>
    <x v="53"/>
    <x v="1"/>
    <n v="0"/>
  </r>
  <r>
    <x v="0"/>
    <x v="0"/>
    <x v="17"/>
    <x v="32"/>
    <x v="54"/>
    <x v="1"/>
    <n v="0"/>
  </r>
  <r>
    <x v="0"/>
    <x v="0"/>
    <x v="17"/>
    <x v="32"/>
    <x v="55"/>
    <x v="1"/>
    <n v="0"/>
  </r>
  <r>
    <x v="0"/>
    <x v="0"/>
    <x v="17"/>
    <x v="33"/>
    <x v="46"/>
    <x v="1"/>
    <n v="191.83431138200001"/>
  </r>
  <r>
    <x v="0"/>
    <x v="0"/>
    <x v="17"/>
    <x v="33"/>
    <x v="47"/>
    <x v="1"/>
    <n v="191.83431138200001"/>
  </r>
  <r>
    <x v="0"/>
    <x v="0"/>
    <x v="17"/>
    <x v="33"/>
    <x v="48"/>
    <x v="1"/>
    <n v="191.83431138200001"/>
  </r>
  <r>
    <x v="0"/>
    <x v="0"/>
    <x v="17"/>
    <x v="33"/>
    <x v="49"/>
    <x v="1"/>
    <n v="0"/>
  </r>
  <r>
    <x v="0"/>
    <x v="0"/>
    <x v="17"/>
    <x v="33"/>
    <x v="50"/>
    <x v="1"/>
    <n v="0"/>
  </r>
  <r>
    <x v="0"/>
    <x v="0"/>
    <x v="17"/>
    <x v="33"/>
    <x v="51"/>
    <x v="1"/>
    <n v="0"/>
  </r>
  <r>
    <x v="0"/>
    <x v="0"/>
    <x v="17"/>
    <x v="33"/>
    <x v="52"/>
    <x v="1"/>
    <n v="0"/>
  </r>
  <r>
    <x v="0"/>
    <x v="0"/>
    <x v="17"/>
    <x v="33"/>
    <x v="53"/>
    <x v="1"/>
    <n v="0"/>
  </r>
  <r>
    <x v="0"/>
    <x v="0"/>
    <x v="17"/>
    <x v="33"/>
    <x v="54"/>
    <x v="1"/>
    <n v="0"/>
  </r>
  <r>
    <x v="0"/>
    <x v="0"/>
    <x v="17"/>
    <x v="33"/>
    <x v="55"/>
    <x v="1"/>
    <n v="0"/>
  </r>
  <r>
    <x v="0"/>
    <x v="0"/>
    <x v="17"/>
    <x v="34"/>
    <x v="46"/>
    <x v="1"/>
    <n v="168.39413922099999"/>
  </r>
  <r>
    <x v="0"/>
    <x v="0"/>
    <x v="17"/>
    <x v="34"/>
    <x v="47"/>
    <x v="1"/>
    <n v="168.39413922099999"/>
  </r>
  <r>
    <x v="0"/>
    <x v="0"/>
    <x v="17"/>
    <x v="34"/>
    <x v="48"/>
    <x v="1"/>
    <n v="168.39413922099999"/>
  </r>
  <r>
    <x v="0"/>
    <x v="0"/>
    <x v="17"/>
    <x v="34"/>
    <x v="49"/>
    <x v="1"/>
    <n v="0"/>
  </r>
  <r>
    <x v="0"/>
    <x v="0"/>
    <x v="17"/>
    <x v="34"/>
    <x v="50"/>
    <x v="1"/>
    <n v="0"/>
  </r>
  <r>
    <x v="0"/>
    <x v="0"/>
    <x v="17"/>
    <x v="34"/>
    <x v="51"/>
    <x v="1"/>
    <n v="0"/>
  </r>
  <r>
    <x v="0"/>
    <x v="0"/>
    <x v="17"/>
    <x v="34"/>
    <x v="52"/>
    <x v="1"/>
    <n v="0"/>
  </r>
  <r>
    <x v="0"/>
    <x v="0"/>
    <x v="17"/>
    <x v="34"/>
    <x v="53"/>
    <x v="1"/>
    <n v="0"/>
  </r>
  <r>
    <x v="0"/>
    <x v="0"/>
    <x v="17"/>
    <x v="34"/>
    <x v="54"/>
    <x v="1"/>
    <n v="0"/>
  </r>
  <r>
    <x v="0"/>
    <x v="0"/>
    <x v="17"/>
    <x v="34"/>
    <x v="55"/>
    <x v="1"/>
    <n v="0"/>
  </r>
  <r>
    <x v="0"/>
    <x v="0"/>
    <x v="17"/>
    <x v="35"/>
    <x v="46"/>
    <x v="1"/>
    <n v="93.114922691000004"/>
  </r>
  <r>
    <x v="0"/>
    <x v="0"/>
    <x v="17"/>
    <x v="35"/>
    <x v="47"/>
    <x v="1"/>
    <n v="93.114922691000004"/>
  </r>
  <r>
    <x v="0"/>
    <x v="0"/>
    <x v="17"/>
    <x v="35"/>
    <x v="48"/>
    <x v="1"/>
    <n v="93.114922691000004"/>
  </r>
  <r>
    <x v="0"/>
    <x v="0"/>
    <x v="17"/>
    <x v="35"/>
    <x v="49"/>
    <x v="1"/>
    <n v="0"/>
  </r>
  <r>
    <x v="0"/>
    <x v="0"/>
    <x v="17"/>
    <x v="35"/>
    <x v="50"/>
    <x v="1"/>
    <n v="0"/>
  </r>
  <r>
    <x v="0"/>
    <x v="0"/>
    <x v="17"/>
    <x v="35"/>
    <x v="51"/>
    <x v="1"/>
    <n v="0"/>
  </r>
  <r>
    <x v="0"/>
    <x v="0"/>
    <x v="17"/>
    <x v="35"/>
    <x v="52"/>
    <x v="1"/>
    <n v="0"/>
  </r>
  <r>
    <x v="0"/>
    <x v="0"/>
    <x v="17"/>
    <x v="35"/>
    <x v="53"/>
    <x v="1"/>
    <n v="0"/>
  </r>
  <r>
    <x v="0"/>
    <x v="0"/>
    <x v="17"/>
    <x v="35"/>
    <x v="54"/>
    <x v="1"/>
    <n v="0"/>
  </r>
  <r>
    <x v="0"/>
    <x v="0"/>
    <x v="17"/>
    <x v="35"/>
    <x v="55"/>
    <x v="1"/>
    <n v="0"/>
  </r>
  <r>
    <x v="0"/>
    <x v="0"/>
    <x v="17"/>
    <x v="36"/>
    <x v="46"/>
    <x v="1"/>
    <n v="23.240357871000001"/>
  </r>
  <r>
    <x v="0"/>
    <x v="0"/>
    <x v="17"/>
    <x v="36"/>
    <x v="47"/>
    <x v="1"/>
    <n v="23.240357871000001"/>
  </r>
  <r>
    <x v="0"/>
    <x v="0"/>
    <x v="17"/>
    <x v="36"/>
    <x v="48"/>
    <x v="1"/>
    <n v="23.240357871000001"/>
  </r>
  <r>
    <x v="0"/>
    <x v="0"/>
    <x v="17"/>
    <x v="36"/>
    <x v="49"/>
    <x v="1"/>
    <n v="0"/>
  </r>
  <r>
    <x v="0"/>
    <x v="0"/>
    <x v="17"/>
    <x v="36"/>
    <x v="50"/>
    <x v="1"/>
    <n v="0"/>
  </r>
  <r>
    <x v="0"/>
    <x v="0"/>
    <x v="17"/>
    <x v="36"/>
    <x v="51"/>
    <x v="1"/>
    <n v="0"/>
  </r>
  <r>
    <x v="0"/>
    <x v="0"/>
    <x v="17"/>
    <x v="36"/>
    <x v="52"/>
    <x v="1"/>
    <n v="0"/>
  </r>
  <r>
    <x v="0"/>
    <x v="0"/>
    <x v="17"/>
    <x v="36"/>
    <x v="53"/>
    <x v="1"/>
    <n v="0"/>
  </r>
  <r>
    <x v="0"/>
    <x v="0"/>
    <x v="17"/>
    <x v="36"/>
    <x v="54"/>
    <x v="1"/>
    <n v="0"/>
  </r>
  <r>
    <x v="0"/>
    <x v="0"/>
    <x v="17"/>
    <x v="36"/>
    <x v="55"/>
    <x v="1"/>
    <n v="0"/>
  </r>
  <r>
    <x v="0"/>
    <x v="0"/>
    <x v="17"/>
    <x v="37"/>
    <x v="46"/>
    <x v="1"/>
    <n v="72.274353219000005"/>
  </r>
  <r>
    <x v="0"/>
    <x v="0"/>
    <x v="17"/>
    <x v="37"/>
    <x v="47"/>
    <x v="1"/>
    <n v="72.274353219000005"/>
  </r>
  <r>
    <x v="0"/>
    <x v="0"/>
    <x v="17"/>
    <x v="37"/>
    <x v="48"/>
    <x v="1"/>
    <n v="72.274353219000005"/>
  </r>
  <r>
    <x v="0"/>
    <x v="0"/>
    <x v="17"/>
    <x v="37"/>
    <x v="49"/>
    <x v="1"/>
    <n v="0"/>
  </r>
  <r>
    <x v="0"/>
    <x v="0"/>
    <x v="17"/>
    <x v="37"/>
    <x v="50"/>
    <x v="1"/>
    <n v="0"/>
  </r>
  <r>
    <x v="0"/>
    <x v="0"/>
    <x v="17"/>
    <x v="37"/>
    <x v="51"/>
    <x v="1"/>
    <n v="0"/>
  </r>
  <r>
    <x v="0"/>
    <x v="0"/>
    <x v="17"/>
    <x v="37"/>
    <x v="52"/>
    <x v="1"/>
    <n v="0"/>
  </r>
  <r>
    <x v="0"/>
    <x v="0"/>
    <x v="17"/>
    <x v="37"/>
    <x v="53"/>
    <x v="1"/>
    <n v="0"/>
  </r>
  <r>
    <x v="0"/>
    <x v="0"/>
    <x v="17"/>
    <x v="37"/>
    <x v="54"/>
    <x v="1"/>
    <n v="0"/>
  </r>
  <r>
    <x v="0"/>
    <x v="0"/>
    <x v="17"/>
    <x v="37"/>
    <x v="55"/>
    <x v="1"/>
    <n v="0"/>
  </r>
  <r>
    <x v="0"/>
    <x v="0"/>
    <x v="17"/>
    <x v="38"/>
    <x v="46"/>
    <x v="1"/>
    <n v="102.112124403"/>
  </r>
  <r>
    <x v="0"/>
    <x v="0"/>
    <x v="17"/>
    <x v="38"/>
    <x v="47"/>
    <x v="1"/>
    <n v="102.112124403"/>
  </r>
  <r>
    <x v="0"/>
    <x v="0"/>
    <x v="17"/>
    <x v="38"/>
    <x v="48"/>
    <x v="1"/>
    <n v="102.112124403"/>
  </r>
  <r>
    <x v="0"/>
    <x v="0"/>
    <x v="17"/>
    <x v="38"/>
    <x v="49"/>
    <x v="1"/>
    <n v="0"/>
  </r>
  <r>
    <x v="0"/>
    <x v="0"/>
    <x v="17"/>
    <x v="38"/>
    <x v="50"/>
    <x v="1"/>
    <n v="0"/>
  </r>
  <r>
    <x v="0"/>
    <x v="0"/>
    <x v="17"/>
    <x v="38"/>
    <x v="51"/>
    <x v="1"/>
    <n v="0"/>
  </r>
  <r>
    <x v="0"/>
    <x v="0"/>
    <x v="17"/>
    <x v="38"/>
    <x v="52"/>
    <x v="1"/>
    <n v="0"/>
  </r>
  <r>
    <x v="0"/>
    <x v="0"/>
    <x v="17"/>
    <x v="38"/>
    <x v="53"/>
    <x v="1"/>
    <n v="0"/>
  </r>
  <r>
    <x v="0"/>
    <x v="0"/>
    <x v="17"/>
    <x v="38"/>
    <x v="54"/>
    <x v="1"/>
    <n v="0"/>
  </r>
  <r>
    <x v="0"/>
    <x v="0"/>
    <x v="17"/>
    <x v="38"/>
    <x v="55"/>
    <x v="1"/>
    <n v="0"/>
  </r>
  <r>
    <x v="0"/>
    <x v="0"/>
    <x v="17"/>
    <x v="39"/>
    <x v="46"/>
    <x v="1"/>
    <n v="65.079141723000006"/>
  </r>
  <r>
    <x v="0"/>
    <x v="0"/>
    <x v="17"/>
    <x v="39"/>
    <x v="47"/>
    <x v="1"/>
    <n v="65.079141723000006"/>
  </r>
  <r>
    <x v="0"/>
    <x v="0"/>
    <x v="17"/>
    <x v="39"/>
    <x v="48"/>
    <x v="1"/>
    <n v="65.079141723000006"/>
  </r>
  <r>
    <x v="0"/>
    <x v="0"/>
    <x v="17"/>
    <x v="39"/>
    <x v="49"/>
    <x v="1"/>
    <n v="0"/>
  </r>
  <r>
    <x v="0"/>
    <x v="0"/>
    <x v="17"/>
    <x v="39"/>
    <x v="50"/>
    <x v="1"/>
    <n v="0"/>
  </r>
  <r>
    <x v="0"/>
    <x v="0"/>
    <x v="17"/>
    <x v="39"/>
    <x v="51"/>
    <x v="1"/>
    <n v="0"/>
  </r>
  <r>
    <x v="0"/>
    <x v="0"/>
    <x v="17"/>
    <x v="39"/>
    <x v="52"/>
    <x v="1"/>
    <n v="0"/>
  </r>
  <r>
    <x v="0"/>
    <x v="0"/>
    <x v="17"/>
    <x v="39"/>
    <x v="53"/>
    <x v="1"/>
    <n v="0"/>
  </r>
  <r>
    <x v="0"/>
    <x v="0"/>
    <x v="17"/>
    <x v="39"/>
    <x v="54"/>
    <x v="1"/>
    <n v="0"/>
  </r>
  <r>
    <x v="0"/>
    <x v="0"/>
    <x v="17"/>
    <x v="39"/>
    <x v="55"/>
    <x v="1"/>
    <n v="0"/>
  </r>
  <r>
    <x v="0"/>
    <x v="0"/>
    <x v="17"/>
    <x v="40"/>
    <x v="46"/>
    <x v="1"/>
    <n v="30.347741784"/>
  </r>
  <r>
    <x v="0"/>
    <x v="0"/>
    <x v="17"/>
    <x v="40"/>
    <x v="47"/>
    <x v="1"/>
    <n v="30.347741784"/>
  </r>
  <r>
    <x v="0"/>
    <x v="0"/>
    <x v="17"/>
    <x v="40"/>
    <x v="48"/>
    <x v="1"/>
    <n v="30.347741784"/>
  </r>
  <r>
    <x v="0"/>
    <x v="0"/>
    <x v="17"/>
    <x v="40"/>
    <x v="49"/>
    <x v="1"/>
    <n v="0"/>
  </r>
  <r>
    <x v="0"/>
    <x v="0"/>
    <x v="17"/>
    <x v="40"/>
    <x v="50"/>
    <x v="1"/>
    <n v="0"/>
  </r>
  <r>
    <x v="0"/>
    <x v="0"/>
    <x v="17"/>
    <x v="40"/>
    <x v="51"/>
    <x v="1"/>
    <n v="0"/>
  </r>
  <r>
    <x v="0"/>
    <x v="0"/>
    <x v="17"/>
    <x v="40"/>
    <x v="52"/>
    <x v="1"/>
    <n v="0"/>
  </r>
  <r>
    <x v="0"/>
    <x v="0"/>
    <x v="17"/>
    <x v="40"/>
    <x v="53"/>
    <x v="1"/>
    <n v="0"/>
  </r>
  <r>
    <x v="0"/>
    <x v="0"/>
    <x v="17"/>
    <x v="40"/>
    <x v="54"/>
    <x v="1"/>
    <n v="0"/>
  </r>
  <r>
    <x v="0"/>
    <x v="0"/>
    <x v="17"/>
    <x v="40"/>
    <x v="55"/>
    <x v="1"/>
    <n v="0"/>
  </r>
  <r>
    <x v="0"/>
    <x v="0"/>
    <x v="17"/>
    <x v="41"/>
    <x v="46"/>
    <x v="1"/>
    <n v="162.36476495400001"/>
  </r>
  <r>
    <x v="0"/>
    <x v="0"/>
    <x v="17"/>
    <x v="41"/>
    <x v="47"/>
    <x v="1"/>
    <n v="162.36476495400001"/>
  </r>
  <r>
    <x v="0"/>
    <x v="0"/>
    <x v="17"/>
    <x v="41"/>
    <x v="48"/>
    <x v="1"/>
    <n v="162.36476495400001"/>
  </r>
  <r>
    <x v="0"/>
    <x v="0"/>
    <x v="17"/>
    <x v="41"/>
    <x v="49"/>
    <x v="1"/>
    <n v="0"/>
  </r>
  <r>
    <x v="0"/>
    <x v="0"/>
    <x v="17"/>
    <x v="41"/>
    <x v="50"/>
    <x v="1"/>
    <n v="0"/>
  </r>
  <r>
    <x v="0"/>
    <x v="0"/>
    <x v="17"/>
    <x v="41"/>
    <x v="51"/>
    <x v="1"/>
    <n v="0"/>
  </r>
  <r>
    <x v="0"/>
    <x v="0"/>
    <x v="17"/>
    <x v="41"/>
    <x v="52"/>
    <x v="1"/>
    <n v="0"/>
  </r>
  <r>
    <x v="0"/>
    <x v="0"/>
    <x v="17"/>
    <x v="41"/>
    <x v="53"/>
    <x v="1"/>
    <n v="0"/>
  </r>
  <r>
    <x v="0"/>
    <x v="0"/>
    <x v="17"/>
    <x v="41"/>
    <x v="54"/>
    <x v="1"/>
    <n v="0"/>
  </r>
  <r>
    <x v="0"/>
    <x v="0"/>
    <x v="17"/>
    <x v="41"/>
    <x v="55"/>
    <x v="1"/>
    <n v="0"/>
  </r>
  <r>
    <x v="0"/>
    <x v="0"/>
    <x v="18"/>
    <x v="42"/>
    <x v="46"/>
    <x v="1"/>
    <n v="242.61010326900001"/>
  </r>
  <r>
    <x v="0"/>
    <x v="0"/>
    <x v="18"/>
    <x v="42"/>
    <x v="47"/>
    <x v="1"/>
    <n v="242.61010326900001"/>
  </r>
  <r>
    <x v="0"/>
    <x v="0"/>
    <x v="18"/>
    <x v="42"/>
    <x v="48"/>
    <x v="1"/>
    <n v="242.61010326900001"/>
  </r>
  <r>
    <x v="0"/>
    <x v="0"/>
    <x v="18"/>
    <x v="42"/>
    <x v="49"/>
    <x v="1"/>
    <n v="0"/>
  </r>
  <r>
    <x v="0"/>
    <x v="0"/>
    <x v="18"/>
    <x v="42"/>
    <x v="50"/>
    <x v="1"/>
    <n v="0"/>
  </r>
  <r>
    <x v="0"/>
    <x v="0"/>
    <x v="18"/>
    <x v="42"/>
    <x v="51"/>
    <x v="1"/>
    <n v="0"/>
  </r>
  <r>
    <x v="0"/>
    <x v="0"/>
    <x v="18"/>
    <x v="42"/>
    <x v="52"/>
    <x v="1"/>
    <n v="0"/>
  </r>
  <r>
    <x v="0"/>
    <x v="0"/>
    <x v="18"/>
    <x v="42"/>
    <x v="53"/>
    <x v="1"/>
    <n v="0"/>
  </r>
  <r>
    <x v="0"/>
    <x v="0"/>
    <x v="18"/>
    <x v="42"/>
    <x v="54"/>
    <x v="1"/>
    <n v="0"/>
  </r>
  <r>
    <x v="0"/>
    <x v="0"/>
    <x v="18"/>
    <x v="42"/>
    <x v="55"/>
    <x v="1"/>
    <n v="0"/>
  </r>
  <r>
    <x v="0"/>
    <x v="0"/>
    <x v="18"/>
    <x v="43"/>
    <x v="46"/>
    <x v="1"/>
    <n v="798.15144257199995"/>
  </r>
  <r>
    <x v="0"/>
    <x v="0"/>
    <x v="18"/>
    <x v="43"/>
    <x v="47"/>
    <x v="1"/>
    <n v="798.15144257199995"/>
  </r>
  <r>
    <x v="0"/>
    <x v="0"/>
    <x v="18"/>
    <x v="43"/>
    <x v="48"/>
    <x v="1"/>
    <n v="798.15144257199995"/>
  </r>
  <r>
    <x v="0"/>
    <x v="0"/>
    <x v="18"/>
    <x v="43"/>
    <x v="49"/>
    <x v="1"/>
    <n v="0"/>
  </r>
  <r>
    <x v="0"/>
    <x v="0"/>
    <x v="18"/>
    <x v="43"/>
    <x v="50"/>
    <x v="1"/>
    <n v="0"/>
  </r>
  <r>
    <x v="0"/>
    <x v="0"/>
    <x v="18"/>
    <x v="43"/>
    <x v="51"/>
    <x v="1"/>
    <n v="0"/>
  </r>
  <r>
    <x v="0"/>
    <x v="0"/>
    <x v="18"/>
    <x v="43"/>
    <x v="52"/>
    <x v="1"/>
    <n v="0"/>
  </r>
  <r>
    <x v="0"/>
    <x v="0"/>
    <x v="18"/>
    <x v="43"/>
    <x v="53"/>
    <x v="1"/>
    <n v="0"/>
  </r>
  <r>
    <x v="0"/>
    <x v="0"/>
    <x v="18"/>
    <x v="43"/>
    <x v="54"/>
    <x v="1"/>
    <n v="0"/>
  </r>
  <r>
    <x v="0"/>
    <x v="0"/>
    <x v="18"/>
    <x v="43"/>
    <x v="55"/>
    <x v="1"/>
    <n v="0"/>
  </r>
  <r>
    <x v="0"/>
    <x v="0"/>
    <x v="19"/>
    <x v="44"/>
    <x v="46"/>
    <x v="5"/>
    <n v="7230.2974805280001"/>
  </r>
  <r>
    <x v="0"/>
    <x v="0"/>
    <x v="19"/>
    <x v="44"/>
    <x v="47"/>
    <x v="5"/>
    <n v="7230.2974805280001"/>
  </r>
  <r>
    <x v="0"/>
    <x v="0"/>
    <x v="19"/>
    <x v="44"/>
    <x v="48"/>
    <x v="5"/>
    <n v="7230.2974805280001"/>
  </r>
  <r>
    <x v="0"/>
    <x v="0"/>
    <x v="19"/>
    <x v="44"/>
    <x v="49"/>
    <x v="5"/>
    <n v="0"/>
  </r>
  <r>
    <x v="0"/>
    <x v="0"/>
    <x v="19"/>
    <x v="44"/>
    <x v="50"/>
    <x v="5"/>
    <n v="0"/>
  </r>
  <r>
    <x v="0"/>
    <x v="0"/>
    <x v="19"/>
    <x v="44"/>
    <x v="51"/>
    <x v="5"/>
    <n v="0"/>
  </r>
  <r>
    <x v="0"/>
    <x v="0"/>
    <x v="19"/>
    <x v="44"/>
    <x v="52"/>
    <x v="5"/>
    <n v="0"/>
  </r>
  <r>
    <x v="0"/>
    <x v="0"/>
    <x v="19"/>
    <x v="44"/>
    <x v="53"/>
    <x v="5"/>
    <n v="0"/>
  </r>
  <r>
    <x v="0"/>
    <x v="0"/>
    <x v="19"/>
    <x v="44"/>
    <x v="54"/>
    <x v="5"/>
    <n v="0"/>
  </r>
  <r>
    <x v="0"/>
    <x v="0"/>
    <x v="19"/>
    <x v="44"/>
    <x v="55"/>
    <x v="5"/>
    <n v="0"/>
  </r>
  <r>
    <x v="0"/>
    <x v="0"/>
    <x v="20"/>
    <x v="44"/>
    <x v="0"/>
    <x v="6"/>
    <n v="2390.965025556"/>
  </r>
  <r>
    <x v="0"/>
    <x v="0"/>
    <x v="21"/>
    <x v="44"/>
    <x v="0"/>
    <x v="6"/>
    <n v="5237.0375003190002"/>
  </r>
  <r>
    <x v="0"/>
    <x v="0"/>
    <x v="22"/>
    <x v="44"/>
    <x v="0"/>
    <x v="5"/>
    <n v="0.45654915099999999"/>
  </r>
  <r>
    <x v="0"/>
    <x v="0"/>
    <x v="23"/>
    <x v="44"/>
    <x v="0"/>
    <x v="5"/>
    <n v="2706.7018878919998"/>
  </r>
  <r>
    <x v="0"/>
    <x v="0"/>
    <x v="24"/>
    <x v="44"/>
    <x v="0"/>
    <x v="6"/>
    <n v="2426.023994438"/>
  </r>
  <r>
    <x v="0"/>
    <x v="0"/>
    <x v="25"/>
    <x v="45"/>
    <x v="0"/>
    <x v="6"/>
    <n v="786.70430699999997"/>
  </r>
  <r>
    <x v="0"/>
    <x v="0"/>
    <x v="26"/>
    <x v="44"/>
    <x v="0"/>
    <x v="6"/>
    <n v="2077.1685004000001"/>
  </r>
  <r>
    <x v="0"/>
    <x v="0"/>
    <x v="27"/>
    <x v="44"/>
    <x v="0"/>
    <x v="6"/>
    <n v="1176.283904293"/>
  </r>
  <r>
    <x v="0"/>
    <x v="0"/>
    <x v="28"/>
    <x v="44"/>
    <x v="0"/>
    <x v="6"/>
    <n v="1229.1432058119999"/>
  </r>
  <r>
    <x v="0"/>
    <x v="0"/>
    <x v="29"/>
    <x v="44"/>
    <x v="0"/>
    <x v="6"/>
    <n v="45.932068690999998"/>
  </r>
  <r>
    <x v="0"/>
    <x v="0"/>
    <x v="30"/>
    <x v="44"/>
    <x v="0"/>
    <x v="6"/>
    <n v="2086.2851878920001"/>
  </r>
  <r>
    <x v="0"/>
    <x v="0"/>
    <x v="31"/>
    <x v="44"/>
    <x v="0"/>
    <x v="6"/>
    <n v="4979.3349175220001"/>
  </r>
  <r>
    <x v="0"/>
    <x v="0"/>
    <x v="32"/>
    <x v="44"/>
    <x v="0"/>
    <x v="5"/>
    <n v="0.41898872500000001"/>
  </r>
  <r>
    <x v="0"/>
    <x v="0"/>
    <x v="33"/>
    <x v="44"/>
    <x v="0"/>
    <x v="5"/>
    <n v="8.6139426000000005E-2"/>
  </r>
  <r>
    <x v="0"/>
    <x v="0"/>
    <x v="34"/>
    <x v="44"/>
    <x v="0"/>
    <x v="5"/>
    <n v="1"/>
  </r>
  <r>
    <x v="0"/>
    <x v="0"/>
    <x v="35"/>
    <x v="44"/>
    <x v="0"/>
    <x v="5"/>
    <n v="1.075"/>
  </r>
  <r>
    <x v="0"/>
    <x v="0"/>
    <x v="36"/>
    <x v="44"/>
    <x v="0"/>
    <x v="5"/>
    <n v="-0.34053282400000001"/>
  </r>
  <r>
    <x v="0"/>
    <x v="0"/>
    <x v="37"/>
    <x v="45"/>
    <x v="0"/>
    <x v="6"/>
    <n v="0"/>
  </r>
  <r>
    <x v="0"/>
    <x v="0"/>
    <x v="38"/>
    <x v="45"/>
    <x v="0"/>
    <x v="6"/>
    <n v="0"/>
  </r>
  <r>
    <x v="0"/>
    <x v="0"/>
    <x v="39"/>
    <x v="45"/>
    <x v="0"/>
    <x v="6"/>
    <n v="1"/>
  </r>
  <r>
    <x v="0"/>
    <x v="0"/>
    <x v="40"/>
    <x v="45"/>
    <x v="0"/>
    <x v="6"/>
    <n v="703.64441572800001"/>
  </r>
  <r>
    <x v="0"/>
    <x v="0"/>
    <x v="41"/>
    <x v="45"/>
    <x v="0"/>
    <x v="6"/>
    <n v="580.27613224000004"/>
  </r>
  <r>
    <x v="0"/>
    <x v="0"/>
    <x v="42"/>
    <x v="45"/>
    <x v="0"/>
    <x v="6"/>
    <n v="123.368283488"/>
  </r>
  <r>
    <x v="0"/>
    <x v="0"/>
    <x v="43"/>
    <x v="45"/>
    <x v="0"/>
    <x v="6"/>
    <n v="293.35566010000002"/>
  </r>
  <r>
    <x v="0"/>
    <x v="0"/>
    <x v="44"/>
    <x v="45"/>
    <x v="0"/>
    <x v="6"/>
    <n v="0"/>
  </r>
  <r>
    <x v="0"/>
    <x v="0"/>
    <x v="45"/>
    <x v="44"/>
    <x v="0"/>
    <x v="5"/>
    <n v="0.420541685"/>
  </r>
  <r>
    <x v="0"/>
    <x v="0"/>
    <x v="46"/>
    <x v="45"/>
    <x v="0"/>
    <x v="5"/>
    <n v="1.44965996"/>
  </r>
  <r>
    <x v="0"/>
    <x v="0"/>
    <x v="47"/>
    <x v="46"/>
    <x v="0"/>
    <x v="6"/>
    <n v="383.71575206400001"/>
  </r>
  <r>
    <x v="0"/>
    <x v="0"/>
    <x v="48"/>
    <x v="47"/>
    <x v="0"/>
    <x v="6"/>
    <n v="0"/>
  </r>
  <r>
    <x v="0"/>
    <x v="0"/>
    <x v="49"/>
    <x v="47"/>
    <x v="0"/>
    <x v="6"/>
    <n v="0"/>
  </r>
  <r>
    <x v="0"/>
    <x v="0"/>
    <x v="50"/>
    <x v="48"/>
    <x v="0"/>
    <x v="7"/>
    <n v="872.12542476500005"/>
  </r>
  <r>
    <x v="0"/>
    <x v="0"/>
    <x v="50"/>
    <x v="49"/>
    <x v="0"/>
    <x v="7"/>
    <n v="830.44401106299995"/>
  </r>
  <r>
    <x v="0"/>
    <x v="0"/>
    <x v="51"/>
    <x v="42"/>
    <x v="0"/>
    <x v="4"/>
    <n v="445.97689866799999"/>
  </r>
  <r>
    <x v="0"/>
    <x v="0"/>
    <x v="51"/>
    <x v="43"/>
    <x v="0"/>
    <x v="4"/>
    <n v="1479.7058884210001"/>
  </r>
  <r>
    <x v="0"/>
    <x v="0"/>
    <x v="52"/>
    <x v="42"/>
    <x v="0"/>
    <x v="4"/>
    <n v="342.39475205799999"/>
  </r>
  <r>
    <x v="0"/>
    <x v="0"/>
    <x v="52"/>
    <x v="43"/>
    <x v="0"/>
    <x v="4"/>
    <n v="1046.6138498989999"/>
  </r>
  <r>
    <x v="0"/>
    <x v="0"/>
    <x v="53"/>
    <x v="42"/>
    <x v="0"/>
    <x v="4"/>
    <n v="99.784648789000002"/>
  </r>
  <r>
    <x v="0"/>
    <x v="0"/>
    <x v="53"/>
    <x v="43"/>
    <x v="0"/>
    <x v="4"/>
    <n v="248.46240732699999"/>
  </r>
  <r>
    <x v="0"/>
    <x v="0"/>
    <x v="54"/>
    <x v="42"/>
    <x v="56"/>
    <x v="4"/>
    <n v="55.060144411000003"/>
  </r>
  <r>
    <x v="0"/>
    <x v="0"/>
    <x v="54"/>
    <x v="43"/>
    <x v="56"/>
    <x v="4"/>
    <n v="313.36922741299998"/>
  </r>
  <r>
    <x v="0"/>
    <x v="0"/>
    <x v="55"/>
    <x v="42"/>
    <x v="0"/>
    <x v="4"/>
    <n v="0.47556117799999997"/>
  </r>
  <r>
    <x v="0"/>
    <x v="0"/>
    <x v="55"/>
    <x v="43"/>
    <x v="0"/>
    <x v="4"/>
    <n v="0.454530243"/>
  </r>
  <r>
    <x v="0"/>
    <x v="0"/>
    <x v="56"/>
    <x v="42"/>
    <x v="0"/>
    <x v="4"/>
    <n v="0.55449837700000004"/>
  </r>
  <r>
    <x v="0"/>
    <x v="0"/>
    <x v="56"/>
    <x v="43"/>
    <x v="0"/>
    <x v="4"/>
    <n v="0.54175889300000002"/>
  </r>
  <r>
    <x v="0"/>
    <x v="0"/>
    <x v="57"/>
    <x v="42"/>
    <x v="0"/>
    <x v="4"/>
    <n v="0.37669888099999999"/>
  </r>
  <r>
    <x v="0"/>
    <x v="0"/>
    <x v="57"/>
    <x v="43"/>
    <x v="0"/>
    <x v="4"/>
    <n v="0.37785095400000002"/>
  </r>
  <r>
    <x v="0"/>
    <x v="0"/>
    <x v="58"/>
    <x v="44"/>
    <x v="57"/>
    <x v="5"/>
    <n v="0.38782494200000001"/>
  </r>
  <r>
    <x v="0"/>
    <x v="0"/>
    <x v="59"/>
    <x v="44"/>
    <x v="57"/>
    <x v="6"/>
    <n v="704.06799999999998"/>
  </r>
  <r>
    <x v="0"/>
    <x v="0"/>
    <x v="60"/>
    <x v="0"/>
    <x v="57"/>
    <x v="8"/>
    <n v="112.640413946"/>
  </r>
  <r>
    <x v="0"/>
    <x v="0"/>
    <x v="60"/>
    <x v="1"/>
    <x v="57"/>
    <x v="8"/>
    <n v="23.564720943000001"/>
  </r>
  <r>
    <x v="0"/>
    <x v="0"/>
    <x v="60"/>
    <x v="2"/>
    <x v="57"/>
    <x v="8"/>
    <n v="153.302197234"/>
  </r>
  <r>
    <x v="0"/>
    <x v="0"/>
    <x v="60"/>
    <x v="3"/>
    <x v="57"/>
    <x v="8"/>
    <n v="73.775987102000002"/>
  </r>
  <r>
    <x v="0"/>
    <x v="0"/>
    <x v="60"/>
    <x v="4"/>
    <x v="57"/>
    <x v="8"/>
    <n v="4.3553709349999998"/>
  </r>
  <r>
    <x v="0"/>
    <x v="0"/>
    <x v="60"/>
    <x v="5"/>
    <x v="57"/>
    <x v="8"/>
    <n v="54.019952683"/>
  </r>
  <r>
    <x v="0"/>
    <x v="0"/>
    <x v="60"/>
    <x v="6"/>
    <x v="57"/>
    <x v="8"/>
    <n v="9.3746284200000005"/>
  </r>
  <r>
    <x v="0"/>
    <x v="0"/>
    <x v="60"/>
    <x v="7"/>
    <x v="57"/>
    <x v="8"/>
    <n v="14.907623584"/>
  </r>
  <r>
    <x v="0"/>
    <x v="0"/>
    <x v="60"/>
    <x v="8"/>
    <x v="57"/>
    <x v="8"/>
    <n v="4.963272527"/>
  </r>
  <r>
    <x v="0"/>
    <x v="0"/>
    <x v="60"/>
    <x v="9"/>
    <x v="57"/>
    <x v="8"/>
    <n v="17.247675643000001"/>
  </r>
  <r>
    <x v="0"/>
    <x v="0"/>
    <x v="60"/>
    <x v="10"/>
    <x v="57"/>
    <x v="8"/>
    <n v="28.291705479000001"/>
  </r>
  <r>
    <x v="0"/>
    <x v="0"/>
    <x v="60"/>
    <x v="11"/>
    <x v="57"/>
    <x v="8"/>
    <n v="109.167594209"/>
  </r>
  <r>
    <x v="0"/>
    <x v="0"/>
    <x v="60"/>
    <x v="12"/>
    <x v="57"/>
    <x v="8"/>
    <n v="4.5341181199999996"/>
  </r>
  <r>
    <x v="0"/>
    <x v="0"/>
    <x v="60"/>
    <x v="13"/>
    <x v="57"/>
    <x v="8"/>
    <n v="56.534094484999997"/>
  </r>
  <r>
    <x v="0"/>
    <x v="0"/>
    <x v="60"/>
    <x v="14"/>
    <x v="57"/>
    <x v="8"/>
    <n v="6.091628472"/>
  </r>
  <r>
    <x v="0"/>
    <x v="0"/>
    <x v="60"/>
    <x v="15"/>
    <x v="57"/>
    <x v="8"/>
    <n v="43.309840002999998"/>
  </r>
  <r>
    <x v="0"/>
    <x v="0"/>
    <x v="60"/>
    <x v="16"/>
    <x v="57"/>
    <x v="8"/>
    <n v="36.850634837999998"/>
  </r>
  <r>
    <x v="0"/>
    <x v="0"/>
    <x v="60"/>
    <x v="17"/>
    <x v="57"/>
    <x v="8"/>
    <n v="56.410956601000002"/>
  </r>
  <r>
    <x v="0"/>
    <x v="0"/>
    <x v="60"/>
    <x v="18"/>
    <x v="57"/>
    <x v="8"/>
    <n v="32.743695074999998"/>
  </r>
  <r>
    <x v="0"/>
    <x v="0"/>
    <x v="60"/>
    <x v="19"/>
    <x v="57"/>
    <x v="8"/>
    <n v="216.943964878"/>
  </r>
  <r>
    <x v="0"/>
    <x v="0"/>
    <x v="60"/>
    <x v="20"/>
    <x v="57"/>
    <x v="8"/>
    <n v="27.258515328000001"/>
  </r>
  <r>
    <x v="0"/>
    <x v="0"/>
    <x v="60"/>
    <x v="21"/>
    <x v="57"/>
    <x v="8"/>
    <n v="0.42602738400000001"/>
  </r>
  <r>
    <x v="0"/>
    <x v="0"/>
    <x v="60"/>
    <x v="22"/>
    <x v="57"/>
    <x v="8"/>
    <n v="11.969866420000001"/>
  </r>
  <r>
    <x v="0"/>
    <x v="0"/>
    <x v="60"/>
    <x v="23"/>
    <x v="57"/>
    <x v="8"/>
    <n v="0"/>
  </r>
  <r>
    <x v="0"/>
    <x v="0"/>
    <x v="60"/>
    <x v="24"/>
    <x v="57"/>
    <x v="8"/>
    <n v="0.19588367700000001"/>
  </r>
  <r>
    <x v="0"/>
    <x v="0"/>
    <x v="60"/>
    <x v="25"/>
    <x v="57"/>
    <x v="8"/>
    <n v="1.6999999999999999E-7"/>
  </r>
  <r>
    <x v="0"/>
    <x v="0"/>
    <x v="60"/>
    <x v="26"/>
    <x v="57"/>
    <x v="8"/>
    <n v="0"/>
  </r>
  <r>
    <x v="0"/>
    <x v="0"/>
    <x v="60"/>
    <x v="27"/>
    <x v="57"/>
    <x v="8"/>
    <n v="2.7261322940000001"/>
  </r>
  <r>
    <x v="0"/>
    <x v="0"/>
    <x v="60"/>
    <x v="28"/>
    <x v="57"/>
    <x v="8"/>
    <n v="0"/>
  </r>
  <r>
    <x v="0"/>
    <x v="0"/>
    <x v="60"/>
    <x v="29"/>
    <x v="57"/>
    <x v="8"/>
    <n v="32.630637610000001"/>
  </r>
  <r>
    <x v="0"/>
    <x v="0"/>
    <x v="60"/>
    <x v="30"/>
    <x v="57"/>
    <x v="8"/>
    <n v="19.510671113000001"/>
  </r>
  <r>
    <x v="0"/>
    <x v="0"/>
    <x v="60"/>
    <x v="31"/>
    <x v="57"/>
    <x v="8"/>
    <n v="6.3718009020000004"/>
  </r>
  <r>
    <x v="0"/>
    <x v="0"/>
    <x v="60"/>
    <x v="32"/>
    <x v="57"/>
    <x v="8"/>
    <n v="4.058059986"/>
  </r>
  <r>
    <x v="0"/>
    <x v="0"/>
    <x v="60"/>
    <x v="33"/>
    <x v="57"/>
    <x v="8"/>
    <n v="0"/>
  </r>
  <r>
    <x v="0"/>
    <x v="0"/>
    <x v="60"/>
    <x v="34"/>
    <x v="57"/>
    <x v="8"/>
    <n v="33.842574382000002"/>
  </r>
  <r>
    <x v="0"/>
    <x v="0"/>
    <x v="60"/>
    <x v="35"/>
    <x v="57"/>
    <x v="8"/>
    <n v="2.2777374510000001"/>
  </r>
  <r>
    <x v="0"/>
    <x v="0"/>
    <x v="60"/>
    <x v="36"/>
    <x v="57"/>
    <x v="8"/>
    <n v="3.2749908269999999"/>
  </r>
  <r>
    <x v="0"/>
    <x v="0"/>
    <x v="60"/>
    <x v="37"/>
    <x v="57"/>
    <x v="8"/>
    <n v="2.0332032459999998"/>
  </r>
  <r>
    <x v="0"/>
    <x v="0"/>
    <x v="60"/>
    <x v="38"/>
    <x v="57"/>
    <x v="8"/>
    <n v="3.0393423460000002"/>
  </r>
  <r>
    <x v="0"/>
    <x v="0"/>
    <x v="60"/>
    <x v="39"/>
    <x v="57"/>
    <x v="8"/>
    <n v="1.5403398159999999"/>
  </r>
  <r>
    <x v="0"/>
    <x v="0"/>
    <x v="60"/>
    <x v="40"/>
    <x v="57"/>
    <x v="8"/>
    <n v="17.195272405000001"/>
  </r>
  <r>
    <x v="0"/>
    <x v="0"/>
    <x v="60"/>
    <x v="41"/>
    <x v="57"/>
    <x v="8"/>
    <n v="1.762075278"/>
  </r>
  <r>
    <x v="0"/>
    <x v="0"/>
    <x v="61"/>
    <x v="0"/>
    <x v="57"/>
    <x v="8"/>
    <n v="3.1258877530000002"/>
  </r>
  <r>
    <x v="0"/>
    <x v="0"/>
    <x v="61"/>
    <x v="1"/>
    <x v="57"/>
    <x v="8"/>
    <n v="0.75306217600000003"/>
  </r>
  <r>
    <x v="0"/>
    <x v="0"/>
    <x v="61"/>
    <x v="2"/>
    <x v="57"/>
    <x v="8"/>
    <n v="1.8365489530000001"/>
  </r>
  <r>
    <x v="0"/>
    <x v="0"/>
    <x v="61"/>
    <x v="3"/>
    <x v="57"/>
    <x v="8"/>
    <n v="0.59414336700000003"/>
  </r>
  <r>
    <x v="0"/>
    <x v="0"/>
    <x v="61"/>
    <x v="4"/>
    <x v="57"/>
    <x v="8"/>
    <n v="1.1745435319999999"/>
  </r>
  <r>
    <x v="0"/>
    <x v="0"/>
    <x v="61"/>
    <x v="5"/>
    <x v="57"/>
    <x v="8"/>
    <n v="16.474708387"/>
  </r>
  <r>
    <x v="0"/>
    <x v="0"/>
    <x v="61"/>
    <x v="6"/>
    <x v="57"/>
    <x v="8"/>
    <n v="32.296665468999997"/>
  </r>
  <r>
    <x v="0"/>
    <x v="0"/>
    <x v="61"/>
    <x v="7"/>
    <x v="57"/>
    <x v="8"/>
    <n v="65.309098223999996"/>
  </r>
  <r>
    <x v="0"/>
    <x v="0"/>
    <x v="61"/>
    <x v="8"/>
    <x v="57"/>
    <x v="8"/>
    <n v="24.985197551999999"/>
  </r>
  <r>
    <x v="0"/>
    <x v="0"/>
    <x v="61"/>
    <x v="9"/>
    <x v="57"/>
    <x v="8"/>
    <n v="47.587938657999999"/>
  </r>
  <r>
    <x v="0"/>
    <x v="0"/>
    <x v="61"/>
    <x v="10"/>
    <x v="57"/>
    <x v="8"/>
    <n v="11.709372946"/>
  </r>
  <r>
    <x v="0"/>
    <x v="0"/>
    <x v="61"/>
    <x v="11"/>
    <x v="57"/>
    <x v="8"/>
    <n v="95.181856995999993"/>
  </r>
  <r>
    <x v="0"/>
    <x v="0"/>
    <x v="61"/>
    <x v="12"/>
    <x v="57"/>
    <x v="8"/>
    <n v="23.473139265"/>
  </r>
  <r>
    <x v="0"/>
    <x v="0"/>
    <x v="61"/>
    <x v="13"/>
    <x v="57"/>
    <x v="8"/>
    <n v="49.018944017999999"/>
  </r>
  <r>
    <x v="0"/>
    <x v="0"/>
    <x v="61"/>
    <x v="14"/>
    <x v="57"/>
    <x v="8"/>
    <n v="41.140443406000003"/>
  </r>
  <r>
    <x v="0"/>
    <x v="0"/>
    <x v="61"/>
    <x v="15"/>
    <x v="57"/>
    <x v="8"/>
    <n v="61.063177492999998"/>
  </r>
  <r>
    <x v="0"/>
    <x v="0"/>
    <x v="61"/>
    <x v="16"/>
    <x v="57"/>
    <x v="8"/>
    <n v="29.216254568"/>
  </r>
  <r>
    <x v="0"/>
    <x v="0"/>
    <x v="61"/>
    <x v="17"/>
    <x v="57"/>
    <x v="8"/>
    <n v="47.939044168999999"/>
  </r>
  <r>
    <x v="0"/>
    <x v="0"/>
    <x v="61"/>
    <x v="18"/>
    <x v="57"/>
    <x v="8"/>
    <n v="101.588638507"/>
  </r>
  <r>
    <x v="0"/>
    <x v="0"/>
    <x v="61"/>
    <x v="19"/>
    <x v="57"/>
    <x v="8"/>
    <n v="252.992785865"/>
  </r>
  <r>
    <x v="0"/>
    <x v="0"/>
    <x v="61"/>
    <x v="20"/>
    <x v="57"/>
    <x v="8"/>
    <n v="17.017039192999999"/>
  </r>
  <r>
    <x v="0"/>
    <x v="0"/>
    <x v="61"/>
    <x v="21"/>
    <x v="57"/>
    <x v="8"/>
    <n v="4.0248844720000001"/>
  </r>
  <r>
    <x v="0"/>
    <x v="0"/>
    <x v="61"/>
    <x v="22"/>
    <x v="57"/>
    <x v="8"/>
    <n v="0.83638415099999996"/>
  </r>
  <r>
    <x v="0"/>
    <x v="0"/>
    <x v="61"/>
    <x v="23"/>
    <x v="57"/>
    <x v="8"/>
    <n v="0"/>
  </r>
  <r>
    <x v="0"/>
    <x v="0"/>
    <x v="61"/>
    <x v="24"/>
    <x v="57"/>
    <x v="8"/>
    <n v="0.86872750899999995"/>
  </r>
  <r>
    <x v="0"/>
    <x v="0"/>
    <x v="61"/>
    <x v="25"/>
    <x v="57"/>
    <x v="8"/>
    <n v="0"/>
  </r>
  <r>
    <x v="0"/>
    <x v="0"/>
    <x v="61"/>
    <x v="26"/>
    <x v="57"/>
    <x v="8"/>
    <n v="0"/>
  </r>
  <r>
    <x v="0"/>
    <x v="0"/>
    <x v="61"/>
    <x v="27"/>
    <x v="57"/>
    <x v="8"/>
    <n v="5.2950081559999997"/>
  </r>
  <r>
    <x v="0"/>
    <x v="0"/>
    <x v="61"/>
    <x v="28"/>
    <x v="57"/>
    <x v="8"/>
    <n v="123.50964101300001"/>
  </r>
  <r>
    <x v="0"/>
    <x v="0"/>
    <x v="61"/>
    <x v="29"/>
    <x v="57"/>
    <x v="8"/>
    <n v="53.077204532000003"/>
  </r>
  <r>
    <x v="0"/>
    <x v="0"/>
    <x v="61"/>
    <x v="30"/>
    <x v="57"/>
    <x v="8"/>
    <n v="3.1747284069999999"/>
  </r>
  <r>
    <x v="0"/>
    <x v="0"/>
    <x v="61"/>
    <x v="31"/>
    <x v="57"/>
    <x v="8"/>
    <n v="12.636397465"/>
  </r>
  <r>
    <x v="0"/>
    <x v="0"/>
    <x v="61"/>
    <x v="32"/>
    <x v="57"/>
    <x v="8"/>
    <n v="4.8425850820000003"/>
  </r>
  <r>
    <x v="0"/>
    <x v="0"/>
    <x v="61"/>
    <x v="33"/>
    <x v="57"/>
    <x v="8"/>
    <n v="0"/>
  </r>
  <r>
    <x v="0"/>
    <x v="0"/>
    <x v="61"/>
    <x v="34"/>
    <x v="57"/>
    <x v="8"/>
    <n v="36.923659825999998"/>
  </r>
  <r>
    <x v="0"/>
    <x v="0"/>
    <x v="61"/>
    <x v="35"/>
    <x v="57"/>
    <x v="8"/>
    <n v="0.21493277799999999"/>
  </r>
  <r>
    <x v="0"/>
    <x v="0"/>
    <x v="61"/>
    <x v="36"/>
    <x v="57"/>
    <x v="8"/>
    <n v="0.78825860400000003"/>
  </r>
  <r>
    <x v="0"/>
    <x v="0"/>
    <x v="61"/>
    <x v="37"/>
    <x v="57"/>
    <x v="8"/>
    <n v="0.76426131799999997"/>
  </r>
  <r>
    <x v="0"/>
    <x v="0"/>
    <x v="61"/>
    <x v="38"/>
    <x v="57"/>
    <x v="8"/>
    <n v="0.17913559400000001"/>
  </r>
  <r>
    <x v="0"/>
    <x v="0"/>
    <x v="61"/>
    <x v="39"/>
    <x v="57"/>
    <x v="8"/>
    <n v="0.219982504"/>
  </r>
  <r>
    <x v="0"/>
    <x v="0"/>
    <x v="61"/>
    <x v="40"/>
    <x v="57"/>
    <x v="8"/>
    <n v="4.1606032669999999"/>
  </r>
  <r>
    <x v="0"/>
    <x v="0"/>
    <x v="61"/>
    <x v="41"/>
    <x v="57"/>
    <x v="8"/>
    <n v="0.28901911600000002"/>
  </r>
  <r>
    <x v="0"/>
    <x v="0"/>
    <x v="62"/>
    <x v="0"/>
    <x v="57"/>
    <x v="9"/>
    <n v="0.38782494200000001"/>
  </r>
  <r>
    <x v="0"/>
    <x v="0"/>
    <x v="62"/>
    <x v="1"/>
    <x v="57"/>
    <x v="9"/>
    <n v="0.38782494200000001"/>
  </r>
  <r>
    <x v="0"/>
    <x v="0"/>
    <x v="62"/>
    <x v="2"/>
    <x v="57"/>
    <x v="9"/>
    <n v="0.38782494200000001"/>
  </r>
  <r>
    <x v="0"/>
    <x v="0"/>
    <x v="62"/>
    <x v="3"/>
    <x v="57"/>
    <x v="9"/>
    <n v="0.38782494200000001"/>
  </r>
  <r>
    <x v="0"/>
    <x v="0"/>
    <x v="62"/>
    <x v="4"/>
    <x v="57"/>
    <x v="9"/>
    <n v="0.38782494200000001"/>
  </r>
  <r>
    <x v="0"/>
    <x v="0"/>
    <x v="62"/>
    <x v="5"/>
    <x v="57"/>
    <x v="9"/>
    <n v="0.38782494200000001"/>
  </r>
  <r>
    <x v="0"/>
    <x v="0"/>
    <x v="62"/>
    <x v="6"/>
    <x v="57"/>
    <x v="9"/>
    <n v="0.38782494200000001"/>
  </r>
  <r>
    <x v="0"/>
    <x v="0"/>
    <x v="62"/>
    <x v="7"/>
    <x v="57"/>
    <x v="9"/>
    <n v="0.38782494200000001"/>
  </r>
  <r>
    <x v="0"/>
    <x v="0"/>
    <x v="62"/>
    <x v="8"/>
    <x v="57"/>
    <x v="9"/>
    <n v="0.38782494200000001"/>
  </r>
  <r>
    <x v="0"/>
    <x v="0"/>
    <x v="62"/>
    <x v="9"/>
    <x v="57"/>
    <x v="9"/>
    <n v="0.38782494200000001"/>
  </r>
  <r>
    <x v="0"/>
    <x v="0"/>
    <x v="62"/>
    <x v="10"/>
    <x v="57"/>
    <x v="9"/>
    <n v="0.38782494200000001"/>
  </r>
  <r>
    <x v="0"/>
    <x v="0"/>
    <x v="62"/>
    <x v="11"/>
    <x v="57"/>
    <x v="9"/>
    <n v="0.38782494200000001"/>
  </r>
  <r>
    <x v="0"/>
    <x v="0"/>
    <x v="62"/>
    <x v="12"/>
    <x v="57"/>
    <x v="9"/>
    <n v="0.38782494200000001"/>
  </r>
  <r>
    <x v="0"/>
    <x v="0"/>
    <x v="62"/>
    <x v="13"/>
    <x v="57"/>
    <x v="9"/>
    <n v="0.38782494200000001"/>
  </r>
  <r>
    <x v="0"/>
    <x v="0"/>
    <x v="62"/>
    <x v="14"/>
    <x v="57"/>
    <x v="9"/>
    <n v="0.38782494200000001"/>
  </r>
  <r>
    <x v="0"/>
    <x v="0"/>
    <x v="62"/>
    <x v="15"/>
    <x v="57"/>
    <x v="9"/>
    <n v="0.38782494200000001"/>
  </r>
  <r>
    <x v="0"/>
    <x v="0"/>
    <x v="62"/>
    <x v="16"/>
    <x v="57"/>
    <x v="9"/>
    <n v="0.38782494200000001"/>
  </r>
  <r>
    <x v="0"/>
    <x v="0"/>
    <x v="62"/>
    <x v="17"/>
    <x v="57"/>
    <x v="9"/>
    <n v="0.38782494200000001"/>
  </r>
  <r>
    <x v="0"/>
    <x v="0"/>
    <x v="62"/>
    <x v="18"/>
    <x v="57"/>
    <x v="9"/>
    <n v="0.38782494200000001"/>
  </r>
  <r>
    <x v="0"/>
    <x v="0"/>
    <x v="62"/>
    <x v="19"/>
    <x v="57"/>
    <x v="9"/>
    <n v="0.38782494200000001"/>
  </r>
  <r>
    <x v="0"/>
    <x v="0"/>
    <x v="62"/>
    <x v="20"/>
    <x v="57"/>
    <x v="9"/>
    <n v="0.38782494200000001"/>
  </r>
  <r>
    <x v="0"/>
    <x v="0"/>
    <x v="62"/>
    <x v="21"/>
    <x v="57"/>
    <x v="9"/>
    <n v="0.38782494200000001"/>
  </r>
  <r>
    <x v="0"/>
    <x v="0"/>
    <x v="62"/>
    <x v="22"/>
    <x v="57"/>
    <x v="9"/>
    <n v="0.38782494200000001"/>
  </r>
  <r>
    <x v="0"/>
    <x v="0"/>
    <x v="62"/>
    <x v="23"/>
    <x v="57"/>
    <x v="9"/>
    <n v="1"/>
  </r>
  <r>
    <x v="0"/>
    <x v="0"/>
    <x v="62"/>
    <x v="24"/>
    <x v="57"/>
    <x v="9"/>
    <n v="0.38782494200000001"/>
  </r>
  <r>
    <x v="0"/>
    <x v="0"/>
    <x v="62"/>
    <x v="25"/>
    <x v="57"/>
    <x v="9"/>
    <n v="0.38782494200000001"/>
  </r>
  <r>
    <x v="0"/>
    <x v="0"/>
    <x v="62"/>
    <x v="26"/>
    <x v="57"/>
    <x v="9"/>
    <n v="1"/>
  </r>
  <r>
    <x v="0"/>
    <x v="0"/>
    <x v="62"/>
    <x v="27"/>
    <x v="57"/>
    <x v="9"/>
    <n v="0.38782494200000001"/>
  </r>
  <r>
    <x v="0"/>
    <x v="0"/>
    <x v="62"/>
    <x v="28"/>
    <x v="57"/>
    <x v="9"/>
    <n v="1"/>
  </r>
  <r>
    <x v="0"/>
    <x v="0"/>
    <x v="62"/>
    <x v="29"/>
    <x v="57"/>
    <x v="9"/>
    <n v="0.38782494200000001"/>
  </r>
  <r>
    <x v="0"/>
    <x v="0"/>
    <x v="62"/>
    <x v="30"/>
    <x v="57"/>
    <x v="9"/>
    <n v="0.38782494200000001"/>
  </r>
  <r>
    <x v="0"/>
    <x v="0"/>
    <x v="62"/>
    <x v="31"/>
    <x v="57"/>
    <x v="9"/>
    <n v="0.38782494200000001"/>
  </r>
  <r>
    <x v="0"/>
    <x v="0"/>
    <x v="62"/>
    <x v="32"/>
    <x v="57"/>
    <x v="9"/>
    <n v="0.38782494200000001"/>
  </r>
  <r>
    <x v="0"/>
    <x v="0"/>
    <x v="62"/>
    <x v="33"/>
    <x v="57"/>
    <x v="9"/>
    <n v="1"/>
  </r>
  <r>
    <x v="0"/>
    <x v="0"/>
    <x v="62"/>
    <x v="34"/>
    <x v="57"/>
    <x v="9"/>
    <n v="0.38782494200000001"/>
  </r>
  <r>
    <x v="0"/>
    <x v="0"/>
    <x v="62"/>
    <x v="35"/>
    <x v="57"/>
    <x v="9"/>
    <n v="0.38782494200000001"/>
  </r>
  <r>
    <x v="0"/>
    <x v="0"/>
    <x v="62"/>
    <x v="36"/>
    <x v="57"/>
    <x v="9"/>
    <n v="0.38782494200000001"/>
  </r>
  <r>
    <x v="0"/>
    <x v="0"/>
    <x v="62"/>
    <x v="37"/>
    <x v="57"/>
    <x v="9"/>
    <n v="0.38782494200000001"/>
  </r>
  <r>
    <x v="0"/>
    <x v="0"/>
    <x v="62"/>
    <x v="38"/>
    <x v="57"/>
    <x v="9"/>
    <n v="0.38782494200000001"/>
  </r>
  <r>
    <x v="0"/>
    <x v="0"/>
    <x v="62"/>
    <x v="39"/>
    <x v="57"/>
    <x v="9"/>
    <n v="0.38782494200000001"/>
  </r>
  <r>
    <x v="0"/>
    <x v="0"/>
    <x v="62"/>
    <x v="40"/>
    <x v="57"/>
    <x v="9"/>
    <n v="0.38782494200000001"/>
  </r>
  <r>
    <x v="0"/>
    <x v="0"/>
    <x v="62"/>
    <x v="41"/>
    <x v="57"/>
    <x v="9"/>
    <n v="0.38782494200000001"/>
  </r>
  <r>
    <x v="0"/>
    <x v="0"/>
    <x v="63"/>
    <x v="0"/>
    <x v="57"/>
    <x v="9"/>
    <n v="0.37814771200000002"/>
  </r>
  <r>
    <x v="0"/>
    <x v="0"/>
    <x v="63"/>
    <x v="1"/>
    <x v="57"/>
    <x v="9"/>
    <n v="0.28142724200000002"/>
  </r>
  <r>
    <x v="0"/>
    <x v="0"/>
    <x v="63"/>
    <x v="2"/>
    <x v="57"/>
    <x v="9"/>
    <n v="0.330946254"/>
  </r>
  <r>
    <x v="0"/>
    <x v="0"/>
    <x v="63"/>
    <x v="3"/>
    <x v="57"/>
    <x v="9"/>
    <n v="0.28397951700000001"/>
  </r>
  <r>
    <x v="0"/>
    <x v="0"/>
    <x v="63"/>
    <x v="4"/>
    <x v="57"/>
    <x v="9"/>
    <n v="0.26176687399999998"/>
  </r>
  <r>
    <x v="0"/>
    <x v="0"/>
    <x v="63"/>
    <x v="5"/>
    <x v="57"/>
    <x v="9"/>
    <n v="0.266610552"/>
  </r>
  <r>
    <x v="0"/>
    <x v="0"/>
    <x v="63"/>
    <x v="6"/>
    <x v="57"/>
    <x v="9"/>
    <n v="0.25351374999999998"/>
  </r>
  <r>
    <x v="0"/>
    <x v="0"/>
    <x v="63"/>
    <x v="7"/>
    <x v="57"/>
    <x v="9"/>
    <n v="0.26058071599999999"/>
  </r>
  <r>
    <x v="0"/>
    <x v="0"/>
    <x v="63"/>
    <x v="8"/>
    <x v="57"/>
    <x v="9"/>
    <n v="0.250312812"/>
  </r>
  <r>
    <x v="0"/>
    <x v="0"/>
    <x v="63"/>
    <x v="9"/>
    <x v="57"/>
    <x v="9"/>
    <n v="0.237140778"/>
  </r>
  <r>
    <x v="0"/>
    <x v="0"/>
    <x v="63"/>
    <x v="10"/>
    <x v="57"/>
    <x v="9"/>
    <n v="0.22065763999999999"/>
  </r>
  <r>
    <x v="0"/>
    <x v="0"/>
    <x v="63"/>
    <x v="11"/>
    <x v="57"/>
    <x v="9"/>
    <n v="0.226542098"/>
  </r>
  <r>
    <x v="0"/>
    <x v="0"/>
    <x v="63"/>
    <x v="12"/>
    <x v="57"/>
    <x v="9"/>
    <n v="0.23326459799999999"/>
  </r>
  <r>
    <x v="0"/>
    <x v="0"/>
    <x v="63"/>
    <x v="13"/>
    <x v="57"/>
    <x v="9"/>
    <n v="0.213709397"/>
  </r>
  <r>
    <x v="0"/>
    <x v="0"/>
    <x v="63"/>
    <x v="14"/>
    <x v="57"/>
    <x v="9"/>
    <n v="0.220657042"/>
  </r>
  <r>
    <x v="0"/>
    <x v="0"/>
    <x v="63"/>
    <x v="15"/>
    <x v="57"/>
    <x v="9"/>
    <n v="0.23895001299999999"/>
  </r>
  <r>
    <x v="0"/>
    <x v="0"/>
    <x v="63"/>
    <x v="16"/>
    <x v="57"/>
    <x v="9"/>
    <n v="0.244488236"/>
  </r>
  <r>
    <x v="0"/>
    <x v="0"/>
    <x v="63"/>
    <x v="17"/>
    <x v="57"/>
    <x v="9"/>
    <n v="0.23906366100000001"/>
  </r>
  <r>
    <x v="0"/>
    <x v="0"/>
    <x v="63"/>
    <x v="18"/>
    <x v="57"/>
    <x v="9"/>
    <n v="0.222864059"/>
  </r>
  <r>
    <x v="0"/>
    <x v="0"/>
    <x v="63"/>
    <x v="19"/>
    <x v="57"/>
    <x v="9"/>
    <n v="0.255945215"/>
  </r>
  <r>
    <x v="0"/>
    <x v="0"/>
    <x v="63"/>
    <x v="20"/>
    <x v="57"/>
    <x v="9"/>
    <n v="0.26077270800000002"/>
  </r>
  <r>
    <x v="0"/>
    <x v="0"/>
    <x v="63"/>
    <x v="21"/>
    <x v="57"/>
    <x v="9"/>
    <n v="0.232912007"/>
  </r>
  <r>
    <x v="0"/>
    <x v="0"/>
    <x v="63"/>
    <x v="22"/>
    <x v="57"/>
    <x v="9"/>
    <n v="0.28084963099999999"/>
  </r>
  <r>
    <x v="0"/>
    <x v="0"/>
    <x v="63"/>
    <x v="23"/>
    <x v="57"/>
    <x v="9"/>
    <n v="1"/>
  </r>
  <r>
    <x v="0"/>
    <x v="0"/>
    <x v="63"/>
    <x v="24"/>
    <x v="57"/>
    <x v="9"/>
    <n v="0.214624659"/>
  </r>
  <r>
    <x v="0"/>
    <x v="0"/>
    <x v="63"/>
    <x v="25"/>
    <x v="57"/>
    <x v="9"/>
    <n v="1"/>
  </r>
  <r>
    <x v="0"/>
    <x v="0"/>
    <x v="63"/>
    <x v="26"/>
    <x v="57"/>
    <x v="9"/>
    <n v="1"/>
  </r>
  <r>
    <x v="0"/>
    <x v="0"/>
    <x v="63"/>
    <x v="27"/>
    <x v="57"/>
    <x v="9"/>
    <n v="0.25383131399999997"/>
  </r>
  <r>
    <x v="0"/>
    <x v="0"/>
    <x v="63"/>
    <x v="28"/>
    <x v="57"/>
    <x v="9"/>
    <n v="0.291493797"/>
  </r>
  <r>
    <x v="0"/>
    <x v="0"/>
    <x v="63"/>
    <x v="29"/>
    <x v="57"/>
    <x v="9"/>
    <n v="0.24839925700000001"/>
  </r>
  <r>
    <x v="0"/>
    <x v="0"/>
    <x v="63"/>
    <x v="30"/>
    <x v="57"/>
    <x v="9"/>
    <n v="0.30069207399999998"/>
  </r>
  <r>
    <x v="0"/>
    <x v="0"/>
    <x v="63"/>
    <x v="31"/>
    <x v="57"/>
    <x v="9"/>
    <n v="0.23668699600000001"/>
  </r>
  <r>
    <x v="0"/>
    <x v="0"/>
    <x v="63"/>
    <x v="32"/>
    <x v="57"/>
    <x v="9"/>
    <n v="0.262947816"/>
  </r>
  <r>
    <x v="0"/>
    <x v="0"/>
    <x v="63"/>
    <x v="33"/>
    <x v="57"/>
    <x v="9"/>
    <n v="1"/>
  </r>
  <r>
    <x v="0"/>
    <x v="0"/>
    <x v="63"/>
    <x v="34"/>
    <x v="57"/>
    <x v="9"/>
    <n v="0.24804827700000001"/>
  </r>
  <r>
    <x v="0"/>
    <x v="0"/>
    <x v="63"/>
    <x v="35"/>
    <x v="57"/>
    <x v="9"/>
    <n v="0.25586895799999998"/>
  </r>
  <r>
    <x v="0"/>
    <x v="0"/>
    <x v="63"/>
    <x v="36"/>
    <x v="57"/>
    <x v="9"/>
    <n v="0.27479712899999997"/>
  </r>
  <r>
    <x v="0"/>
    <x v="0"/>
    <x v="63"/>
    <x v="37"/>
    <x v="57"/>
    <x v="9"/>
    <n v="0.302712814"/>
  </r>
  <r>
    <x v="0"/>
    <x v="0"/>
    <x v="63"/>
    <x v="38"/>
    <x v="57"/>
    <x v="9"/>
    <n v="0.41199651500000001"/>
  </r>
  <r>
    <x v="0"/>
    <x v="0"/>
    <x v="63"/>
    <x v="39"/>
    <x v="57"/>
    <x v="9"/>
    <n v="0.30925265099999999"/>
  </r>
  <r>
    <x v="0"/>
    <x v="0"/>
    <x v="63"/>
    <x v="40"/>
    <x v="57"/>
    <x v="9"/>
    <n v="0.29935651699999999"/>
  </r>
  <r>
    <x v="0"/>
    <x v="0"/>
    <x v="63"/>
    <x v="41"/>
    <x v="57"/>
    <x v="9"/>
    <n v="0.35780351500000002"/>
  </r>
  <r>
    <x v="0"/>
    <x v="0"/>
    <x v="64"/>
    <x v="0"/>
    <x v="57"/>
    <x v="10"/>
    <n v="0"/>
  </r>
  <r>
    <x v="0"/>
    <x v="0"/>
    <x v="64"/>
    <x v="1"/>
    <x v="57"/>
    <x v="10"/>
    <n v="0"/>
  </r>
  <r>
    <x v="0"/>
    <x v="0"/>
    <x v="64"/>
    <x v="2"/>
    <x v="57"/>
    <x v="10"/>
    <n v="0"/>
  </r>
  <r>
    <x v="0"/>
    <x v="0"/>
    <x v="64"/>
    <x v="3"/>
    <x v="57"/>
    <x v="10"/>
    <n v="0"/>
  </r>
  <r>
    <x v="0"/>
    <x v="0"/>
    <x v="64"/>
    <x v="4"/>
    <x v="57"/>
    <x v="10"/>
    <n v="0"/>
  </r>
  <r>
    <x v="0"/>
    <x v="0"/>
    <x v="64"/>
    <x v="5"/>
    <x v="57"/>
    <x v="10"/>
    <n v="0"/>
  </r>
  <r>
    <x v="0"/>
    <x v="0"/>
    <x v="64"/>
    <x v="6"/>
    <x v="57"/>
    <x v="10"/>
    <n v="0"/>
  </r>
  <r>
    <x v="0"/>
    <x v="0"/>
    <x v="64"/>
    <x v="7"/>
    <x v="57"/>
    <x v="10"/>
    <n v="0"/>
  </r>
  <r>
    <x v="0"/>
    <x v="0"/>
    <x v="64"/>
    <x v="8"/>
    <x v="57"/>
    <x v="10"/>
    <n v="0"/>
  </r>
  <r>
    <x v="0"/>
    <x v="0"/>
    <x v="64"/>
    <x v="9"/>
    <x v="57"/>
    <x v="10"/>
    <n v="0"/>
  </r>
  <r>
    <x v="0"/>
    <x v="0"/>
    <x v="64"/>
    <x v="10"/>
    <x v="57"/>
    <x v="10"/>
    <n v="0"/>
  </r>
  <r>
    <x v="0"/>
    <x v="0"/>
    <x v="64"/>
    <x v="11"/>
    <x v="57"/>
    <x v="10"/>
    <n v="0"/>
  </r>
  <r>
    <x v="0"/>
    <x v="0"/>
    <x v="64"/>
    <x v="12"/>
    <x v="57"/>
    <x v="10"/>
    <n v="0"/>
  </r>
  <r>
    <x v="0"/>
    <x v="0"/>
    <x v="64"/>
    <x v="13"/>
    <x v="57"/>
    <x v="10"/>
    <n v="0"/>
  </r>
  <r>
    <x v="0"/>
    <x v="0"/>
    <x v="64"/>
    <x v="14"/>
    <x v="57"/>
    <x v="10"/>
    <n v="0"/>
  </r>
  <r>
    <x v="0"/>
    <x v="0"/>
    <x v="64"/>
    <x v="15"/>
    <x v="57"/>
    <x v="10"/>
    <n v="0"/>
  </r>
  <r>
    <x v="0"/>
    <x v="0"/>
    <x v="64"/>
    <x v="16"/>
    <x v="57"/>
    <x v="10"/>
    <n v="0"/>
  </r>
  <r>
    <x v="0"/>
    <x v="0"/>
    <x v="64"/>
    <x v="17"/>
    <x v="57"/>
    <x v="10"/>
    <n v="0"/>
  </r>
  <r>
    <x v="0"/>
    <x v="0"/>
    <x v="64"/>
    <x v="18"/>
    <x v="57"/>
    <x v="10"/>
    <n v="0"/>
  </r>
  <r>
    <x v="0"/>
    <x v="0"/>
    <x v="64"/>
    <x v="19"/>
    <x v="57"/>
    <x v="10"/>
    <n v="0"/>
  </r>
  <r>
    <x v="0"/>
    <x v="0"/>
    <x v="64"/>
    <x v="20"/>
    <x v="57"/>
    <x v="10"/>
    <n v="0"/>
  </r>
  <r>
    <x v="0"/>
    <x v="0"/>
    <x v="64"/>
    <x v="21"/>
    <x v="57"/>
    <x v="10"/>
    <n v="0"/>
  </r>
  <r>
    <x v="0"/>
    <x v="0"/>
    <x v="64"/>
    <x v="22"/>
    <x v="57"/>
    <x v="10"/>
    <n v="0"/>
  </r>
  <r>
    <x v="0"/>
    <x v="0"/>
    <x v="64"/>
    <x v="23"/>
    <x v="57"/>
    <x v="10"/>
    <n v="0"/>
  </r>
  <r>
    <x v="0"/>
    <x v="0"/>
    <x v="64"/>
    <x v="24"/>
    <x v="57"/>
    <x v="10"/>
    <n v="0"/>
  </r>
  <r>
    <x v="0"/>
    <x v="0"/>
    <x v="64"/>
    <x v="25"/>
    <x v="57"/>
    <x v="10"/>
    <n v="0"/>
  </r>
  <r>
    <x v="0"/>
    <x v="0"/>
    <x v="64"/>
    <x v="26"/>
    <x v="57"/>
    <x v="10"/>
    <n v="0"/>
  </r>
  <r>
    <x v="0"/>
    <x v="0"/>
    <x v="64"/>
    <x v="27"/>
    <x v="57"/>
    <x v="10"/>
    <n v="0"/>
  </r>
  <r>
    <x v="0"/>
    <x v="0"/>
    <x v="64"/>
    <x v="28"/>
    <x v="57"/>
    <x v="10"/>
    <n v="0"/>
  </r>
  <r>
    <x v="0"/>
    <x v="0"/>
    <x v="64"/>
    <x v="29"/>
    <x v="57"/>
    <x v="10"/>
    <n v="0"/>
  </r>
  <r>
    <x v="0"/>
    <x v="0"/>
    <x v="64"/>
    <x v="30"/>
    <x v="57"/>
    <x v="10"/>
    <n v="0"/>
  </r>
  <r>
    <x v="0"/>
    <x v="0"/>
    <x v="64"/>
    <x v="31"/>
    <x v="57"/>
    <x v="10"/>
    <n v="0"/>
  </r>
  <r>
    <x v="0"/>
    <x v="0"/>
    <x v="64"/>
    <x v="32"/>
    <x v="57"/>
    <x v="10"/>
    <n v="0"/>
  </r>
  <r>
    <x v="0"/>
    <x v="0"/>
    <x v="64"/>
    <x v="33"/>
    <x v="57"/>
    <x v="10"/>
    <n v="0"/>
  </r>
  <r>
    <x v="0"/>
    <x v="0"/>
    <x v="64"/>
    <x v="34"/>
    <x v="57"/>
    <x v="10"/>
    <n v="0"/>
  </r>
  <r>
    <x v="0"/>
    <x v="0"/>
    <x v="64"/>
    <x v="35"/>
    <x v="57"/>
    <x v="10"/>
    <n v="0"/>
  </r>
  <r>
    <x v="0"/>
    <x v="0"/>
    <x v="64"/>
    <x v="36"/>
    <x v="57"/>
    <x v="10"/>
    <n v="0"/>
  </r>
  <r>
    <x v="0"/>
    <x v="0"/>
    <x v="64"/>
    <x v="37"/>
    <x v="57"/>
    <x v="10"/>
    <n v="0"/>
  </r>
  <r>
    <x v="0"/>
    <x v="0"/>
    <x v="64"/>
    <x v="38"/>
    <x v="57"/>
    <x v="10"/>
    <n v="0"/>
  </r>
  <r>
    <x v="0"/>
    <x v="0"/>
    <x v="64"/>
    <x v="39"/>
    <x v="57"/>
    <x v="10"/>
    <n v="0"/>
  </r>
  <r>
    <x v="0"/>
    <x v="0"/>
    <x v="64"/>
    <x v="40"/>
    <x v="57"/>
    <x v="10"/>
    <n v="0"/>
  </r>
  <r>
    <x v="0"/>
    <x v="0"/>
    <x v="64"/>
    <x v="41"/>
    <x v="57"/>
    <x v="10"/>
    <n v="0"/>
  </r>
  <r>
    <x v="0"/>
    <x v="0"/>
    <x v="65"/>
    <x v="48"/>
    <x v="58"/>
    <x v="11"/>
    <n v="1654.9398402419999"/>
  </r>
  <r>
    <x v="0"/>
    <x v="0"/>
    <x v="65"/>
    <x v="49"/>
    <x v="58"/>
    <x v="11"/>
    <n v="1614.9084837"/>
  </r>
  <r>
    <x v="0"/>
    <x v="0"/>
    <x v="66"/>
    <x v="48"/>
    <x v="58"/>
    <x v="12"/>
    <n v="0.52698315900000003"/>
  </r>
  <r>
    <x v="0"/>
    <x v="0"/>
    <x v="66"/>
    <x v="49"/>
    <x v="58"/>
    <x v="12"/>
    <n v="0.51423595799999999"/>
  </r>
  <r>
    <x v="0"/>
    <x v="1"/>
    <x v="0"/>
    <x v="0"/>
    <x v="0"/>
    <x v="0"/>
    <n v="768.74588394800003"/>
  </r>
  <r>
    <x v="0"/>
    <x v="1"/>
    <x v="1"/>
    <x v="0"/>
    <x v="0"/>
    <x v="1"/>
    <n v="0.79450029799999999"/>
  </r>
  <r>
    <x v="0"/>
    <x v="1"/>
    <x v="2"/>
    <x v="0"/>
    <x v="0"/>
    <x v="1"/>
    <n v="293.72928668600002"/>
  </r>
  <r>
    <x v="0"/>
    <x v="1"/>
    <x v="3"/>
    <x v="0"/>
    <x v="0"/>
    <x v="1"/>
    <n v="0.94741926099999996"/>
  </r>
  <r>
    <x v="0"/>
    <x v="1"/>
    <x v="0"/>
    <x v="1"/>
    <x v="0"/>
    <x v="0"/>
    <n v="265.17567201100002"/>
  </r>
  <r>
    <x v="0"/>
    <x v="1"/>
    <x v="1"/>
    <x v="1"/>
    <x v="0"/>
    <x v="1"/>
    <n v="0.48604267099999998"/>
  </r>
  <r>
    <x v="0"/>
    <x v="1"/>
    <x v="2"/>
    <x v="1"/>
    <x v="0"/>
    <x v="1"/>
    <n v="161.608600827"/>
  </r>
  <r>
    <x v="0"/>
    <x v="1"/>
    <x v="3"/>
    <x v="1"/>
    <x v="0"/>
    <x v="1"/>
    <n v="0.60324120199999998"/>
  </r>
  <r>
    <x v="0"/>
    <x v="1"/>
    <x v="0"/>
    <x v="2"/>
    <x v="0"/>
    <x v="0"/>
    <n v="269.28557592099997"/>
  </r>
  <r>
    <x v="0"/>
    <x v="1"/>
    <x v="1"/>
    <x v="2"/>
    <x v="0"/>
    <x v="1"/>
    <n v="0.37878445900000002"/>
  </r>
  <r>
    <x v="0"/>
    <x v="1"/>
    <x v="2"/>
    <x v="2"/>
    <x v="0"/>
    <x v="1"/>
    <n v="154.34843237600001"/>
  </r>
  <r>
    <x v="0"/>
    <x v="1"/>
    <x v="3"/>
    <x v="2"/>
    <x v="0"/>
    <x v="1"/>
    <n v="0.361320207"/>
  </r>
  <r>
    <x v="0"/>
    <x v="1"/>
    <x v="0"/>
    <x v="3"/>
    <x v="0"/>
    <x v="0"/>
    <n v="157.32598130700001"/>
  </r>
  <r>
    <x v="0"/>
    <x v="1"/>
    <x v="1"/>
    <x v="3"/>
    <x v="0"/>
    <x v="1"/>
    <n v="0.416128314"/>
  </r>
  <r>
    <x v="0"/>
    <x v="1"/>
    <x v="2"/>
    <x v="3"/>
    <x v="0"/>
    <x v="1"/>
    <n v="107.15377170399999"/>
  </r>
  <r>
    <x v="0"/>
    <x v="1"/>
    <x v="3"/>
    <x v="3"/>
    <x v="0"/>
    <x v="1"/>
    <n v="0.48272928599999998"/>
  </r>
  <r>
    <x v="0"/>
    <x v="1"/>
    <x v="0"/>
    <x v="4"/>
    <x v="0"/>
    <x v="0"/>
    <n v="70.802088118"/>
  </r>
  <r>
    <x v="0"/>
    <x v="1"/>
    <x v="1"/>
    <x v="4"/>
    <x v="0"/>
    <x v="1"/>
    <n v="0.440913108"/>
  </r>
  <r>
    <x v="0"/>
    <x v="1"/>
    <x v="2"/>
    <x v="4"/>
    <x v="0"/>
    <x v="1"/>
    <n v="47.639583694000002"/>
  </r>
  <r>
    <x v="0"/>
    <x v="1"/>
    <x v="3"/>
    <x v="4"/>
    <x v="0"/>
    <x v="1"/>
    <n v="0.53917015800000001"/>
  </r>
  <r>
    <x v="0"/>
    <x v="1"/>
    <x v="0"/>
    <x v="5"/>
    <x v="0"/>
    <x v="0"/>
    <n v="644.564516733"/>
  </r>
  <r>
    <x v="0"/>
    <x v="1"/>
    <x v="1"/>
    <x v="5"/>
    <x v="0"/>
    <x v="1"/>
    <n v="0.56639942600000004"/>
  </r>
  <r>
    <x v="0"/>
    <x v="1"/>
    <x v="2"/>
    <x v="5"/>
    <x v="0"/>
    <x v="1"/>
    <n v="538.58258752200004"/>
  </r>
  <r>
    <x v="0"/>
    <x v="1"/>
    <x v="3"/>
    <x v="5"/>
    <x v="0"/>
    <x v="1"/>
    <n v="0.36579833"/>
  </r>
  <r>
    <x v="0"/>
    <x v="1"/>
    <x v="0"/>
    <x v="6"/>
    <x v="0"/>
    <x v="0"/>
    <n v="215.46432896499999"/>
  </r>
  <r>
    <x v="0"/>
    <x v="1"/>
    <x v="1"/>
    <x v="6"/>
    <x v="0"/>
    <x v="1"/>
    <n v="0.51970982200000004"/>
  </r>
  <r>
    <x v="0"/>
    <x v="1"/>
    <x v="2"/>
    <x v="6"/>
    <x v="0"/>
    <x v="1"/>
    <n v="180.34666679"/>
  </r>
  <r>
    <x v="0"/>
    <x v="1"/>
    <x v="3"/>
    <x v="6"/>
    <x v="0"/>
    <x v="1"/>
    <n v="0.47343239599999998"/>
  </r>
  <r>
    <x v="0"/>
    <x v="1"/>
    <x v="0"/>
    <x v="7"/>
    <x v="0"/>
    <x v="0"/>
    <n v="149.46436865199999"/>
  </r>
  <r>
    <x v="0"/>
    <x v="1"/>
    <x v="1"/>
    <x v="7"/>
    <x v="0"/>
    <x v="1"/>
    <n v="0.50400201300000003"/>
  </r>
  <r>
    <x v="0"/>
    <x v="1"/>
    <x v="2"/>
    <x v="7"/>
    <x v="0"/>
    <x v="1"/>
    <n v="121.572160622"/>
  </r>
  <r>
    <x v="0"/>
    <x v="1"/>
    <x v="3"/>
    <x v="7"/>
    <x v="0"/>
    <x v="1"/>
    <n v="0.54916235599999996"/>
  </r>
  <r>
    <x v="0"/>
    <x v="1"/>
    <x v="0"/>
    <x v="8"/>
    <x v="0"/>
    <x v="0"/>
    <n v="111.855410179"/>
  </r>
  <r>
    <x v="0"/>
    <x v="1"/>
    <x v="1"/>
    <x v="8"/>
    <x v="0"/>
    <x v="1"/>
    <n v="0.48146369100000003"/>
  </r>
  <r>
    <x v="0"/>
    <x v="1"/>
    <x v="2"/>
    <x v="8"/>
    <x v="0"/>
    <x v="1"/>
    <n v="91.334313581999993"/>
  </r>
  <r>
    <x v="0"/>
    <x v="1"/>
    <x v="3"/>
    <x v="8"/>
    <x v="0"/>
    <x v="1"/>
    <n v="0.45533549600000001"/>
  </r>
  <r>
    <x v="0"/>
    <x v="1"/>
    <x v="0"/>
    <x v="9"/>
    <x v="0"/>
    <x v="0"/>
    <n v="254.51238861900001"/>
  </r>
  <r>
    <x v="0"/>
    <x v="1"/>
    <x v="1"/>
    <x v="9"/>
    <x v="0"/>
    <x v="1"/>
    <n v="0.44204489000000002"/>
  </r>
  <r>
    <x v="0"/>
    <x v="1"/>
    <x v="2"/>
    <x v="9"/>
    <x v="0"/>
    <x v="1"/>
    <n v="203.80312937599999"/>
  </r>
  <r>
    <x v="0"/>
    <x v="1"/>
    <x v="3"/>
    <x v="9"/>
    <x v="0"/>
    <x v="1"/>
    <n v="0.50249386299999999"/>
  </r>
  <r>
    <x v="0"/>
    <x v="1"/>
    <x v="0"/>
    <x v="10"/>
    <x v="0"/>
    <x v="0"/>
    <n v="389.34824808500002"/>
  </r>
  <r>
    <x v="0"/>
    <x v="1"/>
    <x v="1"/>
    <x v="10"/>
    <x v="0"/>
    <x v="1"/>
    <n v="0.35428840299999997"/>
  </r>
  <r>
    <x v="0"/>
    <x v="1"/>
    <x v="2"/>
    <x v="10"/>
    <x v="0"/>
    <x v="1"/>
    <n v="356.65910946700001"/>
  </r>
  <r>
    <x v="0"/>
    <x v="1"/>
    <x v="3"/>
    <x v="10"/>
    <x v="0"/>
    <x v="1"/>
    <n v="0.38087806200000002"/>
  </r>
  <r>
    <x v="0"/>
    <x v="1"/>
    <x v="0"/>
    <x v="11"/>
    <x v="0"/>
    <x v="0"/>
    <n v="1032.0518141299999"/>
  </r>
  <r>
    <x v="0"/>
    <x v="1"/>
    <x v="1"/>
    <x v="11"/>
    <x v="0"/>
    <x v="1"/>
    <n v="0.39970464500000003"/>
  </r>
  <r>
    <x v="0"/>
    <x v="1"/>
    <x v="2"/>
    <x v="11"/>
    <x v="0"/>
    <x v="1"/>
    <n v="867.19747062500005"/>
  </r>
  <r>
    <x v="0"/>
    <x v="1"/>
    <x v="3"/>
    <x v="11"/>
    <x v="0"/>
    <x v="1"/>
    <n v="0.34290133499999997"/>
  </r>
  <r>
    <x v="0"/>
    <x v="1"/>
    <x v="0"/>
    <x v="12"/>
    <x v="0"/>
    <x v="0"/>
    <n v="305.10174448499998"/>
  </r>
  <r>
    <x v="0"/>
    <x v="1"/>
    <x v="1"/>
    <x v="12"/>
    <x v="0"/>
    <x v="1"/>
    <n v="0.40119986000000002"/>
  </r>
  <r>
    <x v="0"/>
    <x v="1"/>
    <x v="2"/>
    <x v="12"/>
    <x v="0"/>
    <x v="1"/>
    <n v="244.42938432400001"/>
  </r>
  <r>
    <x v="0"/>
    <x v="1"/>
    <x v="3"/>
    <x v="12"/>
    <x v="0"/>
    <x v="1"/>
    <n v="0.42382435499999999"/>
  </r>
  <r>
    <x v="0"/>
    <x v="1"/>
    <x v="0"/>
    <x v="13"/>
    <x v="0"/>
    <x v="0"/>
    <n v="854.67657944699999"/>
  </r>
  <r>
    <x v="0"/>
    <x v="1"/>
    <x v="1"/>
    <x v="13"/>
    <x v="0"/>
    <x v="1"/>
    <n v="0.34207883700000002"/>
  </r>
  <r>
    <x v="0"/>
    <x v="1"/>
    <x v="2"/>
    <x v="13"/>
    <x v="0"/>
    <x v="1"/>
    <n v="725.33756861100005"/>
  </r>
  <r>
    <x v="0"/>
    <x v="1"/>
    <x v="3"/>
    <x v="13"/>
    <x v="0"/>
    <x v="1"/>
    <n v="0.29696410099999998"/>
  </r>
  <r>
    <x v="0"/>
    <x v="1"/>
    <x v="0"/>
    <x v="14"/>
    <x v="0"/>
    <x v="0"/>
    <n v="228.53196270199999"/>
  </r>
  <r>
    <x v="0"/>
    <x v="1"/>
    <x v="1"/>
    <x v="14"/>
    <x v="0"/>
    <x v="1"/>
    <n v="0.37964409700000001"/>
  </r>
  <r>
    <x v="0"/>
    <x v="1"/>
    <x v="2"/>
    <x v="14"/>
    <x v="0"/>
    <x v="1"/>
    <n v="190.737797027"/>
  </r>
  <r>
    <x v="0"/>
    <x v="1"/>
    <x v="3"/>
    <x v="14"/>
    <x v="0"/>
    <x v="1"/>
    <n v="0.45247941400000002"/>
  </r>
  <r>
    <x v="0"/>
    <x v="1"/>
    <x v="0"/>
    <x v="15"/>
    <x v="0"/>
    <x v="0"/>
    <n v="265.745743592"/>
  </r>
  <r>
    <x v="0"/>
    <x v="1"/>
    <x v="1"/>
    <x v="15"/>
    <x v="0"/>
    <x v="1"/>
    <n v="0.40297438600000002"/>
  </r>
  <r>
    <x v="0"/>
    <x v="1"/>
    <x v="2"/>
    <x v="15"/>
    <x v="0"/>
    <x v="1"/>
    <n v="219.55600592900001"/>
  </r>
  <r>
    <x v="0"/>
    <x v="1"/>
    <x v="3"/>
    <x v="15"/>
    <x v="0"/>
    <x v="1"/>
    <n v="0.48534944200000002"/>
  </r>
  <r>
    <x v="0"/>
    <x v="1"/>
    <x v="0"/>
    <x v="16"/>
    <x v="0"/>
    <x v="0"/>
    <n v="170.45579814499999"/>
  </r>
  <r>
    <x v="0"/>
    <x v="1"/>
    <x v="1"/>
    <x v="16"/>
    <x v="0"/>
    <x v="1"/>
    <n v="0.40673976699999997"/>
  </r>
  <r>
    <x v="0"/>
    <x v="1"/>
    <x v="2"/>
    <x v="16"/>
    <x v="0"/>
    <x v="1"/>
    <n v="139.29494385199999"/>
  </r>
  <r>
    <x v="0"/>
    <x v="1"/>
    <x v="3"/>
    <x v="16"/>
    <x v="0"/>
    <x v="1"/>
    <n v="0.47525682400000002"/>
  </r>
  <r>
    <x v="0"/>
    <x v="1"/>
    <x v="0"/>
    <x v="17"/>
    <x v="0"/>
    <x v="0"/>
    <n v="385.93968537299997"/>
  </r>
  <r>
    <x v="0"/>
    <x v="1"/>
    <x v="1"/>
    <x v="17"/>
    <x v="0"/>
    <x v="1"/>
    <n v="0.41110766999999998"/>
  </r>
  <r>
    <x v="0"/>
    <x v="1"/>
    <x v="2"/>
    <x v="17"/>
    <x v="0"/>
    <x v="1"/>
    <n v="322.77000614000002"/>
  </r>
  <r>
    <x v="0"/>
    <x v="1"/>
    <x v="3"/>
    <x v="17"/>
    <x v="0"/>
    <x v="1"/>
    <n v="0.46388877499999998"/>
  </r>
  <r>
    <x v="0"/>
    <x v="1"/>
    <x v="0"/>
    <x v="18"/>
    <x v="0"/>
    <x v="0"/>
    <n v="335.48912608400002"/>
  </r>
  <r>
    <x v="0"/>
    <x v="1"/>
    <x v="1"/>
    <x v="18"/>
    <x v="0"/>
    <x v="1"/>
    <n v="0.37917752599999999"/>
  </r>
  <r>
    <x v="0"/>
    <x v="1"/>
    <x v="2"/>
    <x v="18"/>
    <x v="0"/>
    <x v="1"/>
    <n v="287.842883234"/>
  </r>
  <r>
    <x v="0"/>
    <x v="1"/>
    <x v="3"/>
    <x v="18"/>
    <x v="0"/>
    <x v="1"/>
    <n v="0.39290651199999999"/>
  </r>
  <r>
    <x v="0"/>
    <x v="1"/>
    <x v="0"/>
    <x v="19"/>
    <x v="0"/>
    <x v="0"/>
    <n v="415.71787754600001"/>
  </r>
  <r>
    <x v="0"/>
    <x v="1"/>
    <x v="1"/>
    <x v="19"/>
    <x v="0"/>
    <x v="1"/>
    <n v="0.41472359199999997"/>
  </r>
  <r>
    <x v="0"/>
    <x v="1"/>
    <x v="2"/>
    <x v="19"/>
    <x v="0"/>
    <x v="1"/>
    <n v="352.37771633800003"/>
  </r>
  <r>
    <x v="0"/>
    <x v="1"/>
    <x v="3"/>
    <x v="19"/>
    <x v="0"/>
    <x v="1"/>
    <n v="0.52203362600000003"/>
  </r>
  <r>
    <x v="0"/>
    <x v="1"/>
    <x v="0"/>
    <x v="20"/>
    <x v="0"/>
    <x v="0"/>
    <n v="47.804487096999999"/>
  </r>
  <r>
    <x v="0"/>
    <x v="1"/>
    <x v="1"/>
    <x v="20"/>
    <x v="0"/>
    <x v="1"/>
    <n v="0.404627558"/>
  </r>
  <r>
    <x v="0"/>
    <x v="1"/>
    <x v="2"/>
    <x v="20"/>
    <x v="0"/>
    <x v="1"/>
    <n v="38.327138243"/>
  </r>
  <r>
    <x v="0"/>
    <x v="1"/>
    <x v="3"/>
    <x v="20"/>
    <x v="0"/>
    <x v="1"/>
    <n v="0.45326535400000001"/>
  </r>
  <r>
    <x v="0"/>
    <x v="1"/>
    <x v="0"/>
    <x v="21"/>
    <x v="0"/>
    <x v="0"/>
    <n v="19.942452715999998"/>
  </r>
  <r>
    <x v="0"/>
    <x v="1"/>
    <x v="1"/>
    <x v="21"/>
    <x v="0"/>
    <x v="1"/>
    <n v="0.44930615800000001"/>
  </r>
  <r>
    <x v="0"/>
    <x v="1"/>
    <x v="2"/>
    <x v="21"/>
    <x v="0"/>
    <x v="1"/>
    <n v="16.333358087000001"/>
  </r>
  <r>
    <x v="0"/>
    <x v="1"/>
    <x v="3"/>
    <x v="21"/>
    <x v="0"/>
    <x v="1"/>
    <n v="0.50904642"/>
  </r>
  <r>
    <x v="0"/>
    <x v="1"/>
    <x v="0"/>
    <x v="22"/>
    <x v="0"/>
    <x v="0"/>
    <n v="82.428065184000005"/>
  </r>
  <r>
    <x v="0"/>
    <x v="1"/>
    <x v="1"/>
    <x v="22"/>
    <x v="0"/>
    <x v="1"/>
    <n v="0.15961507899999999"/>
  </r>
  <r>
    <x v="0"/>
    <x v="1"/>
    <x v="2"/>
    <x v="22"/>
    <x v="0"/>
    <x v="1"/>
    <n v="19.808879097999998"/>
  </r>
  <r>
    <x v="0"/>
    <x v="1"/>
    <x v="3"/>
    <x v="22"/>
    <x v="0"/>
    <x v="1"/>
    <n v="0.10036447799999999"/>
  </r>
  <r>
    <x v="0"/>
    <x v="1"/>
    <x v="0"/>
    <x v="23"/>
    <x v="0"/>
    <x v="0"/>
    <n v="8.7212107480000007"/>
  </r>
  <r>
    <x v="0"/>
    <x v="1"/>
    <x v="1"/>
    <x v="23"/>
    <x v="0"/>
    <x v="1"/>
    <n v="0.45414494999999999"/>
  </r>
  <r>
    <x v="0"/>
    <x v="1"/>
    <x v="2"/>
    <x v="23"/>
    <x v="0"/>
    <x v="1"/>
    <n v="7.1919804269999998"/>
  </r>
  <r>
    <x v="0"/>
    <x v="1"/>
    <x v="3"/>
    <x v="23"/>
    <x v="0"/>
    <x v="1"/>
    <n v="0.76197620899999996"/>
  </r>
  <r>
    <x v="0"/>
    <x v="1"/>
    <x v="0"/>
    <x v="24"/>
    <x v="0"/>
    <x v="0"/>
    <n v="478.09858909299999"/>
  </r>
  <r>
    <x v="0"/>
    <x v="1"/>
    <x v="1"/>
    <x v="24"/>
    <x v="0"/>
    <x v="1"/>
    <n v="0.36502179400000001"/>
  </r>
  <r>
    <x v="0"/>
    <x v="1"/>
    <x v="2"/>
    <x v="24"/>
    <x v="0"/>
    <x v="1"/>
    <n v="374.96088205299998"/>
  </r>
  <r>
    <x v="0"/>
    <x v="1"/>
    <x v="3"/>
    <x v="24"/>
    <x v="0"/>
    <x v="1"/>
    <n v="0.28433137400000003"/>
  </r>
  <r>
    <x v="0"/>
    <x v="1"/>
    <x v="0"/>
    <x v="25"/>
    <x v="0"/>
    <x v="0"/>
    <n v="32.331160607000001"/>
  </r>
  <r>
    <x v="0"/>
    <x v="1"/>
    <x v="1"/>
    <x v="25"/>
    <x v="0"/>
    <x v="1"/>
    <n v="0.33667059700000002"/>
  </r>
  <r>
    <x v="0"/>
    <x v="1"/>
    <x v="2"/>
    <x v="25"/>
    <x v="0"/>
    <x v="1"/>
    <n v="26.051150438000001"/>
  </r>
  <r>
    <x v="0"/>
    <x v="1"/>
    <x v="3"/>
    <x v="25"/>
    <x v="0"/>
    <x v="1"/>
    <n v="0.26461457999999999"/>
  </r>
  <r>
    <x v="0"/>
    <x v="1"/>
    <x v="0"/>
    <x v="26"/>
    <x v="0"/>
    <x v="0"/>
    <n v="15.561092854"/>
  </r>
  <r>
    <x v="0"/>
    <x v="1"/>
    <x v="1"/>
    <x v="26"/>
    <x v="0"/>
    <x v="1"/>
    <n v="0.44256585199999998"/>
  </r>
  <r>
    <x v="0"/>
    <x v="1"/>
    <x v="2"/>
    <x v="26"/>
    <x v="0"/>
    <x v="1"/>
    <n v="9.2130180569999993"/>
  </r>
  <r>
    <x v="0"/>
    <x v="1"/>
    <x v="3"/>
    <x v="26"/>
    <x v="0"/>
    <x v="1"/>
    <n v="0.49927452900000002"/>
  </r>
  <r>
    <x v="0"/>
    <x v="1"/>
    <x v="0"/>
    <x v="27"/>
    <x v="0"/>
    <x v="0"/>
    <n v="663.43939928899999"/>
  </r>
  <r>
    <x v="0"/>
    <x v="1"/>
    <x v="1"/>
    <x v="27"/>
    <x v="0"/>
    <x v="1"/>
    <n v="0.44920385400000001"/>
  </r>
  <r>
    <x v="0"/>
    <x v="1"/>
    <x v="2"/>
    <x v="27"/>
    <x v="0"/>
    <x v="1"/>
    <n v="511.79411760099998"/>
  </r>
  <r>
    <x v="0"/>
    <x v="1"/>
    <x v="3"/>
    <x v="27"/>
    <x v="0"/>
    <x v="1"/>
    <n v="0.64108039999999999"/>
  </r>
  <r>
    <x v="0"/>
    <x v="1"/>
    <x v="0"/>
    <x v="28"/>
    <x v="0"/>
    <x v="0"/>
    <n v="735.79232545399998"/>
  </r>
  <r>
    <x v="0"/>
    <x v="1"/>
    <x v="1"/>
    <x v="28"/>
    <x v="0"/>
    <x v="1"/>
    <n v="0.38422431200000001"/>
  </r>
  <r>
    <x v="0"/>
    <x v="1"/>
    <x v="2"/>
    <x v="28"/>
    <x v="0"/>
    <x v="1"/>
    <n v="393.94338091899999"/>
  </r>
  <r>
    <x v="0"/>
    <x v="1"/>
    <x v="3"/>
    <x v="28"/>
    <x v="0"/>
    <x v="1"/>
    <n v="0.38388499399999998"/>
  </r>
  <r>
    <x v="0"/>
    <x v="1"/>
    <x v="0"/>
    <x v="29"/>
    <x v="0"/>
    <x v="0"/>
    <n v="570.95923164299995"/>
  </r>
  <r>
    <x v="0"/>
    <x v="1"/>
    <x v="1"/>
    <x v="29"/>
    <x v="0"/>
    <x v="1"/>
    <n v="0.412019148"/>
  </r>
  <r>
    <x v="0"/>
    <x v="1"/>
    <x v="2"/>
    <x v="29"/>
    <x v="0"/>
    <x v="1"/>
    <n v="366.463194386"/>
  </r>
  <r>
    <x v="0"/>
    <x v="1"/>
    <x v="3"/>
    <x v="29"/>
    <x v="0"/>
    <x v="1"/>
    <n v="0.433249259"/>
  </r>
  <r>
    <x v="0"/>
    <x v="1"/>
    <x v="0"/>
    <x v="30"/>
    <x v="0"/>
    <x v="0"/>
    <n v="168.05105790299999"/>
  </r>
  <r>
    <x v="0"/>
    <x v="1"/>
    <x v="1"/>
    <x v="30"/>
    <x v="0"/>
    <x v="1"/>
    <n v="0.59650812499999994"/>
  </r>
  <r>
    <x v="0"/>
    <x v="1"/>
    <x v="2"/>
    <x v="30"/>
    <x v="0"/>
    <x v="1"/>
    <n v="105.55255177700001"/>
  </r>
  <r>
    <x v="0"/>
    <x v="1"/>
    <x v="3"/>
    <x v="30"/>
    <x v="0"/>
    <x v="1"/>
    <n v="0.68148468100000004"/>
  </r>
  <r>
    <x v="0"/>
    <x v="1"/>
    <x v="0"/>
    <x v="31"/>
    <x v="0"/>
    <x v="0"/>
    <n v="242.87289913399999"/>
  </r>
  <r>
    <x v="0"/>
    <x v="1"/>
    <x v="1"/>
    <x v="31"/>
    <x v="0"/>
    <x v="1"/>
    <n v="0.33215538"/>
  </r>
  <r>
    <x v="0"/>
    <x v="1"/>
    <x v="2"/>
    <x v="31"/>
    <x v="0"/>
    <x v="1"/>
    <n v="133.54467528399999"/>
  </r>
  <r>
    <x v="0"/>
    <x v="1"/>
    <x v="3"/>
    <x v="31"/>
    <x v="0"/>
    <x v="1"/>
    <n v="0.26606792800000001"/>
  </r>
  <r>
    <x v="0"/>
    <x v="1"/>
    <x v="0"/>
    <x v="32"/>
    <x v="0"/>
    <x v="0"/>
    <n v="728.92546606099995"/>
  </r>
  <r>
    <x v="0"/>
    <x v="1"/>
    <x v="1"/>
    <x v="32"/>
    <x v="0"/>
    <x v="1"/>
    <n v="0.35489638099999998"/>
  </r>
  <r>
    <x v="0"/>
    <x v="1"/>
    <x v="2"/>
    <x v="32"/>
    <x v="0"/>
    <x v="1"/>
    <n v="342.85546061100001"/>
  </r>
  <r>
    <x v="0"/>
    <x v="1"/>
    <x v="3"/>
    <x v="32"/>
    <x v="0"/>
    <x v="1"/>
    <n v="0.314390116"/>
  </r>
  <r>
    <x v="0"/>
    <x v="1"/>
    <x v="0"/>
    <x v="33"/>
    <x v="0"/>
    <x v="0"/>
    <n v="699.33925723899995"/>
  </r>
  <r>
    <x v="0"/>
    <x v="1"/>
    <x v="1"/>
    <x v="33"/>
    <x v="0"/>
    <x v="1"/>
    <n v="0.248003316"/>
  </r>
  <r>
    <x v="0"/>
    <x v="1"/>
    <x v="2"/>
    <x v="33"/>
    <x v="0"/>
    <x v="1"/>
    <n v="269.44617062899999"/>
  </r>
  <r>
    <x v="0"/>
    <x v="1"/>
    <x v="3"/>
    <x v="33"/>
    <x v="0"/>
    <x v="1"/>
    <n v="0.16705435900000001"/>
  </r>
  <r>
    <x v="0"/>
    <x v="1"/>
    <x v="0"/>
    <x v="34"/>
    <x v="0"/>
    <x v="0"/>
    <n v="354.32351892499997"/>
  </r>
  <r>
    <x v="0"/>
    <x v="1"/>
    <x v="1"/>
    <x v="34"/>
    <x v="0"/>
    <x v="1"/>
    <n v="0.44108080100000002"/>
  </r>
  <r>
    <x v="0"/>
    <x v="1"/>
    <x v="2"/>
    <x v="34"/>
    <x v="0"/>
    <x v="1"/>
    <n v="250.45167211"/>
  </r>
  <r>
    <x v="0"/>
    <x v="1"/>
    <x v="3"/>
    <x v="34"/>
    <x v="0"/>
    <x v="1"/>
    <n v="0.49402641400000002"/>
  </r>
  <r>
    <x v="0"/>
    <x v="1"/>
    <x v="0"/>
    <x v="35"/>
    <x v="0"/>
    <x v="0"/>
    <n v="203.400838878"/>
  </r>
  <r>
    <x v="0"/>
    <x v="1"/>
    <x v="1"/>
    <x v="35"/>
    <x v="0"/>
    <x v="1"/>
    <n v="0.45174953800000001"/>
  </r>
  <r>
    <x v="0"/>
    <x v="1"/>
    <x v="2"/>
    <x v="35"/>
    <x v="0"/>
    <x v="1"/>
    <n v="133.53989496400001"/>
  </r>
  <r>
    <x v="0"/>
    <x v="1"/>
    <x v="3"/>
    <x v="35"/>
    <x v="0"/>
    <x v="1"/>
    <n v="0.51303768199999999"/>
  </r>
  <r>
    <x v="0"/>
    <x v="1"/>
    <x v="0"/>
    <x v="36"/>
    <x v="0"/>
    <x v="0"/>
    <n v="50.842365612999998"/>
  </r>
  <r>
    <x v="0"/>
    <x v="1"/>
    <x v="1"/>
    <x v="36"/>
    <x v="0"/>
    <x v="1"/>
    <n v="0.48661083300000002"/>
  </r>
  <r>
    <x v="0"/>
    <x v="1"/>
    <x v="2"/>
    <x v="36"/>
    <x v="0"/>
    <x v="1"/>
    <n v="30.033782780999999"/>
  </r>
  <r>
    <x v="0"/>
    <x v="1"/>
    <x v="3"/>
    <x v="36"/>
    <x v="0"/>
    <x v="1"/>
    <n v="0.53080590400000005"/>
  </r>
  <r>
    <x v="0"/>
    <x v="1"/>
    <x v="0"/>
    <x v="37"/>
    <x v="0"/>
    <x v="0"/>
    <n v="125.02943139200001"/>
  </r>
  <r>
    <x v="0"/>
    <x v="1"/>
    <x v="1"/>
    <x v="37"/>
    <x v="0"/>
    <x v="1"/>
    <n v="0.541110015"/>
  </r>
  <r>
    <x v="0"/>
    <x v="1"/>
    <x v="2"/>
    <x v="37"/>
    <x v="0"/>
    <x v="1"/>
    <n v="65.710475681000005"/>
  </r>
  <r>
    <x v="0"/>
    <x v="1"/>
    <x v="3"/>
    <x v="37"/>
    <x v="0"/>
    <x v="1"/>
    <n v="0.68821009499999997"/>
  </r>
  <r>
    <x v="0"/>
    <x v="1"/>
    <x v="0"/>
    <x v="38"/>
    <x v="0"/>
    <x v="0"/>
    <n v="157.03860890999999"/>
  </r>
  <r>
    <x v="0"/>
    <x v="1"/>
    <x v="1"/>
    <x v="38"/>
    <x v="0"/>
    <x v="1"/>
    <n v="0.72665524199999998"/>
  </r>
  <r>
    <x v="0"/>
    <x v="1"/>
    <x v="2"/>
    <x v="38"/>
    <x v="0"/>
    <x v="1"/>
    <n v="42.411276798000003"/>
  </r>
  <r>
    <x v="0"/>
    <x v="1"/>
    <x v="3"/>
    <x v="38"/>
    <x v="0"/>
    <x v="1"/>
    <n v="0.83008908100000001"/>
  </r>
  <r>
    <x v="0"/>
    <x v="1"/>
    <x v="0"/>
    <x v="39"/>
    <x v="0"/>
    <x v="0"/>
    <n v="110.970323796"/>
  </r>
  <r>
    <x v="0"/>
    <x v="1"/>
    <x v="1"/>
    <x v="39"/>
    <x v="0"/>
    <x v="1"/>
    <n v="0.57749513900000005"/>
  </r>
  <r>
    <x v="0"/>
    <x v="1"/>
    <x v="2"/>
    <x v="39"/>
    <x v="0"/>
    <x v="1"/>
    <n v="63.512130876999997"/>
  </r>
  <r>
    <x v="0"/>
    <x v="1"/>
    <x v="3"/>
    <x v="39"/>
    <x v="0"/>
    <x v="1"/>
    <n v="0.80400427399999996"/>
  </r>
  <r>
    <x v="0"/>
    <x v="1"/>
    <x v="0"/>
    <x v="40"/>
    <x v="0"/>
    <x v="0"/>
    <n v="58.523423383000001"/>
  </r>
  <r>
    <x v="0"/>
    <x v="1"/>
    <x v="1"/>
    <x v="40"/>
    <x v="0"/>
    <x v="1"/>
    <n v="0.48737902500000002"/>
  </r>
  <r>
    <x v="0"/>
    <x v="1"/>
    <x v="2"/>
    <x v="40"/>
    <x v="0"/>
    <x v="1"/>
    <n v="31.366034041999999"/>
  </r>
  <r>
    <x v="0"/>
    <x v="1"/>
    <x v="3"/>
    <x v="40"/>
    <x v="0"/>
    <x v="1"/>
    <n v="0.52680060799999995"/>
  </r>
  <r>
    <x v="0"/>
    <x v="1"/>
    <x v="0"/>
    <x v="41"/>
    <x v="0"/>
    <x v="0"/>
    <n v="296.58127274499998"/>
  </r>
  <r>
    <x v="0"/>
    <x v="1"/>
    <x v="1"/>
    <x v="41"/>
    <x v="0"/>
    <x v="1"/>
    <n v="0.68389224000000004"/>
  </r>
  <r>
    <x v="0"/>
    <x v="1"/>
    <x v="2"/>
    <x v="41"/>
    <x v="0"/>
    <x v="1"/>
    <n v="119.35043427399999"/>
  </r>
  <r>
    <x v="0"/>
    <x v="1"/>
    <x v="3"/>
    <x v="41"/>
    <x v="0"/>
    <x v="1"/>
    <n v="0.84330074200000005"/>
  </r>
  <r>
    <x v="0"/>
    <x v="1"/>
    <x v="4"/>
    <x v="0"/>
    <x v="1"/>
    <x v="0"/>
    <n v="74.858479243000005"/>
  </r>
  <r>
    <x v="0"/>
    <x v="1"/>
    <x v="5"/>
    <x v="0"/>
    <x v="1"/>
    <x v="1"/>
    <n v="2.4759765E-2"/>
  </r>
  <r>
    <x v="0"/>
    <x v="1"/>
    <x v="6"/>
    <x v="0"/>
    <x v="1"/>
    <x v="1"/>
    <n v="0.55846594699999996"/>
  </r>
  <r>
    <x v="0"/>
    <x v="1"/>
    <x v="4"/>
    <x v="1"/>
    <x v="1"/>
    <x v="0"/>
    <n v="117.421889845"/>
  </r>
  <r>
    <x v="0"/>
    <x v="1"/>
    <x v="5"/>
    <x v="1"/>
    <x v="1"/>
    <x v="1"/>
    <n v="3.6656912999999999E-2"/>
  </r>
  <r>
    <x v="0"/>
    <x v="1"/>
    <x v="6"/>
    <x v="1"/>
    <x v="1"/>
    <x v="1"/>
    <n v="0.55846594699999996"/>
  </r>
  <r>
    <x v="0"/>
    <x v="1"/>
    <x v="4"/>
    <x v="2"/>
    <x v="1"/>
    <x v="0"/>
    <n v="181.616315095"/>
  </r>
  <r>
    <x v="0"/>
    <x v="1"/>
    <x v="5"/>
    <x v="2"/>
    <x v="1"/>
    <x v="1"/>
    <n v="8.9780103999999999E-2"/>
  </r>
  <r>
    <x v="0"/>
    <x v="1"/>
    <x v="6"/>
    <x v="2"/>
    <x v="1"/>
    <x v="1"/>
    <n v="0.55846594699999996"/>
  </r>
  <r>
    <x v="0"/>
    <x v="1"/>
    <x v="4"/>
    <x v="3"/>
    <x v="1"/>
    <x v="0"/>
    <n v="71.830822734999998"/>
  </r>
  <r>
    <x v="0"/>
    <x v="1"/>
    <x v="5"/>
    <x v="3"/>
    <x v="1"/>
    <x v="1"/>
    <n v="3.7666041999999997E-2"/>
  </r>
  <r>
    <x v="0"/>
    <x v="1"/>
    <x v="6"/>
    <x v="3"/>
    <x v="1"/>
    <x v="1"/>
    <n v="0.55846594699999996"/>
  </r>
  <r>
    <x v="0"/>
    <x v="1"/>
    <x v="4"/>
    <x v="4"/>
    <x v="1"/>
    <x v="0"/>
    <n v="30.734703836000001"/>
  </r>
  <r>
    <x v="0"/>
    <x v="1"/>
    <x v="5"/>
    <x v="4"/>
    <x v="1"/>
    <x v="1"/>
    <n v="3.168634E-2"/>
  </r>
  <r>
    <x v="0"/>
    <x v="1"/>
    <x v="6"/>
    <x v="4"/>
    <x v="1"/>
    <x v="1"/>
    <n v="0.55846594699999996"/>
  </r>
  <r>
    <x v="0"/>
    <x v="1"/>
    <x v="4"/>
    <x v="5"/>
    <x v="1"/>
    <x v="0"/>
    <n v="217.29838504700001"/>
  </r>
  <r>
    <x v="0"/>
    <x v="1"/>
    <x v="5"/>
    <x v="5"/>
    <x v="1"/>
    <x v="1"/>
    <n v="1.2511276999999999E-2"/>
  </r>
  <r>
    <x v="0"/>
    <x v="1"/>
    <x v="6"/>
    <x v="5"/>
    <x v="1"/>
    <x v="1"/>
    <n v="0.55846594699999996"/>
  </r>
  <r>
    <x v="0"/>
    <x v="1"/>
    <x v="4"/>
    <x v="6"/>
    <x v="1"/>
    <x v="0"/>
    <n v="65.809983927000005"/>
  </r>
  <r>
    <x v="0"/>
    <x v="1"/>
    <x v="5"/>
    <x v="6"/>
    <x v="1"/>
    <x v="1"/>
    <n v="9.4095840000000004E-3"/>
  </r>
  <r>
    <x v="0"/>
    <x v="1"/>
    <x v="6"/>
    <x v="6"/>
    <x v="1"/>
    <x v="1"/>
    <n v="0.55846594699999996"/>
  </r>
  <r>
    <x v="0"/>
    <x v="1"/>
    <x v="4"/>
    <x v="7"/>
    <x v="1"/>
    <x v="0"/>
    <n v="47.867315421000001"/>
  </r>
  <r>
    <x v="0"/>
    <x v="1"/>
    <x v="5"/>
    <x v="7"/>
    <x v="1"/>
    <x v="1"/>
    <n v="7.5265139999999998E-3"/>
  </r>
  <r>
    <x v="0"/>
    <x v="1"/>
    <x v="6"/>
    <x v="7"/>
    <x v="1"/>
    <x v="1"/>
    <n v="0.55846594699999996"/>
  </r>
  <r>
    <x v="0"/>
    <x v="1"/>
    <x v="4"/>
    <x v="8"/>
    <x v="1"/>
    <x v="0"/>
    <n v="39.514678744000001"/>
  </r>
  <r>
    <x v="0"/>
    <x v="1"/>
    <x v="5"/>
    <x v="8"/>
    <x v="1"/>
    <x v="1"/>
    <n v="9.4719680000000007E-3"/>
  </r>
  <r>
    <x v="0"/>
    <x v="1"/>
    <x v="6"/>
    <x v="8"/>
    <x v="1"/>
    <x v="1"/>
    <n v="0.55846594699999996"/>
  </r>
  <r>
    <x v="0"/>
    <x v="1"/>
    <x v="4"/>
    <x v="9"/>
    <x v="1"/>
    <x v="0"/>
    <n v="78.200292699000002"/>
  </r>
  <r>
    <x v="0"/>
    <x v="1"/>
    <x v="5"/>
    <x v="9"/>
    <x v="1"/>
    <x v="1"/>
    <n v="1.9462811E-2"/>
  </r>
  <r>
    <x v="0"/>
    <x v="1"/>
    <x v="6"/>
    <x v="9"/>
    <x v="1"/>
    <x v="1"/>
    <n v="0.55846594699999996"/>
  </r>
  <r>
    <x v="0"/>
    <x v="1"/>
    <x v="4"/>
    <x v="10"/>
    <x v="1"/>
    <x v="0"/>
    <n v="59.379850169999997"/>
  </r>
  <r>
    <x v="0"/>
    <x v="1"/>
    <x v="5"/>
    <x v="10"/>
    <x v="1"/>
    <x v="1"/>
    <n v="2.1273983E-2"/>
  </r>
  <r>
    <x v="0"/>
    <x v="1"/>
    <x v="6"/>
    <x v="10"/>
    <x v="1"/>
    <x v="1"/>
    <n v="0.55846594699999996"/>
  </r>
  <r>
    <x v="0"/>
    <x v="1"/>
    <x v="4"/>
    <x v="11"/>
    <x v="1"/>
    <x v="0"/>
    <n v="330.11449737499998"/>
  </r>
  <r>
    <x v="0"/>
    <x v="1"/>
    <x v="5"/>
    <x v="11"/>
    <x v="1"/>
    <x v="1"/>
    <n v="1.6002537000000001E-2"/>
  </r>
  <r>
    <x v="0"/>
    <x v="1"/>
    <x v="6"/>
    <x v="11"/>
    <x v="1"/>
    <x v="1"/>
    <n v="0.55846594699999996"/>
  </r>
  <r>
    <x v="0"/>
    <x v="1"/>
    <x v="4"/>
    <x v="12"/>
    <x v="1"/>
    <x v="0"/>
    <n v="118.857605378"/>
  </r>
  <r>
    <x v="0"/>
    <x v="1"/>
    <x v="5"/>
    <x v="12"/>
    <x v="1"/>
    <x v="1"/>
    <n v="1.0870718E-2"/>
  </r>
  <r>
    <x v="0"/>
    <x v="1"/>
    <x v="6"/>
    <x v="12"/>
    <x v="1"/>
    <x v="1"/>
    <n v="0.55846594699999996"/>
  </r>
  <r>
    <x v="0"/>
    <x v="1"/>
    <x v="4"/>
    <x v="13"/>
    <x v="1"/>
    <x v="0"/>
    <n v="283.97266851299997"/>
  </r>
  <r>
    <x v="0"/>
    <x v="1"/>
    <x v="5"/>
    <x v="13"/>
    <x v="1"/>
    <x v="1"/>
    <n v="1.2668861999999999E-2"/>
  </r>
  <r>
    <x v="0"/>
    <x v="1"/>
    <x v="6"/>
    <x v="13"/>
    <x v="1"/>
    <x v="1"/>
    <n v="0.55846594699999996"/>
  </r>
  <r>
    <x v="0"/>
    <x v="1"/>
    <x v="4"/>
    <x v="14"/>
    <x v="1"/>
    <x v="0"/>
    <n v="68.501984953000004"/>
  </r>
  <r>
    <x v="0"/>
    <x v="1"/>
    <x v="5"/>
    <x v="14"/>
    <x v="1"/>
    <x v="1"/>
    <n v="1.2924595000000001E-2"/>
  </r>
  <r>
    <x v="0"/>
    <x v="1"/>
    <x v="6"/>
    <x v="14"/>
    <x v="1"/>
    <x v="1"/>
    <n v="0.55846594699999996"/>
  </r>
  <r>
    <x v="0"/>
    <x v="1"/>
    <x v="4"/>
    <x v="15"/>
    <x v="1"/>
    <x v="0"/>
    <n v="82.553084851999998"/>
  </r>
  <r>
    <x v="0"/>
    <x v="1"/>
    <x v="5"/>
    <x v="15"/>
    <x v="1"/>
    <x v="1"/>
    <n v="1.0728306999999999E-2"/>
  </r>
  <r>
    <x v="0"/>
    <x v="1"/>
    <x v="6"/>
    <x v="15"/>
    <x v="1"/>
    <x v="1"/>
    <n v="0.55846594699999996"/>
  </r>
  <r>
    <x v="0"/>
    <x v="1"/>
    <x v="4"/>
    <x v="16"/>
    <x v="1"/>
    <x v="0"/>
    <n v="59.9349822"/>
  </r>
  <r>
    <x v="0"/>
    <x v="1"/>
    <x v="5"/>
    <x v="16"/>
    <x v="1"/>
    <x v="1"/>
    <n v="8.2256529999999994E-3"/>
  </r>
  <r>
    <x v="0"/>
    <x v="1"/>
    <x v="6"/>
    <x v="16"/>
    <x v="1"/>
    <x v="1"/>
    <n v="0.55846594699999996"/>
  </r>
  <r>
    <x v="0"/>
    <x v="1"/>
    <x v="4"/>
    <x v="17"/>
    <x v="1"/>
    <x v="0"/>
    <n v="119.80042803400001"/>
  </r>
  <r>
    <x v="0"/>
    <x v="1"/>
    <x v="5"/>
    <x v="17"/>
    <x v="1"/>
    <x v="1"/>
    <n v="9.556452E-3"/>
  </r>
  <r>
    <x v="0"/>
    <x v="1"/>
    <x v="6"/>
    <x v="17"/>
    <x v="1"/>
    <x v="1"/>
    <n v="0.55846594699999996"/>
  </r>
  <r>
    <x v="0"/>
    <x v="1"/>
    <x v="4"/>
    <x v="18"/>
    <x v="1"/>
    <x v="0"/>
    <n v="97.055485431999998"/>
  </r>
  <r>
    <x v="0"/>
    <x v="1"/>
    <x v="5"/>
    <x v="18"/>
    <x v="1"/>
    <x v="1"/>
    <n v="1.0999448E-2"/>
  </r>
  <r>
    <x v="0"/>
    <x v="1"/>
    <x v="6"/>
    <x v="18"/>
    <x v="1"/>
    <x v="1"/>
    <n v="0.55846594699999996"/>
  </r>
  <r>
    <x v="0"/>
    <x v="1"/>
    <x v="4"/>
    <x v="19"/>
    <x v="1"/>
    <x v="0"/>
    <n v="104.694254446"/>
  </r>
  <r>
    <x v="0"/>
    <x v="1"/>
    <x v="5"/>
    <x v="19"/>
    <x v="1"/>
    <x v="1"/>
    <n v="1.1451251000000001E-2"/>
  </r>
  <r>
    <x v="0"/>
    <x v="1"/>
    <x v="6"/>
    <x v="19"/>
    <x v="1"/>
    <x v="1"/>
    <n v="0.55846594699999996"/>
  </r>
  <r>
    <x v="0"/>
    <x v="1"/>
    <x v="4"/>
    <x v="20"/>
    <x v="1"/>
    <x v="0"/>
    <n v="15.931886173000001"/>
  </r>
  <r>
    <x v="0"/>
    <x v="1"/>
    <x v="5"/>
    <x v="20"/>
    <x v="1"/>
    <x v="1"/>
    <n v="1.8875237999999999E-2"/>
  </r>
  <r>
    <x v="0"/>
    <x v="1"/>
    <x v="6"/>
    <x v="20"/>
    <x v="1"/>
    <x v="1"/>
    <n v="0.55846594699999996"/>
  </r>
  <r>
    <x v="0"/>
    <x v="1"/>
    <x v="4"/>
    <x v="21"/>
    <x v="1"/>
    <x v="0"/>
    <n v="5.665284293"/>
  </r>
  <r>
    <x v="0"/>
    <x v="1"/>
    <x v="5"/>
    <x v="21"/>
    <x v="1"/>
    <x v="1"/>
    <n v="1.6665284999999998E-2"/>
  </r>
  <r>
    <x v="0"/>
    <x v="1"/>
    <x v="6"/>
    <x v="21"/>
    <x v="1"/>
    <x v="1"/>
    <n v="0.55846594699999996"/>
  </r>
  <r>
    <x v="0"/>
    <x v="1"/>
    <x v="4"/>
    <x v="22"/>
    <x v="1"/>
    <x v="0"/>
    <n v="116.957101284"/>
  </r>
  <r>
    <x v="0"/>
    <x v="1"/>
    <x v="5"/>
    <x v="22"/>
    <x v="1"/>
    <x v="1"/>
    <n v="4.0049168000000003E-2"/>
  </r>
  <r>
    <x v="0"/>
    <x v="1"/>
    <x v="6"/>
    <x v="22"/>
    <x v="1"/>
    <x v="1"/>
    <n v="0.55846594699999996"/>
  </r>
  <r>
    <x v="0"/>
    <x v="1"/>
    <x v="4"/>
    <x v="23"/>
    <x v="1"/>
    <x v="0"/>
    <n v="1.1212347030000001"/>
  </r>
  <r>
    <x v="0"/>
    <x v="1"/>
    <x v="5"/>
    <x v="23"/>
    <x v="1"/>
    <x v="1"/>
    <n v="2.5994749000000001E-2"/>
  </r>
  <r>
    <x v="0"/>
    <x v="1"/>
    <x v="6"/>
    <x v="23"/>
    <x v="1"/>
    <x v="1"/>
    <n v="0.55846594699999996"/>
  </r>
  <r>
    <x v="0"/>
    <x v="1"/>
    <x v="4"/>
    <x v="24"/>
    <x v="1"/>
    <x v="0"/>
    <n v="211.315059375"/>
  </r>
  <r>
    <x v="0"/>
    <x v="1"/>
    <x v="5"/>
    <x v="24"/>
    <x v="1"/>
    <x v="1"/>
    <n v="1.8999598999999999E-2"/>
  </r>
  <r>
    <x v="0"/>
    <x v="1"/>
    <x v="6"/>
    <x v="24"/>
    <x v="1"/>
    <x v="1"/>
    <n v="0.55846594699999996"/>
  </r>
  <r>
    <x v="0"/>
    <x v="1"/>
    <x v="4"/>
    <x v="25"/>
    <x v="1"/>
    <x v="0"/>
    <n v="12.912207214"/>
  </r>
  <r>
    <x v="0"/>
    <x v="1"/>
    <x v="5"/>
    <x v="25"/>
    <x v="1"/>
    <x v="1"/>
    <n v="2.0243654999999999E-2"/>
  </r>
  <r>
    <x v="0"/>
    <x v="1"/>
    <x v="6"/>
    <x v="25"/>
    <x v="1"/>
    <x v="1"/>
    <n v="0.55846594699999996"/>
  </r>
  <r>
    <x v="0"/>
    <x v="1"/>
    <x v="4"/>
    <x v="26"/>
    <x v="1"/>
    <x v="0"/>
    <n v="9.6766741409999995"/>
  </r>
  <r>
    <x v="0"/>
    <x v="1"/>
    <x v="5"/>
    <x v="26"/>
    <x v="1"/>
    <x v="1"/>
    <n v="2.1388164000000001E-2"/>
  </r>
  <r>
    <x v="0"/>
    <x v="1"/>
    <x v="6"/>
    <x v="26"/>
    <x v="1"/>
    <x v="1"/>
    <n v="0.55846594699999996"/>
  </r>
  <r>
    <x v="0"/>
    <x v="1"/>
    <x v="4"/>
    <x v="27"/>
    <x v="1"/>
    <x v="0"/>
    <n v="212.13729882800001"/>
  </r>
  <r>
    <x v="0"/>
    <x v="1"/>
    <x v="5"/>
    <x v="27"/>
    <x v="1"/>
    <x v="1"/>
    <n v="7.3252630000000003E-3"/>
  </r>
  <r>
    <x v="0"/>
    <x v="1"/>
    <x v="6"/>
    <x v="27"/>
    <x v="1"/>
    <x v="1"/>
    <n v="0.55846594699999996"/>
  </r>
  <r>
    <x v="0"/>
    <x v="1"/>
    <x v="4"/>
    <x v="28"/>
    <x v="1"/>
    <x v="0"/>
    <n v="609.01453597199998"/>
  </r>
  <r>
    <x v="0"/>
    <x v="1"/>
    <x v="5"/>
    <x v="28"/>
    <x v="1"/>
    <x v="1"/>
    <n v="2.3234864000000001E-2"/>
  </r>
  <r>
    <x v="0"/>
    <x v="1"/>
    <x v="6"/>
    <x v="28"/>
    <x v="1"/>
    <x v="1"/>
    <n v="0.55846594699999996"/>
  </r>
  <r>
    <x v="0"/>
    <x v="1"/>
    <x v="4"/>
    <x v="29"/>
    <x v="1"/>
    <x v="0"/>
    <n v="349.11564129099997"/>
  </r>
  <r>
    <x v="0"/>
    <x v="1"/>
    <x v="5"/>
    <x v="29"/>
    <x v="1"/>
    <x v="1"/>
    <n v="2.0387280000000001E-2"/>
  </r>
  <r>
    <x v="0"/>
    <x v="1"/>
    <x v="6"/>
    <x v="29"/>
    <x v="1"/>
    <x v="1"/>
    <n v="0.55846594699999996"/>
  </r>
  <r>
    <x v="0"/>
    <x v="1"/>
    <x v="4"/>
    <x v="30"/>
    <x v="1"/>
    <x v="0"/>
    <n v="66.523019328999993"/>
  </r>
  <r>
    <x v="0"/>
    <x v="1"/>
    <x v="5"/>
    <x v="30"/>
    <x v="1"/>
    <x v="1"/>
    <n v="1.5777189E-2"/>
  </r>
  <r>
    <x v="0"/>
    <x v="1"/>
    <x v="6"/>
    <x v="30"/>
    <x v="1"/>
    <x v="1"/>
    <n v="0.55846594699999996"/>
  </r>
  <r>
    <x v="0"/>
    <x v="1"/>
    <x v="4"/>
    <x v="31"/>
    <x v="1"/>
    <x v="0"/>
    <n v="229.61095994199999"/>
  </r>
  <r>
    <x v="0"/>
    <x v="1"/>
    <x v="5"/>
    <x v="31"/>
    <x v="1"/>
    <x v="1"/>
    <n v="1.7984091000000001E-2"/>
  </r>
  <r>
    <x v="0"/>
    <x v="1"/>
    <x v="6"/>
    <x v="31"/>
    <x v="1"/>
    <x v="1"/>
    <n v="0.55846594699999996"/>
  </r>
  <r>
    <x v="0"/>
    <x v="1"/>
    <x v="4"/>
    <x v="32"/>
    <x v="1"/>
    <x v="0"/>
    <n v="710.85272960099996"/>
  </r>
  <r>
    <x v="0"/>
    <x v="1"/>
    <x v="5"/>
    <x v="32"/>
    <x v="1"/>
    <x v="1"/>
    <n v="3.0053643000000001E-2"/>
  </r>
  <r>
    <x v="0"/>
    <x v="1"/>
    <x v="6"/>
    <x v="32"/>
    <x v="1"/>
    <x v="1"/>
    <n v="0.55846594699999996"/>
  </r>
  <r>
    <x v="0"/>
    <x v="1"/>
    <x v="4"/>
    <x v="33"/>
    <x v="1"/>
    <x v="0"/>
    <n v="828.57406061200004"/>
  </r>
  <r>
    <x v="0"/>
    <x v="1"/>
    <x v="5"/>
    <x v="33"/>
    <x v="1"/>
    <x v="1"/>
    <n v="3.8562424999999997E-2"/>
  </r>
  <r>
    <x v="0"/>
    <x v="1"/>
    <x v="6"/>
    <x v="33"/>
    <x v="1"/>
    <x v="1"/>
    <n v="0.55846594699999996"/>
  </r>
  <r>
    <x v="0"/>
    <x v="1"/>
    <x v="4"/>
    <x v="34"/>
    <x v="1"/>
    <x v="0"/>
    <n v="154.057382351"/>
  </r>
  <r>
    <x v="0"/>
    <x v="1"/>
    <x v="5"/>
    <x v="34"/>
    <x v="1"/>
    <x v="1"/>
    <n v="2.6390904E-2"/>
  </r>
  <r>
    <x v="0"/>
    <x v="1"/>
    <x v="6"/>
    <x v="34"/>
    <x v="1"/>
    <x v="1"/>
    <n v="0.55846594699999996"/>
  </r>
  <r>
    <x v="0"/>
    <x v="1"/>
    <x v="4"/>
    <x v="35"/>
    <x v="1"/>
    <x v="0"/>
    <n v="107.773260048"/>
  </r>
  <r>
    <x v="0"/>
    <x v="1"/>
    <x v="5"/>
    <x v="35"/>
    <x v="1"/>
    <x v="1"/>
    <n v="1.7579396000000001E-2"/>
  </r>
  <r>
    <x v="0"/>
    <x v="1"/>
    <x v="6"/>
    <x v="35"/>
    <x v="1"/>
    <x v="1"/>
    <n v="0.55846594699999996"/>
  </r>
  <r>
    <x v="0"/>
    <x v="1"/>
    <x v="4"/>
    <x v="36"/>
    <x v="1"/>
    <x v="0"/>
    <n v="30.859483844"/>
  </r>
  <r>
    <x v="0"/>
    <x v="1"/>
    <x v="5"/>
    <x v="36"/>
    <x v="1"/>
    <x v="1"/>
    <n v="1.8204070999999999E-2"/>
  </r>
  <r>
    <x v="0"/>
    <x v="1"/>
    <x v="6"/>
    <x v="36"/>
    <x v="1"/>
    <x v="1"/>
    <n v="0.55846594699999996"/>
  </r>
  <r>
    <x v="0"/>
    <x v="1"/>
    <x v="4"/>
    <x v="37"/>
    <x v="1"/>
    <x v="0"/>
    <n v="59.734621803000003"/>
  </r>
  <r>
    <x v="0"/>
    <x v="1"/>
    <x v="5"/>
    <x v="37"/>
    <x v="1"/>
    <x v="1"/>
    <n v="1.8965481999999999E-2"/>
  </r>
  <r>
    <x v="0"/>
    <x v="1"/>
    <x v="6"/>
    <x v="37"/>
    <x v="1"/>
    <x v="1"/>
    <n v="0.55846594699999996"/>
  </r>
  <r>
    <x v="0"/>
    <x v="1"/>
    <x v="4"/>
    <x v="38"/>
    <x v="1"/>
    <x v="0"/>
    <n v="65.135721842999999"/>
  </r>
  <r>
    <x v="0"/>
    <x v="1"/>
    <x v="5"/>
    <x v="38"/>
    <x v="1"/>
    <x v="1"/>
    <n v="1.6749591000000001E-2"/>
  </r>
  <r>
    <x v="0"/>
    <x v="1"/>
    <x v="6"/>
    <x v="38"/>
    <x v="1"/>
    <x v="1"/>
    <n v="0.55846594699999996"/>
  </r>
  <r>
    <x v="0"/>
    <x v="1"/>
    <x v="4"/>
    <x v="39"/>
    <x v="1"/>
    <x v="0"/>
    <n v="34.661550583999997"/>
  </r>
  <r>
    <x v="0"/>
    <x v="1"/>
    <x v="5"/>
    <x v="39"/>
    <x v="1"/>
    <x v="1"/>
    <n v="9.7947899999999994E-3"/>
  </r>
  <r>
    <x v="0"/>
    <x v="1"/>
    <x v="6"/>
    <x v="39"/>
    <x v="1"/>
    <x v="1"/>
    <n v="0.55846594699999996"/>
  </r>
  <r>
    <x v="0"/>
    <x v="1"/>
    <x v="4"/>
    <x v="40"/>
    <x v="1"/>
    <x v="0"/>
    <n v="40.428557681999997"/>
  </r>
  <r>
    <x v="0"/>
    <x v="1"/>
    <x v="5"/>
    <x v="40"/>
    <x v="1"/>
    <x v="1"/>
    <n v="1.8569756E-2"/>
  </r>
  <r>
    <x v="0"/>
    <x v="1"/>
    <x v="6"/>
    <x v="40"/>
    <x v="1"/>
    <x v="1"/>
    <n v="0.55846594699999996"/>
  </r>
  <r>
    <x v="0"/>
    <x v="1"/>
    <x v="4"/>
    <x v="41"/>
    <x v="1"/>
    <x v="0"/>
    <n v="86.484308290000001"/>
  </r>
  <r>
    <x v="0"/>
    <x v="1"/>
    <x v="5"/>
    <x v="41"/>
    <x v="1"/>
    <x v="1"/>
    <n v="2.4801949E-2"/>
  </r>
  <r>
    <x v="0"/>
    <x v="1"/>
    <x v="6"/>
    <x v="41"/>
    <x v="1"/>
    <x v="1"/>
    <n v="0.55846594699999996"/>
  </r>
  <r>
    <x v="0"/>
    <x v="1"/>
    <x v="7"/>
    <x v="0"/>
    <x v="2"/>
    <x v="2"/>
    <n v="401.85493496499998"/>
  </r>
  <r>
    <x v="0"/>
    <x v="1"/>
    <x v="7"/>
    <x v="1"/>
    <x v="2"/>
    <x v="2"/>
    <n v="53.086995633999997"/>
  </r>
  <r>
    <x v="0"/>
    <x v="1"/>
    <x v="7"/>
    <x v="2"/>
    <x v="2"/>
    <x v="2"/>
    <n v="23.284344467"/>
  </r>
  <r>
    <x v="0"/>
    <x v="1"/>
    <x v="7"/>
    <x v="3"/>
    <x v="2"/>
    <x v="2"/>
    <n v="19.768823608000002"/>
  </r>
  <r>
    <x v="0"/>
    <x v="1"/>
    <x v="7"/>
    <x v="4"/>
    <x v="2"/>
    <x v="2"/>
    <n v="10.547537081"/>
  </r>
  <r>
    <x v="0"/>
    <x v="1"/>
    <x v="7"/>
    <x v="5"/>
    <x v="2"/>
    <x v="2"/>
    <n v="33.433940950999997"/>
  </r>
  <r>
    <x v="0"/>
    <x v="1"/>
    <x v="7"/>
    <x v="6"/>
    <x v="2"/>
    <x v="2"/>
    <n v="14.734688726"/>
  </r>
  <r>
    <x v="0"/>
    <x v="1"/>
    <x v="7"/>
    <x v="7"/>
    <x v="2"/>
    <x v="2"/>
    <n v="13.703153405"/>
  </r>
  <r>
    <x v="0"/>
    <x v="1"/>
    <x v="7"/>
    <x v="8"/>
    <x v="2"/>
    <x v="2"/>
    <n v="8.2669991980000006"/>
  </r>
  <r>
    <x v="0"/>
    <x v="1"/>
    <x v="7"/>
    <x v="9"/>
    <x v="2"/>
    <x v="2"/>
    <n v="22.004272796999999"/>
  </r>
  <r>
    <x v="0"/>
    <x v="1"/>
    <x v="7"/>
    <x v="10"/>
    <x v="2"/>
    <x v="2"/>
    <n v="10.357333884000001"/>
  </r>
  <r>
    <x v="0"/>
    <x v="1"/>
    <x v="7"/>
    <x v="11"/>
    <x v="2"/>
    <x v="2"/>
    <n v="47.599221983"/>
  </r>
  <r>
    <x v="0"/>
    <x v="1"/>
    <x v="7"/>
    <x v="12"/>
    <x v="2"/>
    <x v="2"/>
    <n v="22.556462601"/>
  </r>
  <r>
    <x v="0"/>
    <x v="1"/>
    <x v="7"/>
    <x v="13"/>
    <x v="2"/>
    <x v="2"/>
    <n v="32.468715504000002"/>
  </r>
  <r>
    <x v="0"/>
    <x v="1"/>
    <x v="7"/>
    <x v="14"/>
    <x v="2"/>
    <x v="2"/>
    <n v="14.945420457999999"/>
  </r>
  <r>
    <x v="0"/>
    <x v="1"/>
    <x v="7"/>
    <x v="15"/>
    <x v="2"/>
    <x v="2"/>
    <n v="19.804646479999999"/>
  </r>
  <r>
    <x v="0"/>
    <x v="1"/>
    <x v="7"/>
    <x v="16"/>
    <x v="2"/>
    <x v="2"/>
    <n v="13.178012949999999"/>
  </r>
  <r>
    <x v="0"/>
    <x v="1"/>
    <x v="7"/>
    <x v="17"/>
    <x v="2"/>
    <x v="2"/>
    <n v="25.937669981999999"/>
  </r>
  <r>
    <x v="0"/>
    <x v="1"/>
    <x v="7"/>
    <x v="18"/>
    <x v="2"/>
    <x v="2"/>
    <n v="16.340649407000001"/>
  </r>
  <r>
    <x v="0"/>
    <x v="1"/>
    <x v="7"/>
    <x v="19"/>
    <x v="2"/>
    <x v="2"/>
    <n v="29.240162097999999"/>
  </r>
  <r>
    <x v="0"/>
    <x v="1"/>
    <x v="7"/>
    <x v="20"/>
    <x v="2"/>
    <x v="2"/>
    <n v="3.6807577149999999"/>
  </r>
  <r>
    <x v="0"/>
    <x v="1"/>
    <x v="7"/>
    <x v="21"/>
    <x v="2"/>
    <x v="2"/>
    <n v="1.6001088429999999"/>
  </r>
  <r>
    <x v="0"/>
    <x v="1"/>
    <x v="7"/>
    <x v="22"/>
    <x v="2"/>
    <x v="2"/>
    <n v="1.5185082009999999"/>
  </r>
  <r>
    <x v="0"/>
    <x v="1"/>
    <x v="7"/>
    <x v="23"/>
    <x v="2"/>
    <x v="2"/>
    <n v="1.0282293469999999"/>
  </r>
  <r>
    <x v="0"/>
    <x v="1"/>
    <x v="7"/>
    <x v="24"/>
    <x v="2"/>
    <x v="2"/>
    <n v="23.616873440999999"/>
  </r>
  <r>
    <x v="0"/>
    <x v="1"/>
    <x v="7"/>
    <x v="25"/>
    <x v="2"/>
    <x v="2"/>
    <n v="1.3088094100000001"/>
  </r>
  <r>
    <x v="0"/>
    <x v="1"/>
    <x v="7"/>
    <x v="26"/>
    <x v="2"/>
    <x v="2"/>
    <n v="2.721100361"/>
  </r>
  <r>
    <x v="0"/>
    <x v="1"/>
    <x v="7"/>
    <x v="27"/>
    <x v="2"/>
    <x v="2"/>
    <n v="87.168298320999995"/>
  </r>
  <r>
    <x v="0"/>
    <x v="1"/>
    <x v="7"/>
    <x v="28"/>
    <x v="2"/>
    <x v="2"/>
    <n v="108.356508737"/>
  </r>
  <r>
    <x v="0"/>
    <x v="1"/>
    <x v="7"/>
    <x v="29"/>
    <x v="2"/>
    <x v="2"/>
    <n v="75.164686371000002"/>
  </r>
  <r>
    <x v="0"/>
    <x v="1"/>
    <x v="7"/>
    <x v="30"/>
    <x v="2"/>
    <x v="2"/>
    <n v="37.762794536000001"/>
  </r>
  <r>
    <x v="0"/>
    <x v="1"/>
    <x v="7"/>
    <x v="31"/>
    <x v="2"/>
    <x v="2"/>
    <n v="23.330231747999999"/>
  </r>
  <r>
    <x v="0"/>
    <x v="1"/>
    <x v="7"/>
    <x v="32"/>
    <x v="2"/>
    <x v="2"/>
    <n v="92.992042905999995"/>
  </r>
  <r>
    <x v="0"/>
    <x v="1"/>
    <x v="7"/>
    <x v="33"/>
    <x v="2"/>
    <x v="2"/>
    <n v="37.521324194999998"/>
  </r>
  <r>
    <x v="0"/>
    <x v="1"/>
    <x v="7"/>
    <x v="34"/>
    <x v="2"/>
    <x v="2"/>
    <n v="43.405800409000001"/>
  </r>
  <r>
    <x v="0"/>
    <x v="1"/>
    <x v="7"/>
    <x v="35"/>
    <x v="2"/>
    <x v="2"/>
    <n v="31.158824640999999"/>
  </r>
  <r>
    <x v="0"/>
    <x v="1"/>
    <x v="7"/>
    <x v="36"/>
    <x v="2"/>
    <x v="2"/>
    <n v="9.6118918640000004"/>
  </r>
  <r>
    <x v="0"/>
    <x v="1"/>
    <x v="7"/>
    <x v="37"/>
    <x v="2"/>
    <x v="2"/>
    <n v="36.065266227000002"/>
  </r>
  <r>
    <x v="0"/>
    <x v="1"/>
    <x v="7"/>
    <x v="38"/>
    <x v="2"/>
    <x v="2"/>
    <n v="84.836482079999996"/>
  </r>
  <r>
    <x v="0"/>
    <x v="1"/>
    <x v="7"/>
    <x v="39"/>
    <x v="2"/>
    <x v="2"/>
    <n v="34.155613060999997"/>
  </r>
  <r>
    <x v="0"/>
    <x v="1"/>
    <x v="7"/>
    <x v="40"/>
    <x v="2"/>
    <x v="2"/>
    <n v="12.431553587"/>
  </r>
  <r>
    <x v="0"/>
    <x v="1"/>
    <x v="7"/>
    <x v="41"/>
    <x v="2"/>
    <x v="2"/>
    <n v="132.77597210100001"/>
  </r>
  <r>
    <x v="0"/>
    <x v="1"/>
    <x v="8"/>
    <x v="0"/>
    <x v="2"/>
    <x v="3"/>
    <n v="0.56530700700000003"/>
  </r>
  <r>
    <x v="0"/>
    <x v="1"/>
    <x v="8"/>
    <x v="1"/>
    <x v="2"/>
    <x v="3"/>
    <n v="0.56530700700000003"/>
  </r>
  <r>
    <x v="0"/>
    <x v="1"/>
    <x v="8"/>
    <x v="2"/>
    <x v="2"/>
    <x v="3"/>
    <n v="0.56530700700000003"/>
  </r>
  <r>
    <x v="0"/>
    <x v="1"/>
    <x v="8"/>
    <x v="3"/>
    <x v="2"/>
    <x v="3"/>
    <n v="0.56530700700000003"/>
  </r>
  <r>
    <x v="0"/>
    <x v="1"/>
    <x v="8"/>
    <x v="4"/>
    <x v="2"/>
    <x v="3"/>
    <n v="0.56530700700000003"/>
  </r>
  <r>
    <x v="0"/>
    <x v="1"/>
    <x v="8"/>
    <x v="5"/>
    <x v="2"/>
    <x v="3"/>
    <n v="0.56530700700000003"/>
  </r>
  <r>
    <x v="0"/>
    <x v="1"/>
    <x v="8"/>
    <x v="6"/>
    <x v="2"/>
    <x v="3"/>
    <n v="0.56530700700000003"/>
  </r>
  <r>
    <x v="0"/>
    <x v="1"/>
    <x v="8"/>
    <x v="7"/>
    <x v="2"/>
    <x v="3"/>
    <n v="0.56530700700000003"/>
  </r>
  <r>
    <x v="0"/>
    <x v="1"/>
    <x v="8"/>
    <x v="8"/>
    <x v="2"/>
    <x v="3"/>
    <n v="0.56530700700000003"/>
  </r>
  <r>
    <x v="0"/>
    <x v="1"/>
    <x v="8"/>
    <x v="9"/>
    <x v="2"/>
    <x v="3"/>
    <n v="0.56530700700000003"/>
  </r>
  <r>
    <x v="0"/>
    <x v="1"/>
    <x v="8"/>
    <x v="10"/>
    <x v="2"/>
    <x v="3"/>
    <n v="0.56530700700000003"/>
  </r>
  <r>
    <x v="0"/>
    <x v="1"/>
    <x v="8"/>
    <x v="11"/>
    <x v="2"/>
    <x v="3"/>
    <n v="0.56530700700000003"/>
  </r>
  <r>
    <x v="0"/>
    <x v="1"/>
    <x v="8"/>
    <x v="12"/>
    <x v="2"/>
    <x v="3"/>
    <n v="0.56530700700000003"/>
  </r>
  <r>
    <x v="0"/>
    <x v="1"/>
    <x v="8"/>
    <x v="13"/>
    <x v="2"/>
    <x v="3"/>
    <n v="0.56530700700000003"/>
  </r>
  <r>
    <x v="0"/>
    <x v="1"/>
    <x v="8"/>
    <x v="14"/>
    <x v="2"/>
    <x v="3"/>
    <n v="0.56530700700000003"/>
  </r>
  <r>
    <x v="0"/>
    <x v="1"/>
    <x v="8"/>
    <x v="15"/>
    <x v="2"/>
    <x v="3"/>
    <n v="0.56530700700000003"/>
  </r>
  <r>
    <x v="0"/>
    <x v="1"/>
    <x v="8"/>
    <x v="16"/>
    <x v="2"/>
    <x v="3"/>
    <n v="0.56530700700000003"/>
  </r>
  <r>
    <x v="0"/>
    <x v="1"/>
    <x v="8"/>
    <x v="17"/>
    <x v="2"/>
    <x v="3"/>
    <n v="0.56530700700000003"/>
  </r>
  <r>
    <x v="0"/>
    <x v="1"/>
    <x v="8"/>
    <x v="18"/>
    <x v="2"/>
    <x v="3"/>
    <n v="0.56530700700000003"/>
  </r>
  <r>
    <x v="0"/>
    <x v="1"/>
    <x v="8"/>
    <x v="19"/>
    <x v="2"/>
    <x v="3"/>
    <n v="0.56530700700000003"/>
  </r>
  <r>
    <x v="0"/>
    <x v="1"/>
    <x v="8"/>
    <x v="20"/>
    <x v="2"/>
    <x v="3"/>
    <n v="0.56530700700000003"/>
  </r>
  <r>
    <x v="0"/>
    <x v="1"/>
    <x v="8"/>
    <x v="21"/>
    <x v="2"/>
    <x v="3"/>
    <n v="0.56530700700000003"/>
  </r>
  <r>
    <x v="0"/>
    <x v="1"/>
    <x v="8"/>
    <x v="22"/>
    <x v="2"/>
    <x v="3"/>
    <n v="0.56530700700000003"/>
  </r>
  <r>
    <x v="0"/>
    <x v="1"/>
    <x v="8"/>
    <x v="23"/>
    <x v="2"/>
    <x v="3"/>
    <n v="0.56530700700000003"/>
  </r>
  <r>
    <x v="0"/>
    <x v="1"/>
    <x v="8"/>
    <x v="24"/>
    <x v="2"/>
    <x v="3"/>
    <n v="0.56530700700000003"/>
  </r>
  <r>
    <x v="0"/>
    <x v="1"/>
    <x v="8"/>
    <x v="25"/>
    <x v="2"/>
    <x v="3"/>
    <n v="0.56530700700000003"/>
  </r>
  <r>
    <x v="0"/>
    <x v="1"/>
    <x v="8"/>
    <x v="26"/>
    <x v="2"/>
    <x v="3"/>
    <n v="0.56530700700000003"/>
  </r>
  <r>
    <x v="0"/>
    <x v="1"/>
    <x v="8"/>
    <x v="27"/>
    <x v="2"/>
    <x v="3"/>
    <n v="0.56530700700000003"/>
  </r>
  <r>
    <x v="0"/>
    <x v="1"/>
    <x v="8"/>
    <x v="28"/>
    <x v="2"/>
    <x v="3"/>
    <n v="0.56530700700000003"/>
  </r>
  <r>
    <x v="0"/>
    <x v="1"/>
    <x v="8"/>
    <x v="29"/>
    <x v="2"/>
    <x v="3"/>
    <n v="0.56530700700000003"/>
  </r>
  <r>
    <x v="0"/>
    <x v="1"/>
    <x v="8"/>
    <x v="30"/>
    <x v="2"/>
    <x v="3"/>
    <n v="0.56530700700000003"/>
  </r>
  <r>
    <x v="0"/>
    <x v="1"/>
    <x v="8"/>
    <x v="31"/>
    <x v="2"/>
    <x v="3"/>
    <n v="0.56530700700000003"/>
  </r>
  <r>
    <x v="0"/>
    <x v="1"/>
    <x v="8"/>
    <x v="32"/>
    <x v="2"/>
    <x v="3"/>
    <n v="0.56530700700000003"/>
  </r>
  <r>
    <x v="0"/>
    <x v="1"/>
    <x v="8"/>
    <x v="33"/>
    <x v="2"/>
    <x v="3"/>
    <n v="0.56530700700000003"/>
  </r>
  <r>
    <x v="0"/>
    <x v="1"/>
    <x v="8"/>
    <x v="34"/>
    <x v="2"/>
    <x v="3"/>
    <n v="0.56530700700000003"/>
  </r>
  <r>
    <x v="0"/>
    <x v="1"/>
    <x v="8"/>
    <x v="35"/>
    <x v="2"/>
    <x v="3"/>
    <n v="0.56530700700000003"/>
  </r>
  <r>
    <x v="0"/>
    <x v="1"/>
    <x v="8"/>
    <x v="36"/>
    <x v="2"/>
    <x v="3"/>
    <n v="0.56530700700000003"/>
  </r>
  <r>
    <x v="0"/>
    <x v="1"/>
    <x v="8"/>
    <x v="37"/>
    <x v="2"/>
    <x v="3"/>
    <n v="0.56530700700000003"/>
  </r>
  <r>
    <x v="0"/>
    <x v="1"/>
    <x v="8"/>
    <x v="38"/>
    <x v="2"/>
    <x v="3"/>
    <n v="0.56530700700000003"/>
  </r>
  <r>
    <x v="0"/>
    <x v="1"/>
    <x v="8"/>
    <x v="39"/>
    <x v="2"/>
    <x v="3"/>
    <n v="0.56530700700000003"/>
  </r>
  <r>
    <x v="0"/>
    <x v="1"/>
    <x v="8"/>
    <x v="40"/>
    <x v="2"/>
    <x v="3"/>
    <n v="0.56530700700000003"/>
  </r>
  <r>
    <x v="0"/>
    <x v="1"/>
    <x v="8"/>
    <x v="41"/>
    <x v="2"/>
    <x v="3"/>
    <n v="0.56530700700000003"/>
  </r>
  <r>
    <x v="0"/>
    <x v="1"/>
    <x v="7"/>
    <x v="0"/>
    <x v="3"/>
    <x v="2"/>
    <n v="403.772263474"/>
  </r>
  <r>
    <x v="0"/>
    <x v="1"/>
    <x v="7"/>
    <x v="1"/>
    <x v="3"/>
    <x v="2"/>
    <n v="51.447603211000001"/>
  </r>
  <r>
    <x v="0"/>
    <x v="1"/>
    <x v="7"/>
    <x v="2"/>
    <x v="3"/>
    <x v="2"/>
    <n v="22.033834342999999"/>
  </r>
  <r>
    <x v="0"/>
    <x v="1"/>
    <x v="7"/>
    <x v="3"/>
    <x v="3"/>
    <x v="2"/>
    <n v="18.887510456000001"/>
  </r>
  <r>
    <x v="0"/>
    <x v="1"/>
    <x v="7"/>
    <x v="4"/>
    <x v="3"/>
    <x v="2"/>
    <n v="10.143065886"/>
  </r>
  <r>
    <x v="0"/>
    <x v="1"/>
    <x v="7"/>
    <x v="5"/>
    <x v="3"/>
    <x v="2"/>
    <n v="31.329308872999999"/>
  </r>
  <r>
    <x v="0"/>
    <x v="1"/>
    <x v="7"/>
    <x v="6"/>
    <x v="3"/>
    <x v="2"/>
    <n v="14.025059026999999"/>
  </r>
  <r>
    <x v="0"/>
    <x v="1"/>
    <x v="7"/>
    <x v="7"/>
    <x v="3"/>
    <x v="2"/>
    <n v="13.173022849000001"/>
  </r>
  <r>
    <x v="0"/>
    <x v="1"/>
    <x v="7"/>
    <x v="8"/>
    <x v="3"/>
    <x v="2"/>
    <n v="7.8489272879999996"/>
  </r>
  <r>
    <x v="0"/>
    <x v="1"/>
    <x v="7"/>
    <x v="9"/>
    <x v="3"/>
    <x v="2"/>
    <n v="21.045749402999999"/>
  </r>
  <r>
    <x v="0"/>
    <x v="1"/>
    <x v="7"/>
    <x v="10"/>
    <x v="3"/>
    <x v="2"/>
    <n v="9.7414989290000005"/>
  </r>
  <r>
    <x v="0"/>
    <x v="1"/>
    <x v="7"/>
    <x v="11"/>
    <x v="3"/>
    <x v="2"/>
    <n v="44.462965179999998"/>
  </r>
  <r>
    <x v="0"/>
    <x v="1"/>
    <x v="7"/>
    <x v="12"/>
    <x v="3"/>
    <x v="2"/>
    <n v="21.321804081"/>
  </r>
  <r>
    <x v="0"/>
    <x v="1"/>
    <x v="7"/>
    <x v="13"/>
    <x v="3"/>
    <x v="2"/>
    <n v="30.064635221"/>
  </r>
  <r>
    <x v="0"/>
    <x v="1"/>
    <x v="7"/>
    <x v="14"/>
    <x v="3"/>
    <x v="2"/>
    <n v="14.189478167000001"/>
  </r>
  <r>
    <x v="0"/>
    <x v="1"/>
    <x v="7"/>
    <x v="15"/>
    <x v="3"/>
    <x v="2"/>
    <n v="18.884305006999998"/>
  </r>
  <r>
    <x v="0"/>
    <x v="1"/>
    <x v="7"/>
    <x v="16"/>
    <x v="3"/>
    <x v="2"/>
    <n v="12.544922243"/>
  </r>
  <r>
    <x v="0"/>
    <x v="1"/>
    <x v="7"/>
    <x v="17"/>
    <x v="3"/>
    <x v="2"/>
    <n v="24.656008741000001"/>
  </r>
  <r>
    <x v="0"/>
    <x v="1"/>
    <x v="7"/>
    <x v="18"/>
    <x v="3"/>
    <x v="2"/>
    <n v="15.374237532"/>
  </r>
  <r>
    <x v="0"/>
    <x v="1"/>
    <x v="7"/>
    <x v="19"/>
    <x v="3"/>
    <x v="2"/>
    <n v="28.019429998"/>
  </r>
  <r>
    <x v="0"/>
    <x v="1"/>
    <x v="7"/>
    <x v="20"/>
    <x v="3"/>
    <x v="2"/>
    <n v="3.4971936640000001"/>
  </r>
  <r>
    <x v="0"/>
    <x v="1"/>
    <x v="7"/>
    <x v="21"/>
    <x v="3"/>
    <x v="2"/>
    <n v="1.531363037"/>
  </r>
  <r>
    <x v="0"/>
    <x v="1"/>
    <x v="7"/>
    <x v="22"/>
    <x v="3"/>
    <x v="2"/>
    <n v="1.3560786549999999"/>
  </r>
  <r>
    <x v="0"/>
    <x v="1"/>
    <x v="7"/>
    <x v="23"/>
    <x v="3"/>
    <x v="2"/>
    <n v="1.013610954"/>
  </r>
  <r>
    <x v="0"/>
    <x v="1"/>
    <x v="7"/>
    <x v="24"/>
    <x v="3"/>
    <x v="2"/>
    <n v="21.848993708999998"/>
  </r>
  <r>
    <x v="0"/>
    <x v="1"/>
    <x v="7"/>
    <x v="25"/>
    <x v="3"/>
    <x v="2"/>
    <n v="1.2066908940000001"/>
  </r>
  <r>
    <x v="0"/>
    <x v="1"/>
    <x v="7"/>
    <x v="26"/>
    <x v="3"/>
    <x v="2"/>
    <n v="2.601886715"/>
  </r>
  <r>
    <x v="0"/>
    <x v="1"/>
    <x v="7"/>
    <x v="27"/>
    <x v="3"/>
    <x v="2"/>
    <n v="84.742592797"/>
  </r>
  <r>
    <x v="0"/>
    <x v="1"/>
    <x v="7"/>
    <x v="28"/>
    <x v="3"/>
    <x v="2"/>
    <n v="101.987816072"/>
  </r>
  <r>
    <x v="0"/>
    <x v="1"/>
    <x v="7"/>
    <x v="29"/>
    <x v="3"/>
    <x v="2"/>
    <n v="71.229211113999995"/>
  </r>
  <r>
    <x v="0"/>
    <x v="1"/>
    <x v="7"/>
    <x v="30"/>
    <x v="3"/>
    <x v="2"/>
    <n v="36.893615781000001"/>
  </r>
  <r>
    <x v="0"/>
    <x v="1"/>
    <x v="7"/>
    <x v="31"/>
    <x v="3"/>
    <x v="2"/>
    <n v="21.503792639"/>
  </r>
  <r>
    <x v="0"/>
    <x v="1"/>
    <x v="7"/>
    <x v="32"/>
    <x v="3"/>
    <x v="2"/>
    <n v="86.675123962000001"/>
  </r>
  <r>
    <x v="0"/>
    <x v="1"/>
    <x v="7"/>
    <x v="33"/>
    <x v="3"/>
    <x v="2"/>
    <n v="34.076472731000003"/>
  </r>
  <r>
    <x v="0"/>
    <x v="1"/>
    <x v="7"/>
    <x v="34"/>
    <x v="3"/>
    <x v="2"/>
    <n v="41.492769349"/>
  </r>
  <r>
    <x v="0"/>
    <x v="1"/>
    <x v="7"/>
    <x v="35"/>
    <x v="3"/>
    <x v="2"/>
    <n v="29.837671610000001"/>
  </r>
  <r>
    <x v="0"/>
    <x v="1"/>
    <x v="7"/>
    <x v="36"/>
    <x v="3"/>
    <x v="2"/>
    <n v="9.2256265279999994"/>
  </r>
  <r>
    <x v="0"/>
    <x v="1"/>
    <x v="7"/>
    <x v="37"/>
    <x v="3"/>
    <x v="2"/>
    <n v="35.264760187"/>
  </r>
  <r>
    <x v="0"/>
    <x v="1"/>
    <x v="7"/>
    <x v="38"/>
    <x v="3"/>
    <x v="2"/>
    <n v="84.222356953000002"/>
  </r>
  <r>
    <x v="0"/>
    <x v="1"/>
    <x v="7"/>
    <x v="39"/>
    <x v="3"/>
    <x v="2"/>
    <n v="33.813506339"/>
  </r>
  <r>
    <x v="0"/>
    <x v="1"/>
    <x v="7"/>
    <x v="40"/>
    <x v="3"/>
    <x v="2"/>
    <n v="11.926252063"/>
  </r>
  <r>
    <x v="0"/>
    <x v="1"/>
    <x v="7"/>
    <x v="41"/>
    <x v="3"/>
    <x v="2"/>
    <n v="132.002163559"/>
  </r>
  <r>
    <x v="0"/>
    <x v="1"/>
    <x v="8"/>
    <x v="0"/>
    <x v="3"/>
    <x v="3"/>
    <n v="0.54737535199999998"/>
  </r>
  <r>
    <x v="0"/>
    <x v="1"/>
    <x v="8"/>
    <x v="1"/>
    <x v="3"/>
    <x v="3"/>
    <n v="0.54737535199999998"/>
  </r>
  <r>
    <x v="0"/>
    <x v="1"/>
    <x v="8"/>
    <x v="2"/>
    <x v="3"/>
    <x v="3"/>
    <n v="0.54737535199999998"/>
  </r>
  <r>
    <x v="0"/>
    <x v="1"/>
    <x v="8"/>
    <x v="3"/>
    <x v="3"/>
    <x v="3"/>
    <n v="0.54737535199999998"/>
  </r>
  <r>
    <x v="0"/>
    <x v="1"/>
    <x v="8"/>
    <x v="4"/>
    <x v="3"/>
    <x v="3"/>
    <n v="0.54737535199999998"/>
  </r>
  <r>
    <x v="0"/>
    <x v="1"/>
    <x v="8"/>
    <x v="5"/>
    <x v="3"/>
    <x v="3"/>
    <n v="0.54737535199999998"/>
  </r>
  <r>
    <x v="0"/>
    <x v="1"/>
    <x v="8"/>
    <x v="6"/>
    <x v="3"/>
    <x v="3"/>
    <n v="0.54737535199999998"/>
  </r>
  <r>
    <x v="0"/>
    <x v="1"/>
    <x v="8"/>
    <x v="7"/>
    <x v="3"/>
    <x v="3"/>
    <n v="0.54737535199999998"/>
  </r>
  <r>
    <x v="0"/>
    <x v="1"/>
    <x v="8"/>
    <x v="8"/>
    <x v="3"/>
    <x v="3"/>
    <n v="0.54737535199999998"/>
  </r>
  <r>
    <x v="0"/>
    <x v="1"/>
    <x v="8"/>
    <x v="9"/>
    <x v="3"/>
    <x v="3"/>
    <n v="0.54737535199999998"/>
  </r>
  <r>
    <x v="0"/>
    <x v="1"/>
    <x v="8"/>
    <x v="10"/>
    <x v="3"/>
    <x v="3"/>
    <n v="0.54737535199999998"/>
  </r>
  <r>
    <x v="0"/>
    <x v="1"/>
    <x v="8"/>
    <x v="11"/>
    <x v="3"/>
    <x v="3"/>
    <n v="0.54737535199999998"/>
  </r>
  <r>
    <x v="0"/>
    <x v="1"/>
    <x v="8"/>
    <x v="12"/>
    <x v="3"/>
    <x v="3"/>
    <n v="0.54737535199999998"/>
  </r>
  <r>
    <x v="0"/>
    <x v="1"/>
    <x v="8"/>
    <x v="13"/>
    <x v="3"/>
    <x v="3"/>
    <n v="0.54737535199999998"/>
  </r>
  <r>
    <x v="0"/>
    <x v="1"/>
    <x v="8"/>
    <x v="14"/>
    <x v="3"/>
    <x v="3"/>
    <n v="0.54737535199999998"/>
  </r>
  <r>
    <x v="0"/>
    <x v="1"/>
    <x v="8"/>
    <x v="15"/>
    <x v="3"/>
    <x v="3"/>
    <n v="0.54737535199999998"/>
  </r>
  <r>
    <x v="0"/>
    <x v="1"/>
    <x v="8"/>
    <x v="16"/>
    <x v="3"/>
    <x v="3"/>
    <n v="0.54737535199999998"/>
  </r>
  <r>
    <x v="0"/>
    <x v="1"/>
    <x v="8"/>
    <x v="17"/>
    <x v="3"/>
    <x v="3"/>
    <n v="0.54737535199999998"/>
  </r>
  <r>
    <x v="0"/>
    <x v="1"/>
    <x v="8"/>
    <x v="18"/>
    <x v="3"/>
    <x v="3"/>
    <n v="0.54737535199999998"/>
  </r>
  <r>
    <x v="0"/>
    <x v="1"/>
    <x v="8"/>
    <x v="19"/>
    <x v="3"/>
    <x v="3"/>
    <n v="0.54737535199999998"/>
  </r>
  <r>
    <x v="0"/>
    <x v="1"/>
    <x v="8"/>
    <x v="20"/>
    <x v="3"/>
    <x v="3"/>
    <n v="0.54737535199999998"/>
  </r>
  <r>
    <x v="0"/>
    <x v="1"/>
    <x v="8"/>
    <x v="21"/>
    <x v="3"/>
    <x v="3"/>
    <n v="0.54737535199999998"/>
  </r>
  <r>
    <x v="0"/>
    <x v="1"/>
    <x v="8"/>
    <x v="22"/>
    <x v="3"/>
    <x v="3"/>
    <n v="0.54737535199999998"/>
  </r>
  <r>
    <x v="0"/>
    <x v="1"/>
    <x v="8"/>
    <x v="23"/>
    <x v="3"/>
    <x v="3"/>
    <n v="0.54737535199999998"/>
  </r>
  <r>
    <x v="0"/>
    <x v="1"/>
    <x v="8"/>
    <x v="24"/>
    <x v="3"/>
    <x v="3"/>
    <n v="0.54737535199999998"/>
  </r>
  <r>
    <x v="0"/>
    <x v="1"/>
    <x v="8"/>
    <x v="25"/>
    <x v="3"/>
    <x v="3"/>
    <n v="0.54737535199999998"/>
  </r>
  <r>
    <x v="0"/>
    <x v="1"/>
    <x v="8"/>
    <x v="26"/>
    <x v="3"/>
    <x v="3"/>
    <n v="0.54737535199999998"/>
  </r>
  <r>
    <x v="0"/>
    <x v="1"/>
    <x v="8"/>
    <x v="27"/>
    <x v="3"/>
    <x v="3"/>
    <n v="0.54737535199999998"/>
  </r>
  <r>
    <x v="0"/>
    <x v="1"/>
    <x v="8"/>
    <x v="28"/>
    <x v="3"/>
    <x v="3"/>
    <n v="0.54737535199999998"/>
  </r>
  <r>
    <x v="0"/>
    <x v="1"/>
    <x v="8"/>
    <x v="29"/>
    <x v="3"/>
    <x v="3"/>
    <n v="0.54737535199999998"/>
  </r>
  <r>
    <x v="0"/>
    <x v="1"/>
    <x v="8"/>
    <x v="30"/>
    <x v="3"/>
    <x v="3"/>
    <n v="0.54737535199999998"/>
  </r>
  <r>
    <x v="0"/>
    <x v="1"/>
    <x v="8"/>
    <x v="31"/>
    <x v="3"/>
    <x v="3"/>
    <n v="0.54737535199999998"/>
  </r>
  <r>
    <x v="0"/>
    <x v="1"/>
    <x v="8"/>
    <x v="32"/>
    <x v="3"/>
    <x v="3"/>
    <n v="0.54737535199999998"/>
  </r>
  <r>
    <x v="0"/>
    <x v="1"/>
    <x v="8"/>
    <x v="33"/>
    <x v="3"/>
    <x v="3"/>
    <n v="0.54737535199999998"/>
  </r>
  <r>
    <x v="0"/>
    <x v="1"/>
    <x v="8"/>
    <x v="34"/>
    <x v="3"/>
    <x v="3"/>
    <n v="0.54737535199999998"/>
  </r>
  <r>
    <x v="0"/>
    <x v="1"/>
    <x v="8"/>
    <x v="35"/>
    <x v="3"/>
    <x v="3"/>
    <n v="0.54737535199999998"/>
  </r>
  <r>
    <x v="0"/>
    <x v="1"/>
    <x v="8"/>
    <x v="36"/>
    <x v="3"/>
    <x v="3"/>
    <n v="0.54737535199999998"/>
  </r>
  <r>
    <x v="0"/>
    <x v="1"/>
    <x v="8"/>
    <x v="37"/>
    <x v="3"/>
    <x v="3"/>
    <n v="0.54737535199999998"/>
  </r>
  <r>
    <x v="0"/>
    <x v="1"/>
    <x v="8"/>
    <x v="38"/>
    <x v="3"/>
    <x v="3"/>
    <n v="0.54737535199999998"/>
  </r>
  <r>
    <x v="0"/>
    <x v="1"/>
    <x v="8"/>
    <x v="39"/>
    <x v="3"/>
    <x v="3"/>
    <n v="0.54737535199999998"/>
  </r>
  <r>
    <x v="0"/>
    <x v="1"/>
    <x v="8"/>
    <x v="40"/>
    <x v="3"/>
    <x v="3"/>
    <n v="0.54737535199999998"/>
  </r>
  <r>
    <x v="0"/>
    <x v="1"/>
    <x v="8"/>
    <x v="41"/>
    <x v="3"/>
    <x v="3"/>
    <n v="0.54737535199999998"/>
  </r>
  <r>
    <x v="0"/>
    <x v="1"/>
    <x v="9"/>
    <x v="42"/>
    <x v="4"/>
    <x v="4"/>
    <n v="74.045501432999998"/>
  </r>
  <r>
    <x v="0"/>
    <x v="1"/>
    <x v="9"/>
    <x v="42"/>
    <x v="5"/>
    <x v="4"/>
    <n v="1.009093673"/>
  </r>
  <r>
    <x v="0"/>
    <x v="1"/>
    <x v="9"/>
    <x v="42"/>
    <x v="6"/>
    <x v="4"/>
    <n v="0"/>
  </r>
  <r>
    <x v="0"/>
    <x v="1"/>
    <x v="9"/>
    <x v="42"/>
    <x v="7"/>
    <x v="4"/>
    <n v="0"/>
  </r>
  <r>
    <x v="0"/>
    <x v="1"/>
    <x v="9"/>
    <x v="42"/>
    <x v="8"/>
    <x v="4"/>
    <n v="0"/>
  </r>
  <r>
    <x v="0"/>
    <x v="1"/>
    <x v="9"/>
    <x v="42"/>
    <x v="9"/>
    <x v="4"/>
    <n v="93.135532335999997"/>
  </r>
  <r>
    <x v="0"/>
    <x v="1"/>
    <x v="9"/>
    <x v="42"/>
    <x v="10"/>
    <x v="4"/>
    <n v="2.927143644"/>
  </r>
  <r>
    <x v="0"/>
    <x v="1"/>
    <x v="9"/>
    <x v="42"/>
    <x v="11"/>
    <x v="4"/>
    <n v="17.365790500999999"/>
  </r>
  <r>
    <x v="0"/>
    <x v="1"/>
    <x v="9"/>
    <x v="42"/>
    <x v="12"/>
    <x v="4"/>
    <n v="2.500940398"/>
  </r>
  <r>
    <x v="0"/>
    <x v="1"/>
    <x v="9"/>
    <x v="42"/>
    <x v="13"/>
    <x v="4"/>
    <n v="3.9055406480000001"/>
  </r>
  <r>
    <x v="0"/>
    <x v="1"/>
    <x v="9"/>
    <x v="42"/>
    <x v="14"/>
    <x v="4"/>
    <n v="2.7595262800000002"/>
  </r>
  <r>
    <x v="0"/>
    <x v="1"/>
    <x v="9"/>
    <x v="42"/>
    <x v="15"/>
    <x v="4"/>
    <n v="13.24640956"/>
  </r>
  <r>
    <x v="0"/>
    <x v="1"/>
    <x v="9"/>
    <x v="42"/>
    <x v="16"/>
    <x v="4"/>
    <n v="1.829864707"/>
  </r>
  <r>
    <x v="0"/>
    <x v="1"/>
    <x v="9"/>
    <x v="42"/>
    <x v="17"/>
    <x v="4"/>
    <n v="0"/>
  </r>
  <r>
    <x v="0"/>
    <x v="1"/>
    <x v="9"/>
    <x v="42"/>
    <x v="18"/>
    <x v="4"/>
    <n v="1.109684935"/>
  </r>
  <r>
    <x v="0"/>
    <x v="1"/>
    <x v="9"/>
    <x v="42"/>
    <x v="19"/>
    <x v="4"/>
    <n v="0.57674469799999994"/>
  </r>
  <r>
    <x v="0"/>
    <x v="1"/>
    <x v="9"/>
    <x v="42"/>
    <x v="20"/>
    <x v="4"/>
    <n v="0.147038685"/>
  </r>
  <r>
    <x v="0"/>
    <x v="1"/>
    <x v="9"/>
    <x v="42"/>
    <x v="21"/>
    <x v="4"/>
    <n v="9.9420322809999995"/>
  </r>
  <r>
    <x v="0"/>
    <x v="1"/>
    <x v="9"/>
    <x v="42"/>
    <x v="22"/>
    <x v="4"/>
    <n v="10.487317731999999"/>
  </r>
  <r>
    <x v="0"/>
    <x v="1"/>
    <x v="9"/>
    <x v="42"/>
    <x v="23"/>
    <x v="4"/>
    <n v="9.5455847850000008"/>
  </r>
  <r>
    <x v="0"/>
    <x v="1"/>
    <x v="9"/>
    <x v="42"/>
    <x v="24"/>
    <x v="4"/>
    <n v="0.68823254300000003"/>
  </r>
  <r>
    <x v="0"/>
    <x v="1"/>
    <x v="9"/>
    <x v="42"/>
    <x v="25"/>
    <x v="4"/>
    <n v="0.76629716000000003"/>
  </r>
  <r>
    <x v="0"/>
    <x v="1"/>
    <x v="9"/>
    <x v="42"/>
    <x v="26"/>
    <x v="4"/>
    <n v="0"/>
  </r>
  <r>
    <x v="0"/>
    <x v="1"/>
    <x v="9"/>
    <x v="42"/>
    <x v="27"/>
    <x v="4"/>
    <n v="0"/>
  </r>
  <r>
    <x v="0"/>
    <x v="1"/>
    <x v="9"/>
    <x v="42"/>
    <x v="28"/>
    <x v="4"/>
    <n v="11.785936855999999"/>
  </r>
  <r>
    <x v="0"/>
    <x v="1"/>
    <x v="9"/>
    <x v="42"/>
    <x v="29"/>
    <x v="4"/>
    <n v="1.3655745640000001"/>
  </r>
  <r>
    <x v="0"/>
    <x v="1"/>
    <x v="9"/>
    <x v="42"/>
    <x v="30"/>
    <x v="4"/>
    <n v="0.90803107000000005"/>
  </r>
  <r>
    <x v="0"/>
    <x v="1"/>
    <x v="9"/>
    <x v="42"/>
    <x v="31"/>
    <x v="4"/>
    <n v="0"/>
  </r>
  <r>
    <x v="0"/>
    <x v="1"/>
    <x v="9"/>
    <x v="42"/>
    <x v="32"/>
    <x v="4"/>
    <n v="49.840272943999999"/>
  </r>
  <r>
    <x v="0"/>
    <x v="1"/>
    <x v="9"/>
    <x v="42"/>
    <x v="33"/>
    <x v="4"/>
    <n v="17.921141926000001"/>
  </r>
  <r>
    <x v="0"/>
    <x v="1"/>
    <x v="9"/>
    <x v="42"/>
    <x v="34"/>
    <x v="4"/>
    <n v="9.0083730200000005"/>
  </r>
  <r>
    <x v="0"/>
    <x v="1"/>
    <x v="9"/>
    <x v="42"/>
    <x v="35"/>
    <x v="4"/>
    <n v="23.207814623000001"/>
  </r>
  <r>
    <x v="0"/>
    <x v="1"/>
    <x v="9"/>
    <x v="42"/>
    <x v="36"/>
    <x v="4"/>
    <n v="28.707825924000002"/>
  </r>
  <r>
    <x v="0"/>
    <x v="1"/>
    <x v="9"/>
    <x v="42"/>
    <x v="37"/>
    <x v="4"/>
    <n v="149.190546789"/>
  </r>
  <r>
    <x v="0"/>
    <x v="1"/>
    <x v="9"/>
    <x v="42"/>
    <x v="38"/>
    <x v="4"/>
    <n v="0.70438615500000001"/>
  </r>
  <r>
    <x v="0"/>
    <x v="1"/>
    <x v="9"/>
    <x v="42"/>
    <x v="39"/>
    <x v="4"/>
    <n v="0.357529975"/>
  </r>
  <r>
    <x v="0"/>
    <x v="1"/>
    <x v="9"/>
    <x v="42"/>
    <x v="40"/>
    <x v="4"/>
    <n v="0.61101601500000002"/>
  </r>
  <r>
    <x v="0"/>
    <x v="1"/>
    <x v="9"/>
    <x v="42"/>
    <x v="41"/>
    <x v="4"/>
    <n v="9.1137366469999996"/>
  </r>
  <r>
    <x v="0"/>
    <x v="1"/>
    <x v="9"/>
    <x v="42"/>
    <x v="42"/>
    <x v="4"/>
    <n v="1.4699503119999999"/>
  </r>
  <r>
    <x v="0"/>
    <x v="1"/>
    <x v="9"/>
    <x v="42"/>
    <x v="43"/>
    <x v="4"/>
    <n v="9.5453891380000009"/>
  </r>
  <r>
    <x v="0"/>
    <x v="1"/>
    <x v="9"/>
    <x v="42"/>
    <x v="44"/>
    <x v="4"/>
    <n v="3.7921158620000002"/>
  </r>
  <r>
    <x v="0"/>
    <x v="1"/>
    <x v="9"/>
    <x v="42"/>
    <x v="45"/>
    <x v="4"/>
    <n v="4.7897510999999997E-2"/>
  </r>
  <r>
    <x v="0"/>
    <x v="1"/>
    <x v="10"/>
    <x v="42"/>
    <x v="0"/>
    <x v="4"/>
    <n v="6.1007504590000003"/>
  </r>
  <r>
    <x v="0"/>
    <x v="1"/>
    <x v="11"/>
    <x v="42"/>
    <x v="0"/>
    <x v="4"/>
    <n v="16.920131373"/>
  </r>
  <r>
    <x v="0"/>
    <x v="1"/>
    <x v="9"/>
    <x v="43"/>
    <x v="4"/>
    <x v="4"/>
    <n v="127.15467477"/>
  </r>
  <r>
    <x v="0"/>
    <x v="1"/>
    <x v="9"/>
    <x v="43"/>
    <x v="5"/>
    <x v="4"/>
    <n v="0.64943764800000003"/>
  </r>
  <r>
    <x v="0"/>
    <x v="1"/>
    <x v="9"/>
    <x v="43"/>
    <x v="6"/>
    <x v="4"/>
    <n v="0"/>
  </r>
  <r>
    <x v="0"/>
    <x v="1"/>
    <x v="9"/>
    <x v="43"/>
    <x v="7"/>
    <x v="4"/>
    <n v="0"/>
  </r>
  <r>
    <x v="0"/>
    <x v="1"/>
    <x v="9"/>
    <x v="43"/>
    <x v="8"/>
    <x v="4"/>
    <n v="0"/>
  </r>
  <r>
    <x v="0"/>
    <x v="1"/>
    <x v="9"/>
    <x v="43"/>
    <x v="9"/>
    <x v="4"/>
    <n v="280.492705231"/>
  </r>
  <r>
    <x v="0"/>
    <x v="1"/>
    <x v="9"/>
    <x v="43"/>
    <x v="10"/>
    <x v="4"/>
    <n v="4.7474998680000002"/>
  </r>
  <r>
    <x v="0"/>
    <x v="1"/>
    <x v="9"/>
    <x v="43"/>
    <x v="11"/>
    <x v="4"/>
    <n v="75.480050629000004"/>
  </r>
  <r>
    <x v="0"/>
    <x v="1"/>
    <x v="9"/>
    <x v="43"/>
    <x v="12"/>
    <x v="4"/>
    <n v="8.558900672"/>
  </r>
  <r>
    <x v="0"/>
    <x v="1"/>
    <x v="9"/>
    <x v="43"/>
    <x v="13"/>
    <x v="4"/>
    <n v="15.508058371000001"/>
  </r>
  <r>
    <x v="0"/>
    <x v="1"/>
    <x v="9"/>
    <x v="43"/>
    <x v="14"/>
    <x v="4"/>
    <n v="27.196194318"/>
  </r>
  <r>
    <x v="0"/>
    <x v="1"/>
    <x v="9"/>
    <x v="43"/>
    <x v="15"/>
    <x v="4"/>
    <n v="55.660649227999997"/>
  </r>
  <r>
    <x v="0"/>
    <x v="1"/>
    <x v="9"/>
    <x v="43"/>
    <x v="16"/>
    <x v="4"/>
    <n v="4.1621178680000002"/>
  </r>
  <r>
    <x v="0"/>
    <x v="1"/>
    <x v="9"/>
    <x v="43"/>
    <x v="17"/>
    <x v="4"/>
    <n v="0"/>
  </r>
  <r>
    <x v="0"/>
    <x v="1"/>
    <x v="9"/>
    <x v="43"/>
    <x v="18"/>
    <x v="4"/>
    <n v="4.853848331"/>
  </r>
  <r>
    <x v="0"/>
    <x v="1"/>
    <x v="9"/>
    <x v="43"/>
    <x v="19"/>
    <x v="4"/>
    <n v="1.305193797"/>
  </r>
  <r>
    <x v="0"/>
    <x v="1"/>
    <x v="9"/>
    <x v="43"/>
    <x v="20"/>
    <x v="4"/>
    <n v="1.294065762"/>
  </r>
  <r>
    <x v="0"/>
    <x v="1"/>
    <x v="9"/>
    <x v="43"/>
    <x v="21"/>
    <x v="4"/>
    <n v="65.151659129999999"/>
  </r>
  <r>
    <x v="0"/>
    <x v="1"/>
    <x v="9"/>
    <x v="43"/>
    <x v="22"/>
    <x v="4"/>
    <n v="30.650099768"/>
  </r>
  <r>
    <x v="0"/>
    <x v="1"/>
    <x v="9"/>
    <x v="43"/>
    <x v="23"/>
    <x v="4"/>
    <n v="32.716778920000003"/>
  </r>
  <r>
    <x v="0"/>
    <x v="1"/>
    <x v="9"/>
    <x v="43"/>
    <x v="24"/>
    <x v="4"/>
    <n v="1.6765492930000001"/>
  </r>
  <r>
    <x v="0"/>
    <x v="1"/>
    <x v="9"/>
    <x v="43"/>
    <x v="25"/>
    <x v="4"/>
    <n v="1.6799007050000001"/>
  </r>
  <r>
    <x v="0"/>
    <x v="1"/>
    <x v="9"/>
    <x v="43"/>
    <x v="26"/>
    <x v="4"/>
    <n v="0"/>
  </r>
  <r>
    <x v="0"/>
    <x v="1"/>
    <x v="9"/>
    <x v="43"/>
    <x v="27"/>
    <x v="4"/>
    <n v="0"/>
  </r>
  <r>
    <x v="0"/>
    <x v="1"/>
    <x v="9"/>
    <x v="43"/>
    <x v="28"/>
    <x v="4"/>
    <n v="36.460754004000002"/>
  </r>
  <r>
    <x v="0"/>
    <x v="1"/>
    <x v="9"/>
    <x v="43"/>
    <x v="29"/>
    <x v="4"/>
    <n v="22.831749623"/>
  </r>
  <r>
    <x v="0"/>
    <x v="1"/>
    <x v="9"/>
    <x v="43"/>
    <x v="30"/>
    <x v="4"/>
    <n v="7.1012209889999998"/>
  </r>
  <r>
    <x v="0"/>
    <x v="1"/>
    <x v="9"/>
    <x v="43"/>
    <x v="31"/>
    <x v="4"/>
    <n v="0"/>
  </r>
  <r>
    <x v="0"/>
    <x v="1"/>
    <x v="9"/>
    <x v="43"/>
    <x v="32"/>
    <x v="4"/>
    <n v="142.98131864999999"/>
  </r>
  <r>
    <x v="0"/>
    <x v="1"/>
    <x v="9"/>
    <x v="43"/>
    <x v="33"/>
    <x v="4"/>
    <n v="66.911126271000001"/>
  </r>
  <r>
    <x v="0"/>
    <x v="1"/>
    <x v="9"/>
    <x v="43"/>
    <x v="34"/>
    <x v="4"/>
    <n v="52.318690959999998"/>
  </r>
  <r>
    <x v="0"/>
    <x v="1"/>
    <x v="9"/>
    <x v="43"/>
    <x v="35"/>
    <x v="4"/>
    <n v="85.740771616999993"/>
  </r>
  <r>
    <x v="0"/>
    <x v="1"/>
    <x v="9"/>
    <x v="43"/>
    <x v="36"/>
    <x v="4"/>
    <n v="143.583743567"/>
  </r>
  <r>
    <x v="0"/>
    <x v="1"/>
    <x v="9"/>
    <x v="43"/>
    <x v="37"/>
    <x v="4"/>
    <n v="412.744462398"/>
  </r>
  <r>
    <x v="0"/>
    <x v="1"/>
    <x v="9"/>
    <x v="43"/>
    <x v="38"/>
    <x v="4"/>
    <n v="11.995039136999999"/>
  </r>
  <r>
    <x v="0"/>
    <x v="1"/>
    <x v="9"/>
    <x v="43"/>
    <x v="39"/>
    <x v="4"/>
    <n v="2.0896958200000002"/>
  </r>
  <r>
    <x v="0"/>
    <x v="1"/>
    <x v="9"/>
    <x v="43"/>
    <x v="40"/>
    <x v="4"/>
    <n v="3.17214595"/>
  </r>
  <r>
    <x v="0"/>
    <x v="1"/>
    <x v="9"/>
    <x v="43"/>
    <x v="41"/>
    <x v="4"/>
    <n v="41.289369235000002"/>
  </r>
  <r>
    <x v="0"/>
    <x v="1"/>
    <x v="9"/>
    <x v="43"/>
    <x v="42"/>
    <x v="4"/>
    <n v="4.4389155789999997"/>
  </r>
  <r>
    <x v="0"/>
    <x v="1"/>
    <x v="9"/>
    <x v="43"/>
    <x v="43"/>
    <x v="4"/>
    <n v="33.082045426999997"/>
  </r>
  <r>
    <x v="0"/>
    <x v="1"/>
    <x v="9"/>
    <x v="43"/>
    <x v="44"/>
    <x v="4"/>
    <n v="22.462045006"/>
  </r>
  <r>
    <x v="0"/>
    <x v="1"/>
    <x v="9"/>
    <x v="43"/>
    <x v="45"/>
    <x v="4"/>
    <n v="0.15672576699999999"/>
  </r>
  <r>
    <x v="0"/>
    <x v="1"/>
    <x v="10"/>
    <x v="43"/>
    <x v="0"/>
    <x v="4"/>
    <n v="30.738606896"/>
  </r>
  <r>
    <x v="0"/>
    <x v="1"/>
    <x v="11"/>
    <x v="43"/>
    <x v="0"/>
    <x v="4"/>
    <n v="87.138135591999998"/>
  </r>
  <r>
    <x v="0"/>
    <x v="1"/>
    <x v="12"/>
    <x v="0"/>
    <x v="0"/>
    <x v="0"/>
    <n v="798.43050217899997"/>
  </r>
  <r>
    <x v="0"/>
    <x v="1"/>
    <x v="13"/>
    <x v="0"/>
    <x v="0"/>
    <x v="0"/>
    <n v="223.218267981"/>
  </r>
  <r>
    <x v="0"/>
    <x v="1"/>
    <x v="14"/>
    <x v="0"/>
    <x v="0"/>
    <x v="0"/>
    <n v="1.4196827869999999"/>
  </r>
  <r>
    <x v="0"/>
    <x v="1"/>
    <x v="15"/>
    <x v="0"/>
    <x v="0"/>
    <x v="1"/>
    <n v="0.72900000200000004"/>
  </r>
  <r>
    <x v="0"/>
    <x v="1"/>
    <x v="16"/>
    <x v="0"/>
    <x v="0"/>
    <x v="1"/>
    <n v="0.76392146299999997"/>
  </r>
  <r>
    <x v="0"/>
    <x v="1"/>
    <x v="12"/>
    <x v="1"/>
    <x v="0"/>
    <x v="0"/>
    <n v="282.59085760900001"/>
  </r>
  <r>
    <x v="0"/>
    <x v="1"/>
    <x v="13"/>
    <x v="1"/>
    <x v="0"/>
    <x v="0"/>
    <n v="36.677681094"/>
  </r>
  <r>
    <x v="0"/>
    <x v="1"/>
    <x v="14"/>
    <x v="1"/>
    <x v="0"/>
    <x v="0"/>
    <n v="0.41742358000000002"/>
  </r>
  <r>
    <x v="0"/>
    <x v="1"/>
    <x v="15"/>
    <x v="1"/>
    <x v="0"/>
    <x v="1"/>
    <n v="0.44974145799999998"/>
  </r>
  <r>
    <x v="0"/>
    <x v="1"/>
    <x v="16"/>
    <x v="1"/>
    <x v="0"/>
    <x v="1"/>
    <n v="0.45546546300000001"/>
  </r>
  <r>
    <x v="0"/>
    <x v="1"/>
    <x v="12"/>
    <x v="2"/>
    <x v="0"/>
    <x v="0"/>
    <n v="320.528019422"/>
  </r>
  <r>
    <x v="0"/>
    <x v="1"/>
    <x v="13"/>
    <x v="2"/>
    <x v="0"/>
    <x v="0"/>
    <n v="130.75806760399999"/>
  </r>
  <r>
    <x v="0"/>
    <x v="1"/>
    <x v="14"/>
    <x v="2"/>
    <x v="0"/>
    <x v="0"/>
    <n v="2.1369076530000002"/>
  </r>
  <r>
    <x v="0"/>
    <x v="1"/>
    <x v="15"/>
    <x v="2"/>
    <x v="0"/>
    <x v="1"/>
    <n v="0.331549765"/>
  </r>
  <r>
    <x v="0"/>
    <x v="1"/>
    <x v="16"/>
    <x v="2"/>
    <x v="0"/>
    <x v="1"/>
    <n v="0.31599437400000002"/>
  </r>
  <r>
    <x v="0"/>
    <x v="1"/>
    <x v="12"/>
    <x v="3"/>
    <x v="0"/>
    <x v="0"/>
    <n v="175.98846157700001"/>
  </r>
  <r>
    <x v="0"/>
    <x v="1"/>
    <x v="13"/>
    <x v="3"/>
    <x v="0"/>
    <x v="0"/>
    <n v="92.056282589999995"/>
  </r>
  <r>
    <x v="0"/>
    <x v="1"/>
    <x v="14"/>
    <x v="3"/>
    <x v="0"/>
    <x v="0"/>
    <n v="0.39219827800000001"/>
  </r>
  <r>
    <x v="0"/>
    <x v="1"/>
    <x v="15"/>
    <x v="3"/>
    <x v="0"/>
    <x v="1"/>
    <n v="0.370822082"/>
  </r>
  <r>
    <x v="0"/>
    <x v="1"/>
    <x v="16"/>
    <x v="3"/>
    <x v="0"/>
    <x v="1"/>
    <n v="0.37114739000000002"/>
  </r>
  <r>
    <x v="0"/>
    <x v="1"/>
    <x v="12"/>
    <x v="4"/>
    <x v="0"/>
    <x v="0"/>
    <n v="74.282542832000004"/>
  </r>
  <r>
    <x v="0"/>
    <x v="1"/>
    <x v="13"/>
    <x v="4"/>
    <x v="0"/>
    <x v="0"/>
    <n v="6.7933326599999999"/>
  </r>
  <r>
    <x v="0"/>
    <x v="1"/>
    <x v="14"/>
    <x v="4"/>
    <x v="0"/>
    <x v="0"/>
    <n v="0.65233037199999999"/>
  </r>
  <r>
    <x v="0"/>
    <x v="1"/>
    <x v="15"/>
    <x v="4"/>
    <x v="0"/>
    <x v="1"/>
    <n v="0.41435666300000001"/>
  </r>
  <r>
    <x v="0"/>
    <x v="1"/>
    <x v="16"/>
    <x v="4"/>
    <x v="0"/>
    <x v="1"/>
    <n v="0.41671875000000003"/>
  </r>
  <r>
    <x v="0"/>
    <x v="1"/>
    <x v="12"/>
    <x v="5"/>
    <x v="0"/>
    <x v="0"/>
    <n v="619.575968612"/>
  </r>
  <r>
    <x v="0"/>
    <x v="1"/>
    <x v="13"/>
    <x v="5"/>
    <x v="0"/>
    <x v="0"/>
    <n v="120.929644694"/>
  </r>
  <r>
    <x v="0"/>
    <x v="1"/>
    <x v="14"/>
    <x v="5"/>
    <x v="0"/>
    <x v="0"/>
    <n v="6.8060348060000004"/>
  </r>
  <r>
    <x v="0"/>
    <x v="1"/>
    <x v="15"/>
    <x v="5"/>
    <x v="0"/>
    <x v="1"/>
    <n v="0.56960348699999996"/>
  </r>
  <r>
    <x v="0"/>
    <x v="1"/>
    <x v="16"/>
    <x v="5"/>
    <x v="0"/>
    <x v="1"/>
    <n v="0.583823965"/>
  </r>
  <r>
    <x v="0"/>
    <x v="1"/>
    <x v="12"/>
    <x v="6"/>
    <x v="0"/>
    <x v="0"/>
    <n v="202.88426734199999"/>
  </r>
  <r>
    <x v="0"/>
    <x v="1"/>
    <x v="13"/>
    <x v="6"/>
    <x v="0"/>
    <x v="0"/>
    <n v="19.892359895999999"/>
  </r>
  <r>
    <x v="0"/>
    <x v="1"/>
    <x v="14"/>
    <x v="6"/>
    <x v="0"/>
    <x v="0"/>
    <n v="12.868379940000001"/>
  </r>
  <r>
    <x v="0"/>
    <x v="1"/>
    <x v="15"/>
    <x v="6"/>
    <x v="0"/>
    <x v="1"/>
    <n v="0.51554143299999999"/>
  </r>
  <r>
    <x v="0"/>
    <x v="1"/>
    <x v="16"/>
    <x v="6"/>
    <x v="0"/>
    <x v="1"/>
    <n v="0.52120085900000002"/>
  </r>
  <r>
    <x v="0"/>
    <x v="1"/>
    <x v="12"/>
    <x v="7"/>
    <x v="0"/>
    <x v="0"/>
    <n v="112.582466768"/>
  </r>
  <r>
    <x v="0"/>
    <x v="1"/>
    <x v="13"/>
    <x v="7"/>
    <x v="0"/>
    <x v="0"/>
    <n v="31.923785522999999"/>
  </r>
  <r>
    <x v="0"/>
    <x v="1"/>
    <x v="14"/>
    <x v="7"/>
    <x v="0"/>
    <x v="0"/>
    <n v="26.845661218"/>
  </r>
  <r>
    <x v="0"/>
    <x v="1"/>
    <x v="15"/>
    <x v="7"/>
    <x v="0"/>
    <x v="1"/>
    <n v="0.53516646199999995"/>
  </r>
  <r>
    <x v="0"/>
    <x v="1"/>
    <x v="16"/>
    <x v="7"/>
    <x v="0"/>
    <x v="1"/>
    <n v="0.55299457299999999"/>
  </r>
  <r>
    <x v="0"/>
    <x v="1"/>
    <x v="12"/>
    <x v="8"/>
    <x v="0"/>
    <x v="0"/>
    <n v="99.993208558000006"/>
  </r>
  <r>
    <x v="0"/>
    <x v="1"/>
    <x v="13"/>
    <x v="8"/>
    <x v="0"/>
    <x v="0"/>
    <n v="9.9544300260000007"/>
  </r>
  <r>
    <x v="0"/>
    <x v="1"/>
    <x v="14"/>
    <x v="8"/>
    <x v="0"/>
    <x v="0"/>
    <n v="10.528754216999999"/>
  </r>
  <r>
    <x v="0"/>
    <x v="1"/>
    <x v="15"/>
    <x v="8"/>
    <x v="0"/>
    <x v="1"/>
    <n v="0.484897674"/>
  </r>
  <r>
    <x v="0"/>
    <x v="1"/>
    <x v="16"/>
    <x v="8"/>
    <x v="0"/>
    <x v="1"/>
    <n v="0.48982820100000002"/>
  </r>
  <r>
    <x v="0"/>
    <x v="1"/>
    <x v="12"/>
    <x v="9"/>
    <x v="0"/>
    <x v="0"/>
    <n v="232.00835670399999"/>
  </r>
  <r>
    <x v="0"/>
    <x v="1"/>
    <x v="13"/>
    <x v="9"/>
    <x v="0"/>
    <x v="0"/>
    <n v="32.477496289999998"/>
  </r>
  <r>
    <x v="0"/>
    <x v="1"/>
    <x v="14"/>
    <x v="9"/>
    <x v="0"/>
    <x v="0"/>
    <n v="22.463658862999999"/>
  </r>
  <r>
    <x v="0"/>
    <x v="1"/>
    <x v="15"/>
    <x v="9"/>
    <x v="0"/>
    <x v="1"/>
    <n v="0.43973792499999997"/>
  </r>
  <r>
    <x v="0"/>
    <x v="1"/>
    <x v="16"/>
    <x v="9"/>
    <x v="0"/>
    <x v="1"/>
    <n v="0.44444889500000001"/>
  </r>
  <r>
    <x v="0"/>
    <x v="1"/>
    <x v="12"/>
    <x v="10"/>
    <x v="0"/>
    <x v="0"/>
    <n v="389.13290172000001"/>
  </r>
  <r>
    <x v="0"/>
    <x v="1"/>
    <x v="13"/>
    <x v="10"/>
    <x v="0"/>
    <x v="0"/>
    <n v="40.536956033000003"/>
  </r>
  <r>
    <x v="0"/>
    <x v="1"/>
    <x v="14"/>
    <x v="10"/>
    <x v="0"/>
    <x v="0"/>
    <n v="7.1062921079999999"/>
  </r>
  <r>
    <x v="0"/>
    <x v="1"/>
    <x v="15"/>
    <x v="10"/>
    <x v="0"/>
    <x v="1"/>
    <n v="0.34917695500000001"/>
  </r>
  <r>
    <x v="0"/>
    <x v="1"/>
    <x v="16"/>
    <x v="10"/>
    <x v="0"/>
    <x v="1"/>
    <n v="0.34786750500000002"/>
  </r>
  <r>
    <x v="0"/>
    <x v="1"/>
    <x v="12"/>
    <x v="11"/>
    <x v="0"/>
    <x v="0"/>
    <n v="1004.2338841230001"/>
  </r>
  <r>
    <x v="0"/>
    <x v="1"/>
    <x v="13"/>
    <x v="11"/>
    <x v="0"/>
    <x v="0"/>
    <n v="190.121832189"/>
  </r>
  <r>
    <x v="0"/>
    <x v="1"/>
    <x v="14"/>
    <x v="11"/>
    <x v="0"/>
    <x v="0"/>
    <n v="46.648505004"/>
  </r>
  <r>
    <x v="0"/>
    <x v="1"/>
    <x v="15"/>
    <x v="11"/>
    <x v="0"/>
    <x v="1"/>
    <n v="0.390307507"/>
  </r>
  <r>
    <x v="0"/>
    <x v="1"/>
    <x v="16"/>
    <x v="11"/>
    <x v="0"/>
    <x v="1"/>
    <n v="0.39240136599999997"/>
  </r>
  <r>
    <x v="0"/>
    <x v="1"/>
    <x v="12"/>
    <x v="12"/>
    <x v="0"/>
    <x v="0"/>
    <n v="300.99500676899999"/>
  </r>
  <r>
    <x v="0"/>
    <x v="1"/>
    <x v="13"/>
    <x v="12"/>
    <x v="0"/>
    <x v="0"/>
    <n v="8.0952663099999995"/>
  </r>
  <r>
    <x v="0"/>
    <x v="1"/>
    <x v="14"/>
    <x v="12"/>
    <x v="0"/>
    <x v="0"/>
    <n v="11.175394175999999"/>
  </r>
  <r>
    <x v="0"/>
    <x v="1"/>
    <x v="15"/>
    <x v="12"/>
    <x v="0"/>
    <x v="1"/>
    <n v="0.391079711"/>
  </r>
  <r>
    <x v="0"/>
    <x v="1"/>
    <x v="16"/>
    <x v="12"/>
    <x v="0"/>
    <x v="1"/>
    <n v="0.39138879999999998"/>
  </r>
  <r>
    <x v="0"/>
    <x v="1"/>
    <x v="12"/>
    <x v="13"/>
    <x v="0"/>
    <x v="0"/>
    <n v="849.65598530499994"/>
  </r>
  <r>
    <x v="0"/>
    <x v="1"/>
    <x v="13"/>
    <x v="13"/>
    <x v="0"/>
    <x v="0"/>
    <n v="88.669323718000001"/>
  </r>
  <r>
    <x v="0"/>
    <x v="1"/>
    <x v="14"/>
    <x v="13"/>
    <x v="0"/>
    <x v="0"/>
    <n v="26.014690259000002"/>
  </r>
  <r>
    <x v="0"/>
    <x v="1"/>
    <x v="15"/>
    <x v="13"/>
    <x v="0"/>
    <x v="1"/>
    <n v="0.335165622"/>
  </r>
  <r>
    <x v="0"/>
    <x v="1"/>
    <x v="16"/>
    <x v="13"/>
    <x v="0"/>
    <x v="1"/>
    <n v="0.33286937599999999"/>
  </r>
  <r>
    <x v="0"/>
    <x v="1"/>
    <x v="12"/>
    <x v="14"/>
    <x v="0"/>
    <x v="0"/>
    <n v="208.27128028300001"/>
  </r>
  <r>
    <x v="0"/>
    <x v="1"/>
    <x v="13"/>
    <x v="14"/>
    <x v="0"/>
    <x v="0"/>
    <n v="10.689849947000001"/>
  </r>
  <r>
    <x v="0"/>
    <x v="1"/>
    <x v="14"/>
    <x v="14"/>
    <x v="0"/>
    <x v="0"/>
    <n v="19.868509108000001"/>
  </r>
  <r>
    <x v="0"/>
    <x v="1"/>
    <x v="15"/>
    <x v="14"/>
    <x v="0"/>
    <x v="1"/>
    <n v="0.378709091"/>
  </r>
  <r>
    <x v="0"/>
    <x v="1"/>
    <x v="16"/>
    <x v="14"/>
    <x v="0"/>
    <x v="1"/>
    <n v="0.37895480999999998"/>
  </r>
  <r>
    <x v="0"/>
    <x v="1"/>
    <x v="12"/>
    <x v="15"/>
    <x v="0"/>
    <x v="0"/>
    <n v="231.054818025"/>
  </r>
  <r>
    <x v="0"/>
    <x v="1"/>
    <x v="13"/>
    <x v="15"/>
    <x v="0"/>
    <x v="0"/>
    <n v="72.936542337000006"/>
  </r>
  <r>
    <x v="0"/>
    <x v="1"/>
    <x v="14"/>
    <x v="15"/>
    <x v="0"/>
    <x v="0"/>
    <n v="29.348871085999999"/>
  </r>
  <r>
    <x v="0"/>
    <x v="1"/>
    <x v="15"/>
    <x v="15"/>
    <x v="0"/>
    <x v="1"/>
    <n v="0.40492405999999997"/>
  </r>
  <r>
    <x v="0"/>
    <x v="1"/>
    <x v="16"/>
    <x v="15"/>
    <x v="0"/>
    <x v="1"/>
    <n v="0.41075875499999998"/>
  </r>
  <r>
    <x v="0"/>
    <x v="1"/>
    <x v="12"/>
    <x v="16"/>
    <x v="0"/>
    <x v="0"/>
    <n v="146.657740115"/>
  </r>
  <r>
    <x v="0"/>
    <x v="1"/>
    <x v="13"/>
    <x v="16"/>
    <x v="0"/>
    <x v="0"/>
    <n v="61.937516342999999"/>
  </r>
  <r>
    <x v="0"/>
    <x v="1"/>
    <x v="14"/>
    <x v="16"/>
    <x v="0"/>
    <x v="0"/>
    <n v="13.864305651"/>
  </r>
  <r>
    <x v="0"/>
    <x v="1"/>
    <x v="15"/>
    <x v="16"/>
    <x v="0"/>
    <x v="1"/>
    <n v="0.42152838500000001"/>
  </r>
  <r>
    <x v="0"/>
    <x v="1"/>
    <x v="16"/>
    <x v="16"/>
    <x v="0"/>
    <x v="1"/>
    <n v="0.43249117799999998"/>
  </r>
  <r>
    <x v="0"/>
    <x v="1"/>
    <x v="12"/>
    <x v="17"/>
    <x v="0"/>
    <x v="0"/>
    <n v="347.19848898800001"/>
  </r>
  <r>
    <x v="0"/>
    <x v="1"/>
    <x v="13"/>
    <x v="17"/>
    <x v="0"/>
    <x v="0"/>
    <n v="99.974979747000006"/>
  </r>
  <r>
    <x v="0"/>
    <x v="1"/>
    <x v="14"/>
    <x v="17"/>
    <x v="0"/>
    <x v="0"/>
    <n v="22.559778229999999"/>
  </r>
  <r>
    <x v="0"/>
    <x v="1"/>
    <x v="15"/>
    <x v="17"/>
    <x v="0"/>
    <x v="1"/>
    <n v="0.422041369"/>
  </r>
  <r>
    <x v="0"/>
    <x v="1"/>
    <x v="16"/>
    <x v="17"/>
    <x v="0"/>
    <x v="1"/>
    <n v="0.42949458600000001"/>
  </r>
  <r>
    <x v="0"/>
    <x v="1"/>
    <x v="12"/>
    <x v="18"/>
    <x v="0"/>
    <x v="0"/>
    <n v="278.00045384100002"/>
  </r>
  <r>
    <x v="0"/>
    <x v="1"/>
    <x v="13"/>
    <x v="18"/>
    <x v="0"/>
    <x v="0"/>
    <n v="56.911698719999997"/>
  </r>
  <r>
    <x v="0"/>
    <x v="1"/>
    <x v="14"/>
    <x v="18"/>
    <x v="0"/>
    <x v="0"/>
    <n v="48.909984688999998"/>
  </r>
  <r>
    <x v="0"/>
    <x v="1"/>
    <x v="15"/>
    <x v="18"/>
    <x v="0"/>
    <x v="1"/>
    <n v="0.38594347099999998"/>
  </r>
  <r>
    <x v="0"/>
    <x v="1"/>
    <x v="16"/>
    <x v="18"/>
    <x v="0"/>
    <x v="1"/>
    <n v="0.38770440099999998"/>
  </r>
  <r>
    <x v="0"/>
    <x v="1"/>
    <x v="12"/>
    <x v="19"/>
    <x v="0"/>
    <x v="0"/>
    <n v="284.00158043499999"/>
  </r>
  <r>
    <x v="0"/>
    <x v="1"/>
    <x v="13"/>
    <x v="19"/>
    <x v="0"/>
    <x v="0"/>
    <n v="327.18857732499998"/>
  </r>
  <r>
    <x v="0"/>
    <x v="1"/>
    <x v="14"/>
    <x v="19"/>
    <x v="0"/>
    <x v="0"/>
    <n v="127.404622051"/>
  </r>
  <r>
    <x v="0"/>
    <x v="1"/>
    <x v="15"/>
    <x v="19"/>
    <x v="0"/>
    <x v="1"/>
    <n v="0.39953977000000002"/>
  </r>
  <r>
    <x v="0"/>
    <x v="1"/>
    <x v="16"/>
    <x v="19"/>
    <x v="0"/>
    <x v="1"/>
    <n v="0.41830693400000002"/>
  </r>
  <r>
    <x v="0"/>
    <x v="1"/>
    <x v="12"/>
    <x v="20"/>
    <x v="0"/>
    <x v="0"/>
    <n v="39.400098761999999"/>
  </r>
  <r>
    <x v="0"/>
    <x v="1"/>
    <x v="13"/>
    <x v="20"/>
    <x v="0"/>
    <x v="0"/>
    <n v="39.706175557999998"/>
  </r>
  <r>
    <x v="0"/>
    <x v="1"/>
    <x v="14"/>
    <x v="20"/>
    <x v="0"/>
    <x v="0"/>
    <n v="9.4951462939999995"/>
  </r>
  <r>
    <x v="0"/>
    <x v="1"/>
    <x v="15"/>
    <x v="20"/>
    <x v="0"/>
    <x v="1"/>
    <n v="0.38552433200000003"/>
  </r>
  <r>
    <x v="0"/>
    <x v="1"/>
    <x v="16"/>
    <x v="20"/>
    <x v="0"/>
    <x v="1"/>
    <n v="0.39526724800000002"/>
  </r>
  <r>
    <x v="0"/>
    <x v="1"/>
    <x v="12"/>
    <x v="21"/>
    <x v="0"/>
    <x v="0"/>
    <n v="17.731513035999999"/>
  </r>
  <r>
    <x v="0"/>
    <x v="1"/>
    <x v="13"/>
    <x v="21"/>
    <x v="0"/>
    <x v="0"/>
    <n v="0.85036999300000005"/>
  </r>
  <r>
    <x v="0"/>
    <x v="1"/>
    <x v="14"/>
    <x v="21"/>
    <x v="0"/>
    <x v="0"/>
    <n v="1.796924953"/>
  </r>
  <r>
    <x v="0"/>
    <x v="1"/>
    <x v="15"/>
    <x v="21"/>
    <x v="0"/>
    <x v="1"/>
    <n v="0.46008558999999999"/>
  </r>
  <r>
    <x v="0"/>
    <x v="1"/>
    <x v="16"/>
    <x v="21"/>
    <x v="0"/>
    <x v="1"/>
    <n v="0.46202765200000001"/>
  </r>
  <r>
    <x v="0"/>
    <x v="1"/>
    <x v="12"/>
    <x v="22"/>
    <x v="0"/>
    <x v="0"/>
    <n v="93.033622022000003"/>
  </r>
  <r>
    <x v="0"/>
    <x v="1"/>
    <x v="13"/>
    <x v="22"/>
    <x v="0"/>
    <x v="0"/>
    <n v="3.6935041420000001"/>
  </r>
  <r>
    <x v="0"/>
    <x v="1"/>
    <x v="14"/>
    <x v="22"/>
    <x v="0"/>
    <x v="0"/>
    <n v="2.3506904930000001"/>
  </r>
  <r>
    <x v="0"/>
    <x v="1"/>
    <x v="15"/>
    <x v="22"/>
    <x v="0"/>
    <x v="1"/>
    <n v="0.156267239"/>
  </r>
  <r>
    <x v="0"/>
    <x v="1"/>
    <x v="16"/>
    <x v="22"/>
    <x v="0"/>
    <x v="1"/>
    <n v="0.136164121"/>
  </r>
  <r>
    <x v="0"/>
    <x v="1"/>
    <x v="12"/>
    <x v="23"/>
    <x v="0"/>
    <x v="0"/>
    <n v="8.9542375209999996"/>
  </r>
  <r>
    <x v="0"/>
    <x v="1"/>
    <x v="13"/>
    <x v="23"/>
    <x v="0"/>
    <x v="0"/>
    <n v="0"/>
  </r>
  <r>
    <x v="0"/>
    <x v="1"/>
    <x v="14"/>
    <x v="23"/>
    <x v="0"/>
    <x v="0"/>
    <n v="0"/>
  </r>
  <r>
    <x v="0"/>
    <x v="1"/>
    <x v="15"/>
    <x v="23"/>
    <x v="0"/>
    <x v="1"/>
    <n v="0.442326196"/>
  </r>
  <r>
    <x v="0"/>
    <x v="1"/>
    <x v="16"/>
    <x v="23"/>
    <x v="0"/>
    <x v="1"/>
    <n v="0.442326196"/>
  </r>
  <r>
    <x v="0"/>
    <x v="1"/>
    <x v="12"/>
    <x v="24"/>
    <x v="0"/>
    <x v="0"/>
    <n v="488.20187052799997"/>
  </r>
  <r>
    <x v="0"/>
    <x v="1"/>
    <x v="13"/>
    <x v="24"/>
    <x v="0"/>
    <x v="0"/>
    <n v="0.32394784199999999"/>
  </r>
  <r>
    <x v="0"/>
    <x v="1"/>
    <x v="14"/>
    <x v="24"/>
    <x v="0"/>
    <x v="0"/>
    <n v="0.45357487299999999"/>
  </r>
  <r>
    <x v="0"/>
    <x v="1"/>
    <x v="15"/>
    <x v="24"/>
    <x v="0"/>
    <x v="1"/>
    <n v="0.35713078999999998"/>
  </r>
  <r>
    <x v="0"/>
    <x v="1"/>
    <x v="16"/>
    <x v="24"/>
    <x v="0"/>
    <x v="1"/>
    <n v="0.35712572199999998"/>
  </r>
  <r>
    <x v="0"/>
    <x v="1"/>
    <x v="12"/>
    <x v="25"/>
    <x v="0"/>
    <x v="0"/>
    <n v="31.343539910000001"/>
  </r>
  <r>
    <x v="0"/>
    <x v="1"/>
    <x v="13"/>
    <x v="25"/>
    <x v="0"/>
    <x v="0"/>
    <n v="2.7300000000000002E-7"/>
  </r>
  <r>
    <x v="0"/>
    <x v="1"/>
    <x v="14"/>
    <x v="25"/>
    <x v="0"/>
    <x v="0"/>
    <n v="0"/>
  </r>
  <r>
    <x v="0"/>
    <x v="1"/>
    <x v="15"/>
    <x v="25"/>
    <x v="0"/>
    <x v="1"/>
    <n v="0.34727893399999998"/>
  </r>
  <r>
    <x v="0"/>
    <x v="1"/>
    <x v="16"/>
    <x v="25"/>
    <x v="0"/>
    <x v="1"/>
    <n v="0.34727893399999998"/>
  </r>
  <r>
    <x v="0"/>
    <x v="1"/>
    <x v="12"/>
    <x v="26"/>
    <x v="0"/>
    <x v="0"/>
    <n v="15.622001778"/>
  </r>
  <r>
    <x v="0"/>
    <x v="1"/>
    <x v="13"/>
    <x v="26"/>
    <x v="0"/>
    <x v="0"/>
    <n v="0"/>
  </r>
  <r>
    <x v="0"/>
    <x v="1"/>
    <x v="14"/>
    <x v="26"/>
    <x v="0"/>
    <x v="0"/>
    <n v="0"/>
  </r>
  <r>
    <x v="0"/>
    <x v="1"/>
    <x v="15"/>
    <x v="26"/>
    <x v="0"/>
    <x v="1"/>
    <n v="0.44084032400000001"/>
  </r>
  <r>
    <x v="0"/>
    <x v="1"/>
    <x v="16"/>
    <x v="26"/>
    <x v="0"/>
    <x v="1"/>
    <n v="0.44084032400000001"/>
  </r>
  <r>
    <x v="0"/>
    <x v="1"/>
    <x v="12"/>
    <x v="27"/>
    <x v="0"/>
    <x v="0"/>
    <n v="598.675077891"/>
  </r>
  <r>
    <x v="0"/>
    <x v="1"/>
    <x v="13"/>
    <x v="27"/>
    <x v="0"/>
    <x v="0"/>
    <n v="5.0635156930000003"/>
  </r>
  <r>
    <x v="0"/>
    <x v="1"/>
    <x v="14"/>
    <x v="27"/>
    <x v="0"/>
    <x v="0"/>
    <n v="2.3319005769999999"/>
  </r>
  <r>
    <x v="0"/>
    <x v="1"/>
    <x v="15"/>
    <x v="27"/>
    <x v="0"/>
    <x v="1"/>
    <n v="0.49555259200000001"/>
  </r>
  <r>
    <x v="0"/>
    <x v="1"/>
    <x v="16"/>
    <x v="27"/>
    <x v="0"/>
    <x v="1"/>
    <n v="0.49600967899999998"/>
  </r>
  <r>
    <x v="0"/>
    <x v="1"/>
    <x v="12"/>
    <x v="28"/>
    <x v="0"/>
    <x v="0"/>
    <n v="679.61517837199995"/>
  </r>
  <r>
    <x v="0"/>
    <x v="1"/>
    <x v="13"/>
    <x v="28"/>
    <x v="0"/>
    <x v="0"/>
    <n v="0"/>
  </r>
  <r>
    <x v="0"/>
    <x v="1"/>
    <x v="14"/>
    <x v="28"/>
    <x v="0"/>
    <x v="0"/>
    <n v="84.979408179000004"/>
  </r>
  <r>
    <x v="0"/>
    <x v="1"/>
    <x v="15"/>
    <x v="28"/>
    <x v="0"/>
    <x v="1"/>
    <n v="0.36884465999999999"/>
  </r>
  <r>
    <x v="0"/>
    <x v="1"/>
    <x v="16"/>
    <x v="28"/>
    <x v="0"/>
    <x v="1"/>
    <n v="0.36884465999999999"/>
  </r>
  <r>
    <x v="0"/>
    <x v="1"/>
    <x v="12"/>
    <x v="29"/>
    <x v="0"/>
    <x v="0"/>
    <n v="553.22948444500003"/>
  </r>
  <r>
    <x v="0"/>
    <x v="1"/>
    <x v="13"/>
    <x v="29"/>
    <x v="0"/>
    <x v="0"/>
    <n v="53.528755072000003"/>
  </r>
  <r>
    <x v="0"/>
    <x v="1"/>
    <x v="14"/>
    <x v="29"/>
    <x v="0"/>
    <x v="0"/>
    <n v="28.603167195000001"/>
  </r>
  <r>
    <x v="0"/>
    <x v="1"/>
    <x v="15"/>
    <x v="29"/>
    <x v="0"/>
    <x v="1"/>
    <n v="0.40282390299999998"/>
  </r>
  <r>
    <x v="0"/>
    <x v="1"/>
    <x v="16"/>
    <x v="29"/>
    <x v="0"/>
    <x v="1"/>
    <n v="0.40464228499999999"/>
  </r>
  <r>
    <x v="0"/>
    <x v="1"/>
    <x v="12"/>
    <x v="30"/>
    <x v="0"/>
    <x v="0"/>
    <n v="164.99853108400001"/>
  </r>
  <r>
    <x v="0"/>
    <x v="1"/>
    <x v="13"/>
    <x v="30"/>
    <x v="0"/>
    <x v="0"/>
    <n v="36.099047190999997"/>
  </r>
  <r>
    <x v="0"/>
    <x v="1"/>
    <x v="14"/>
    <x v="30"/>
    <x v="0"/>
    <x v="0"/>
    <n v="1.385531828"/>
  </r>
  <r>
    <x v="0"/>
    <x v="1"/>
    <x v="15"/>
    <x v="30"/>
    <x v="0"/>
    <x v="1"/>
    <n v="0.58482709300000002"/>
  </r>
  <r>
    <x v="0"/>
    <x v="1"/>
    <x v="16"/>
    <x v="30"/>
    <x v="0"/>
    <x v="1"/>
    <n v="0.60326601099999999"/>
  </r>
  <r>
    <x v="0"/>
    <x v="1"/>
    <x v="12"/>
    <x v="31"/>
    <x v="0"/>
    <x v="0"/>
    <n v="232.121136146"/>
  </r>
  <r>
    <x v="0"/>
    <x v="1"/>
    <x v="13"/>
    <x v="31"/>
    <x v="0"/>
    <x v="0"/>
    <n v="9.3198348519999996"/>
  </r>
  <r>
    <x v="0"/>
    <x v="1"/>
    <x v="14"/>
    <x v="31"/>
    <x v="0"/>
    <x v="0"/>
    <n v="7.8165548920000001"/>
  </r>
  <r>
    <x v="0"/>
    <x v="1"/>
    <x v="15"/>
    <x v="31"/>
    <x v="0"/>
    <x v="1"/>
    <n v="0.336742979"/>
  </r>
  <r>
    <x v="0"/>
    <x v="1"/>
    <x v="16"/>
    <x v="31"/>
    <x v="0"/>
    <x v="1"/>
    <n v="0.33577234299999997"/>
  </r>
  <r>
    <x v="0"/>
    <x v="1"/>
    <x v="12"/>
    <x v="32"/>
    <x v="0"/>
    <x v="0"/>
    <n v="764.70622152600004"/>
  </r>
  <r>
    <x v="0"/>
    <x v="1"/>
    <x v="13"/>
    <x v="32"/>
    <x v="0"/>
    <x v="0"/>
    <n v="5.1465580009999998"/>
  </r>
  <r>
    <x v="0"/>
    <x v="1"/>
    <x v="14"/>
    <x v="32"/>
    <x v="0"/>
    <x v="0"/>
    <n v="3.4815167969999998"/>
  </r>
  <r>
    <x v="0"/>
    <x v="1"/>
    <x v="15"/>
    <x v="32"/>
    <x v="0"/>
    <x v="1"/>
    <n v="0.336869539"/>
  </r>
  <r>
    <x v="0"/>
    <x v="1"/>
    <x v="16"/>
    <x v="32"/>
    <x v="0"/>
    <x v="1"/>
    <n v="0.336694779"/>
  </r>
  <r>
    <x v="0"/>
    <x v="1"/>
    <x v="12"/>
    <x v="33"/>
    <x v="0"/>
    <x v="0"/>
    <n v="702.16051710399995"/>
  </r>
  <r>
    <x v="0"/>
    <x v="1"/>
    <x v="13"/>
    <x v="33"/>
    <x v="0"/>
    <x v="0"/>
    <n v="0"/>
  </r>
  <r>
    <x v="0"/>
    <x v="1"/>
    <x v="14"/>
    <x v="33"/>
    <x v="0"/>
    <x v="0"/>
    <n v="0"/>
  </r>
  <r>
    <x v="0"/>
    <x v="1"/>
    <x v="15"/>
    <x v="33"/>
    <x v="0"/>
    <x v="1"/>
    <n v="0.24700704500000001"/>
  </r>
  <r>
    <x v="0"/>
    <x v="1"/>
    <x v="16"/>
    <x v="33"/>
    <x v="0"/>
    <x v="1"/>
    <n v="0.24700704500000001"/>
  </r>
  <r>
    <x v="0"/>
    <x v="1"/>
    <x v="12"/>
    <x v="34"/>
    <x v="0"/>
    <x v="0"/>
    <n v="344.3577439"/>
  </r>
  <r>
    <x v="0"/>
    <x v="1"/>
    <x v="13"/>
    <x v="34"/>
    <x v="0"/>
    <x v="0"/>
    <n v="58.050117041999997"/>
  </r>
  <r>
    <x v="0"/>
    <x v="1"/>
    <x v="14"/>
    <x v="34"/>
    <x v="0"/>
    <x v="0"/>
    <n v="19.073433386000001"/>
  </r>
  <r>
    <x v="0"/>
    <x v="1"/>
    <x v="15"/>
    <x v="34"/>
    <x v="0"/>
    <x v="1"/>
    <n v="0.42626811599999997"/>
  </r>
  <r>
    <x v="0"/>
    <x v="1"/>
    <x v="16"/>
    <x v="34"/>
    <x v="0"/>
    <x v="1"/>
    <n v="0.43128310199999997"/>
  </r>
  <r>
    <x v="0"/>
    <x v="1"/>
    <x v="12"/>
    <x v="35"/>
    <x v="0"/>
    <x v="0"/>
    <n v="204.624338964"/>
  </r>
  <r>
    <x v="0"/>
    <x v="1"/>
    <x v="13"/>
    <x v="35"/>
    <x v="0"/>
    <x v="0"/>
    <n v="4.2721549760000004"/>
  </r>
  <r>
    <x v="0"/>
    <x v="1"/>
    <x v="14"/>
    <x v="35"/>
    <x v="0"/>
    <x v="0"/>
    <n v="0.106238787"/>
  </r>
  <r>
    <x v="0"/>
    <x v="1"/>
    <x v="15"/>
    <x v="35"/>
    <x v="0"/>
    <x v="1"/>
    <n v="0.44800103200000002"/>
  </r>
  <r>
    <x v="0"/>
    <x v="1"/>
    <x v="16"/>
    <x v="35"/>
    <x v="0"/>
    <x v="1"/>
    <n v="0.44882675500000002"/>
  </r>
  <r>
    <x v="0"/>
    <x v="1"/>
    <x v="12"/>
    <x v="36"/>
    <x v="0"/>
    <x v="0"/>
    <n v="48.076760958000001"/>
  </r>
  <r>
    <x v="0"/>
    <x v="1"/>
    <x v="13"/>
    <x v="36"/>
    <x v="0"/>
    <x v="0"/>
    <n v="6.5627593759999998"/>
  </r>
  <r>
    <x v="0"/>
    <x v="1"/>
    <x v="14"/>
    <x v="36"/>
    <x v="0"/>
    <x v="0"/>
    <n v="0.39550333799999998"/>
  </r>
  <r>
    <x v="0"/>
    <x v="1"/>
    <x v="15"/>
    <x v="36"/>
    <x v="0"/>
    <x v="1"/>
    <n v="0.50257092599999997"/>
  </r>
  <r>
    <x v="0"/>
    <x v="1"/>
    <x v="16"/>
    <x v="36"/>
    <x v="0"/>
    <x v="1"/>
    <n v="0.51094434499999997"/>
  </r>
  <r>
    <x v="0"/>
    <x v="1"/>
    <x v="12"/>
    <x v="37"/>
    <x v="0"/>
    <x v="0"/>
    <n v="124.774204162"/>
  </r>
  <r>
    <x v="0"/>
    <x v="1"/>
    <x v="13"/>
    <x v="37"/>
    <x v="0"/>
    <x v="0"/>
    <n v="3.4158742499999999"/>
  </r>
  <r>
    <x v="0"/>
    <x v="1"/>
    <x v="14"/>
    <x v="37"/>
    <x v="0"/>
    <x v="0"/>
    <n v="0.37455541799999997"/>
  </r>
  <r>
    <x v="0"/>
    <x v="1"/>
    <x v="15"/>
    <x v="37"/>
    <x v="0"/>
    <x v="1"/>
    <n v="0.53865196699999995"/>
  </r>
  <r>
    <x v="0"/>
    <x v="1"/>
    <x v="16"/>
    <x v="37"/>
    <x v="0"/>
    <x v="1"/>
    <n v="0.54079083699999997"/>
  </r>
  <r>
    <x v="0"/>
    <x v="1"/>
    <x v="12"/>
    <x v="38"/>
    <x v="0"/>
    <x v="0"/>
    <n v="151.55155776699999"/>
  </r>
  <r>
    <x v="0"/>
    <x v="1"/>
    <x v="13"/>
    <x v="38"/>
    <x v="0"/>
    <x v="0"/>
    <n v="5.6468959720000003"/>
  </r>
  <r>
    <x v="0"/>
    <x v="1"/>
    <x v="14"/>
    <x v="38"/>
    <x v="0"/>
    <x v="0"/>
    <n v="9.3349714E-2"/>
  </r>
  <r>
    <x v="0"/>
    <x v="1"/>
    <x v="15"/>
    <x v="38"/>
    <x v="0"/>
    <x v="1"/>
    <n v="0.74714842400000003"/>
  </r>
  <r>
    <x v="0"/>
    <x v="1"/>
    <x v="16"/>
    <x v="38"/>
    <x v="0"/>
    <x v="1"/>
    <n v="0.75261264699999997"/>
  </r>
  <r>
    <x v="0"/>
    <x v="1"/>
    <x v="12"/>
    <x v="39"/>
    <x v="0"/>
    <x v="0"/>
    <n v="101.77474315000001"/>
  </r>
  <r>
    <x v="0"/>
    <x v="1"/>
    <x v="13"/>
    <x v="39"/>
    <x v="0"/>
    <x v="0"/>
    <n v="2.9731922160000002"/>
  </r>
  <r>
    <x v="0"/>
    <x v="1"/>
    <x v="14"/>
    <x v="39"/>
    <x v="0"/>
    <x v="0"/>
    <n v="9.7401429999999997E-2"/>
  </r>
  <r>
    <x v="0"/>
    <x v="1"/>
    <x v="15"/>
    <x v="39"/>
    <x v="0"/>
    <x v="1"/>
    <n v="0.62636038299999997"/>
  </r>
  <r>
    <x v="0"/>
    <x v="1"/>
    <x v="16"/>
    <x v="39"/>
    <x v="0"/>
    <x v="1"/>
    <n v="0.62917370299999997"/>
  </r>
  <r>
    <x v="0"/>
    <x v="1"/>
    <x v="12"/>
    <x v="40"/>
    <x v="0"/>
    <x v="0"/>
    <n v="55.827342708000003"/>
  </r>
  <r>
    <x v="0"/>
    <x v="1"/>
    <x v="13"/>
    <x v="40"/>
    <x v="0"/>
    <x v="0"/>
    <n v="27.463840250000001"/>
  </r>
  <r>
    <x v="0"/>
    <x v="1"/>
    <x v="14"/>
    <x v="40"/>
    <x v="0"/>
    <x v="0"/>
    <n v="2.231464855"/>
  </r>
  <r>
    <x v="0"/>
    <x v="1"/>
    <x v="15"/>
    <x v="40"/>
    <x v="0"/>
    <x v="1"/>
    <n v="0.46776334200000003"/>
  </r>
  <r>
    <x v="0"/>
    <x v="1"/>
    <x v="16"/>
    <x v="40"/>
    <x v="0"/>
    <x v="1"/>
    <n v="0.49315573200000001"/>
  </r>
  <r>
    <x v="0"/>
    <x v="1"/>
    <x v="12"/>
    <x v="41"/>
    <x v="0"/>
    <x v="0"/>
    <n v="278.968923356"/>
  </r>
  <r>
    <x v="0"/>
    <x v="1"/>
    <x v="13"/>
    <x v="41"/>
    <x v="0"/>
    <x v="0"/>
    <n v="3.9940336790000002"/>
  </r>
  <r>
    <x v="0"/>
    <x v="1"/>
    <x v="14"/>
    <x v="41"/>
    <x v="0"/>
    <x v="0"/>
    <n v="0.14735901200000001"/>
  </r>
  <r>
    <x v="0"/>
    <x v="1"/>
    <x v="15"/>
    <x v="41"/>
    <x v="0"/>
    <x v="1"/>
    <n v="0.72494049299999996"/>
  </r>
  <r>
    <x v="0"/>
    <x v="1"/>
    <x v="16"/>
    <x v="41"/>
    <x v="0"/>
    <x v="1"/>
    <n v="0.72678624700000005"/>
  </r>
  <r>
    <x v="0"/>
    <x v="1"/>
    <x v="17"/>
    <x v="0"/>
    <x v="46"/>
    <x v="1"/>
    <n v="610.76883377499996"/>
  </r>
  <r>
    <x v="0"/>
    <x v="1"/>
    <x v="17"/>
    <x v="0"/>
    <x v="47"/>
    <x v="1"/>
    <n v="610.76883377499996"/>
  </r>
  <r>
    <x v="0"/>
    <x v="1"/>
    <x v="17"/>
    <x v="0"/>
    <x v="48"/>
    <x v="1"/>
    <n v="610.76883377499996"/>
  </r>
  <r>
    <x v="0"/>
    <x v="1"/>
    <x v="17"/>
    <x v="0"/>
    <x v="49"/>
    <x v="1"/>
    <n v="0"/>
  </r>
  <r>
    <x v="0"/>
    <x v="1"/>
    <x v="17"/>
    <x v="0"/>
    <x v="50"/>
    <x v="1"/>
    <n v="0"/>
  </r>
  <r>
    <x v="0"/>
    <x v="1"/>
    <x v="17"/>
    <x v="0"/>
    <x v="51"/>
    <x v="1"/>
    <n v="0"/>
  </r>
  <r>
    <x v="0"/>
    <x v="1"/>
    <x v="17"/>
    <x v="0"/>
    <x v="52"/>
    <x v="1"/>
    <n v="0"/>
  </r>
  <r>
    <x v="0"/>
    <x v="1"/>
    <x v="17"/>
    <x v="0"/>
    <x v="53"/>
    <x v="1"/>
    <n v="0"/>
  </r>
  <r>
    <x v="0"/>
    <x v="1"/>
    <x v="17"/>
    <x v="0"/>
    <x v="54"/>
    <x v="1"/>
    <n v="0"/>
  </r>
  <r>
    <x v="0"/>
    <x v="1"/>
    <x v="17"/>
    <x v="0"/>
    <x v="55"/>
    <x v="1"/>
    <n v="0"/>
  </r>
  <r>
    <x v="0"/>
    <x v="1"/>
    <x v="17"/>
    <x v="1"/>
    <x v="46"/>
    <x v="1"/>
    <n v="128.88669202099999"/>
  </r>
  <r>
    <x v="0"/>
    <x v="1"/>
    <x v="17"/>
    <x v="1"/>
    <x v="47"/>
    <x v="1"/>
    <n v="128.88669202099999"/>
  </r>
  <r>
    <x v="0"/>
    <x v="1"/>
    <x v="17"/>
    <x v="1"/>
    <x v="48"/>
    <x v="1"/>
    <n v="128.88669202099999"/>
  </r>
  <r>
    <x v="0"/>
    <x v="1"/>
    <x v="17"/>
    <x v="1"/>
    <x v="49"/>
    <x v="1"/>
    <n v="0"/>
  </r>
  <r>
    <x v="0"/>
    <x v="1"/>
    <x v="17"/>
    <x v="1"/>
    <x v="50"/>
    <x v="1"/>
    <n v="0"/>
  </r>
  <r>
    <x v="0"/>
    <x v="1"/>
    <x v="17"/>
    <x v="1"/>
    <x v="51"/>
    <x v="1"/>
    <n v="0"/>
  </r>
  <r>
    <x v="0"/>
    <x v="1"/>
    <x v="17"/>
    <x v="1"/>
    <x v="52"/>
    <x v="1"/>
    <n v="0"/>
  </r>
  <r>
    <x v="0"/>
    <x v="1"/>
    <x v="17"/>
    <x v="1"/>
    <x v="53"/>
    <x v="1"/>
    <n v="0"/>
  </r>
  <r>
    <x v="0"/>
    <x v="1"/>
    <x v="17"/>
    <x v="1"/>
    <x v="54"/>
    <x v="1"/>
    <n v="0"/>
  </r>
  <r>
    <x v="0"/>
    <x v="1"/>
    <x v="17"/>
    <x v="1"/>
    <x v="55"/>
    <x v="1"/>
    <n v="0"/>
  </r>
  <r>
    <x v="0"/>
    <x v="1"/>
    <x v="17"/>
    <x v="2"/>
    <x v="46"/>
    <x v="1"/>
    <n v="102.001191101"/>
  </r>
  <r>
    <x v="0"/>
    <x v="1"/>
    <x v="17"/>
    <x v="2"/>
    <x v="47"/>
    <x v="1"/>
    <n v="102.001191101"/>
  </r>
  <r>
    <x v="0"/>
    <x v="1"/>
    <x v="17"/>
    <x v="2"/>
    <x v="48"/>
    <x v="1"/>
    <n v="102.001191101"/>
  </r>
  <r>
    <x v="0"/>
    <x v="1"/>
    <x v="17"/>
    <x v="2"/>
    <x v="49"/>
    <x v="1"/>
    <n v="0"/>
  </r>
  <r>
    <x v="0"/>
    <x v="1"/>
    <x v="17"/>
    <x v="2"/>
    <x v="50"/>
    <x v="1"/>
    <n v="0"/>
  </r>
  <r>
    <x v="0"/>
    <x v="1"/>
    <x v="17"/>
    <x v="2"/>
    <x v="51"/>
    <x v="1"/>
    <n v="0"/>
  </r>
  <r>
    <x v="0"/>
    <x v="1"/>
    <x v="17"/>
    <x v="2"/>
    <x v="52"/>
    <x v="1"/>
    <n v="0"/>
  </r>
  <r>
    <x v="0"/>
    <x v="1"/>
    <x v="17"/>
    <x v="2"/>
    <x v="53"/>
    <x v="1"/>
    <n v="0"/>
  </r>
  <r>
    <x v="0"/>
    <x v="1"/>
    <x v="17"/>
    <x v="2"/>
    <x v="54"/>
    <x v="1"/>
    <n v="0"/>
  </r>
  <r>
    <x v="0"/>
    <x v="1"/>
    <x v="17"/>
    <x v="2"/>
    <x v="55"/>
    <x v="1"/>
    <n v="0"/>
  </r>
  <r>
    <x v="0"/>
    <x v="1"/>
    <x v="17"/>
    <x v="3"/>
    <x v="46"/>
    <x v="1"/>
    <n v="65.467795358999993"/>
  </r>
  <r>
    <x v="0"/>
    <x v="1"/>
    <x v="17"/>
    <x v="3"/>
    <x v="47"/>
    <x v="1"/>
    <n v="65.467795358999993"/>
  </r>
  <r>
    <x v="0"/>
    <x v="1"/>
    <x v="17"/>
    <x v="3"/>
    <x v="48"/>
    <x v="1"/>
    <n v="65.467795358999993"/>
  </r>
  <r>
    <x v="0"/>
    <x v="1"/>
    <x v="17"/>
    <x v="3"/>
    <x v="49"/>
    <x v="1"/>
    <n v="0"/>
  </r>
  <r>
    <x v="0"/>
    <x v="1"/>
    <x v="17"/>
    <x v="3"/>
    <x v="50"/>
    <x v="1"/>
    <n v="0"/>
  </r>
  <r>
    <x v="0"/>
    <x v="1"/>
    <x v="17"/>
    <x v="3"/>
    <x v="51"/>
    <x v="1"/>
    <n v="0"/>
  </r>
  <r>
    <x v="0"/>
    <x v="1"/>
    <x v="17"/>
    <x v="3"/>
    <x v="52"/>
    <x v="1"/>
    <n v="0"/>
  </r>
  <r>
    <x v="0"/>
    <x v="1"/>
    <x v="17"/>
    <x v="3"/>
    <x v="53"/>
    <x v="1"/>
    <n v="0"/>
  </r>
  <r>
    <x v="0"/>
    <x v="1"/>
    <x v="17"/>
    <x v="3"/>
    <x v="54"/>
    <x v="1"/>
    <n v="0"/>
  </r>
  <r>
    <x v="0"/>
    <x v="1"/>
    <x v="17"/>
    <x v="3"/>
    <x v="55"/>
    <x v="1"/>
    <n v="0"/>
  </r>
  <r>
    <x v="0"/>
    <x v="1"/>
    <x v="17"/>
    <x v="4"/>
    <x v="46"/>
    <x v="1"/>
    <n v="31.217568752999998"/>
  </r>
  <r>
    <x v="0"/>
    <x v="1"/>
    <x v="17"/>
    <x v="4"/>
    <x v="47"/>
    <x v="1"/>
    <n v="31.217568752999998"/>
  </r>
  <r>
    <x v="0"/>
    <x v="1"/>
    <x v="17"/>
    <x v="4"/>
    <x v="48"/>
    <x v="1"/>
    <n v="31.217568752999998"/>
  </r>
  <r>
    <x v="0"/>
    <x v="1"/>
    <x v="17"/>
    <x v="4"/>
    <x v="49"/>
    <x v="1"/>
    <n v="0"/>
  </r>
  <r>
    <x v="0"/>
    <x v="1"/>
    <x v="17"/>
    <x v="4"/>
    <x v="50"/>
    <x v="1"/>
    <n v="0"/>
  </r>
  <r>
    <x v="0"/>
    <x v="1"/>
    <x v="17"/>
    <x v="4"/>
    <x v="51"/>
    <x v="1"/>
    <n v="0"/>
  </r>
  <r>
    <x v="0"/>
    <x v="1"/>
    <x v="17"/>
    <x v="4"/>
    <x v="52"/>
    <x v="1"/>
    <n v="0"/>
  </r>
  <r>
    <x v="0"/>
    <x v="1"/>
    <x v="17"/>
    <x v="4"/>
    <x v="53"/>
    <x v="1"/>
    <n v="0"/>
  </r>
  <r>
    <x v="0"/>
    <x v="1"/>
    <x v="17"/>
    <x v="4"/>
    <x v="54"/>
    <x v="1"/>
    <n v="0"/>
  </r>
  <r>
    <x v="0"/>
    <x v="1"/>
    <x v="17"/>
    <x v="4"/>
    <x v="55"/>
    <x v="1"/>
    <n v="0"/>
  </r>
  <r>
    <x v="0"/>
    <x v="1"/>
    <x v="17"/>
    <x v="5"/>
    <x v="46"/>
    <x v="1"/>
    <n v="365.08097202900001"/>
  </r>
  <r>
    <x v="0"/>
    <x v="1"/>
    <x v="17"/>
    <x v="5"/>
    <x v="47"/>
    <x v="1"/>
    <n v="365.08097202900001"/>
  </r>
  <r>
    <x v="0"/>
    <x v="1"/>
    <x v="17"/>
    <x v="5"/>
    <x v="48"/>
    <x v="1"/>
    <n v="365.08097202900001"/>
  </r>
  <r>
    <x v="0"/>
    <x v="1"/>
    <x v="17"/>
    <x v="5"/>
    <x v="49"/>
    <x v="1"/>
    <n v="0"/>
  </r>
  <r>
    <x v="0"/>
    <x v="1"/>
    <x v="17"/>
    <x v="5"/>
    <x v="50"/>
    <x v="1"/>
    <n v="0"/>
  </r>
  <r>
    <x v="0"/>
    <x v="1"/>
    <x v="17"/>
    <x v="5"/>
    <x v="51"/>
    <x v="1"/>
    <n v="0"/>
  </r>
  <r>
    <x v="0"/>
    <x v="1"/>
    <x v="17"/>
    <x v="5"/>
    <x v="52"/>
    <x v="1"/>
    <n v="0"/>
  </r>
  <r>
    <x v="0"/>
    <x v="1"/>
    <x v="17"/>
    <x v="5"/>
    <x v="53"/>
    <x v="1"/>
    <n v="0"/>
  </r>
  <r>
    <x v="0"/>
    <x v="1"/>
    <x v="17"/>
    <x v="5"/>
    <x v="54"/>
    <x v="1"/>
    <n v="0"/>
  </r>
  <r>
    <x v="0"/>
    <x v="1"/>
    <x v="17"/>
    <x v="5"/>
    <x v="55"/>
    <x v="1"/>
    <n v="0"/>
  </r>
  <r>
    <x v="0"/>
    <x v="1"/>
    <x v="17"/>
    <x v="6"/>
    <x v="46"/>
    <x v="1"/>
    <n v="111.978928059"/>
  </r>
  <r>
    <x v="0"/>
    <x v="1"/>
    <x v="17"/>
    <x v="6"/>
    <x v="47"/>
    <x v="1"/>
    <n v="111.978928059"/>
  </r>
  <r>
    <x v="0"/>
    <x v="1"/>
    <x v="17"/>
    <x v="6"/>
    <x v="48"/>
    <x v="1"/>
    <n v="111.978928059"/>
  </r>
  <r>
    <x v="0"/>
    <x v="1"/>
    <x v="17"/>
    <x v="6"/>
    <x v="49"/>
    <x v="1"/>
    <n v="0"/>
  </r>
  <r>
    <x v="0"/>
    <x v="1"/>
    <x v="17"/>
    <x v="6"/>
    <x v="50"/>
    <x v="1"/>
    <n v="0"/>
  </r>
  <r>
    <x v="0"/>
    <x v="1"/>
    <x v="17"/>
    <x v="6"/>
    <x v="51"/>
    <x v="1"/>
    <n v="0"/>
  </r>
  <r>
    <x v="0"/>
    <x v="1"/>
    <x v="17"/>
    <x v="6"/>
    <x v="52"/>
    <x v="1"/>
    <n v="0"/>
  </r>
  <r>
    <x v="0"/>
    <x v="1"/>
    <x v="17"/>
    <x v="6"/>
    <x v="53"/>
    <x v="1"/>
    <n v="0"/>
  </r>
  <r>
    <x v="0"/>
    <x v="1"/>
    <x v="17"/>
    <x v="6"/>
    <x v="54"/>
    <x v="1"/>
    <n v="0"/>
  </r>
  <r>
    <x v="0"/>
    <x v="1"/>
    <x v="17"/>
    <x v="6"/>
    <x v="55"/>
    <x v="1"/>
    <n v="0"/>
  </r>
  <r>
    <x v="0"/>
    <x v="1"/>
    <x v="17"/>
    <x v="7"/>
    <x v="46"/>
    <x v="1"/>
    <n v="75.330342665000003"/>
  </r>
  <r>
    <x v="0"/>
    <x v="1"/>
    <x v="17"/>
    <x v="7"/>
    <x v="47"/>
    <x v="1"/>
    <n v="75.330342665000003"/>
  </r>
  <r>
    <x v="0"/>
    <x v="1"/>
    <x v="17"/>
    <x v="7"/>
    <x v="48"/>
    <x v="1"/>
    <n v="75.330342665000003"/>
  </r>
  <r>
    <x v="0"/>
    <x v="1"/>
    <x v="17"/>
    <x v="7"/>
    <x v="49"/>
    <x v="1"/>
    <n v="0"/>
  </r>
  <r>
    <x v="0"/>
    <x v="1"/>
    <x v="17"/>
    <x v="7"/>
    <x v="50"/>
    <x v="1"/>
    <n v="0"/>
  </r>
  <r>
    <x v="0"/>
    <x v="1"/>
    <x v="17"/>
    <x v="7"/>
    <x v="51"/>
    <x v="1"/>
    <n v="0"/>
  </r>
  <r>
    <x v="0"/>
    <x v="1"/>
    <x v="17"/>
    <x v="7"/>
    <x v="52"/>
    <x v="1"/>
    <n v="0"/>
  </r>
  <r>
    <x v="0"/>
    <x v="1"/>
    <x v="17"/>
    <x v="7"/>
    <x v="53"/>
    <x v="1"/>
    <n v="0"/>
  </r>
  <r>
    <x v="0"/>
    <x v="1"/>
    <x v="17"/>
    <x v="7"/>
    <x v="54"/>
    <x v="1"/>
    <n v="0"/>
  </r>
  <r>
    <x v="0"/>
    <x v="1"/>
    <x v="17"/>
    <x v="7"/>
    <x v="55"/>
    <x v="1"/>
    <n v="0"/>
  </r>
  <r>
    <x v="0"/>
    <x v="1"/>
    <x v="17"/>
    <x v="8"/>
    <x v="46"/>
    <x v="1"/>
    <n v="53.854318622999998"/>
  </r>
  <r>
    <x v="0"/>
    <x v="1"/>
    <x v="17"/>
    <x v="8"/>
    <x v="47"/>
    <x v="1"/>
    <n v="53.854318622999998"/>
  </r>
  <r>
    <x v="0"/>
    <x v="1"/>
    <x v="17"/>
    <x v="8"/>
    <x v="48"/>
    <x v="1"/>
    <n v="53.854318622999998"/>
  </r>
  <r>
    <x v="0"/>
    <x v="1"/>
    <x v="17"/>
    <x v="8"/>
    <x v="49"/>
    <x v="1"/>
    <n v="0"/>
  </r>
  <r>
    <x v="0"/>
    <x v="1"/>
    <x v="17"/>
    <x v="8"/>
    <x v="50"/>
    <x v="1"/>
    <n v="0"/>
  </r>
  <r>
    <x v="0"/>
    <x v="1"/>
    <x v="17"/>
    <x v="8"/>
    <x v="51"/>
    <x v="1"/>
    <n v="0"/>
  </r>
  <r>
    <x v="0"/>
    <x v="1"/>
    <x v="17"/>
    <x v="8"/>
    <x v="52"/>
    <x v="1"/>
    <n v="0"/>
  </r>
  <r>
    <x v="0"/>
    <x v="1"/>
    <x v="17"/>
    <x v="8"/>
    <x v="53"/>
    <x v="1"/>
    <n v="0"/>
  </r>
  <r>
    <x v="0"/>
    <x v="1"/>
    <x v="17"/>
    <x v="8"/>
    <x v="54"/>
    <x v="1"/>
    <n v="0"/>
  </r>
  <r>
    <x v="0"/>
    <x v="1"/>
    <x v="17"/>
    <x v="8"/>
    <x v="55"/>
    <x v="1"/>
    <n v="0"/>
  </r>
  <r>
    <x v="0"/>
    <x v="1"/>
    <x v="17"/>
    <x v="9"/>
    <x v="46"/>
    <x v="1"/>
    <n v="112.505900924"/>
  </r>
  <r>
    <x v="0"/>
    <x v="1"/>
    <x v="17"/>
    <x v="9"/>
    <x v="47"/>
    <x v="1"/>
    <n v="112.505900924"/>
  </r>
  <r>
    <x v="0"/>
    <x v="1"/>
    <x v="17"/>
    <x v="9"/>
    <x v="48"/>
    <x v="1"/>
    <n v="112.505900924"/>
  </r>
  <r>
    <x v="0"/>
    <x v="1"/>
    <x v="17"/>
    <x v="9"/>
    <x v="49"/>
    <x v="1"/>
    <n v="0"/>
  </r>
  <r>
    <x v="0"/>
    <x v="1"/>
    <x v="17"/>
    <x v="9"/>
    <x v="50"/>
    <x v="1"/>
    <n v="0"/>
  </r>
  <r>
    <x v="0"/>
    <x v="1"/>
    <x v="17"/>
    <x v="9"/>
    <x v="51"/>
    <x v="1"/>
    <n v="0"/>
  </r>
  <r>
    <x v="0"/>
    <x v="1"/>
    <x v="17"/>
    <x v="9"/>
    <x v="52"/>
    <x v="1"/>
    <n v="0"/>
  </r>
  <r>
    <x v="0"/>
    <x v="1"/>
    <x v="17"/>
    <x v="9"/>
    <x v="53"/>
    <x v="1"/>
    <n v="0"/>
  </r>
  <r>
    <x v="0"/>
    <x v="1"/>
    <x v="17"/>
    <x v="9"/>
    <x v="54"/>
    <x v="1"/>
    <n v="0"/>
  </r>
  <r>
    <x v="0"/>
    <x v="1"/>
    <x v="17"/>
    <x v="9"/>
    <x v="55"/>
    <x v="1"/>
    <n v="0"/>
  </r>
  <r>
    <x v="0"/>
    <x v="1"/>
    <x v="17"/>
    <x v="10"/>
    <x v="46"/>
    <x v="1"/>
    <n v="137.941568891"/>
  </r>
  <r>
    <x v="0"/>
    <x v="1"/>
    <x v="17"/>
    <x v="10"/>
    <x v="47"/>
    <x v="1"/>
    <n v="137.941568891"/>
  </r>
  <r>
    <x v="0"/>
    <x v="1"/>
    <x v="17"/>
    <x v="10"/>
    <x v="48"/>
    <x v="1"/>
    <n v="137.941568891"/>
  </r>
  <r>
    <x v="0"/>
    <x v="1"/>
    <x v="17"/>
    <x v="10"/>
    <x v="49"/>
    <x v="1"/>
    <n v="0"/>
  </r>
  <r>
    <x v="0"/>
    <x v="1"/>
    <x v="17"/>
    <x v="10"/>
    <x v="50"/>
    <x v="1"/>
    <n v="0"/>
  </r>
  <r>
    <x v="0"/>
    <x v="1"/>
    <x v="17"/>
    <x v="10"/>
    <x v="51"/>
    <x v="1"/>
    <n v="0"/>
  </r>
  <r>
    <x v="0"/>
    <x v="1"/>
    <x v="17"/>
    <x v="10"/>
    <x v="52"/>
    <x v="1"/>
    <n v="0"/>
  </r>
  <r>
    <x v="0"/>
    <x v="1"/>
    <x v="17"/>
    <x v="10"/>
    <x v="53"/>
    <x v="1"/>
    <n v="0"/>
  </r>
  <r>
    <x v="0"/>
    <x v="1"/>
    <x v="17"/>
    <x v="10"/>
    <x v="54"/>
    <x v="1"/>
    <n v="0"/>
  </r>
  <r>
    <x v="0"/>
    <x v="1"/>
    <x v="17"/>
    <x v="10"/>
    <x v="55"/>
    <x v="1"/>
    <n v="0"/>
  </r>
  <r>
    <x v="0"/>
    <x v="1"/>
    <x v="17"/>
    <x v="11"/>
    <x v="46"/>
    <x v="1"/>
    <n v="412.51590376299998"/>
  </r>
  <r>
    <x v="0"/>
    <x v="1"/>
    <x v="17"/>
    <x v="11"/>
    <x v="47"/>
    <x v="1"/>
    <n v="412.51590376299998"/>
  </r>
  <r>
    <x v="0"/>
    <x v="1"/>
    <x v="17"/>
    <x v="11"/>
    <x v="48"/>
    <x v="1"/>
    <n v="412.51590376299998"/>
  </r>
  <r>
    <x v="0"/>
    <x v="1"/>
    <x v="17"/>
    <x v="11"/>
    <x v="49"/>
    <x v="1"/>
    <n v="0"/>
  </r>
  <r>
    <x v="0"/>
    <x v="1"/>
    <x v="17"/>
    <x v="11"/>
    <x v="50"/>
    <x v="1"/>
    <n v="0"/>
  </r>
  <r>
    <x v="0"/>
    <x v="1"/>
    <x v="17"/>
    <x v="11"/>
    <x v="51"/>
    <x v="1"/>
    <n v="0"/>
  </r>
  <r>
    <x v="0"/>
    <x v="1"/>
    <x v="17"/>
    <x v="11"/>
    <x v="52"/>
    <x v="1"/>
    <n v="0"/>
  </r>
  <r>
    <x v="0"/>
    <x v="1"/>
    <x v="17"/>
    <x v="11"/>
    <x v="53"/>
    <x v="1"/>
    <n v="0"/>
  </r>
  <r>
    <x v="0"/>
    <x v="1"/>
    <x v="17"/>
    <x v="11"/>
    <x v="54"/>
    <x v="1"/>
    <n v="0"/>
  </r>
  <r>
    <x v="0"/>
    <x v="1"/>
    <x v="17"/>
    <x v="11"/>
    <x v="55"/>
    <x v="1"/>
    <n v="0"/>
  </r>
  <r>
    <x v="0"/>
    <x v="1"/>
    <x v="17"/>
    <x v="12"/>
    <x v="46"/>
    <x v="1"/>
    <n v="122.406777031"/>
  </r>
  <r>
    <x v="0"/>
    <x v="1"/>
    <x v="17"/>
    <x v="12"/>
    <x v="47"/>
    <x v="1"/>
    <n v="122.406777031"/>
  </r>
  <r>
    <x v="0"/>
    <x v="1"/>
    <x v="17"/>
    <x v="12"/>
    <x v="48"/>
    <x v="1"/>
    <n v="122.406777031"/>
  </r>
  <r>
    <x v="0"/>
    <x v="1"/>
    <x v="17"/>
    <x v="12"/>
    <x v="49"/>
    <x v="1"/>
    <n v="0"/>
  </r>
  <r>
    <x v="0"/>
    <x v="1"/>
    <x v="17"/>
    <x v="12"/>
    <x v="50"/>
    <x v="1"/>
    <n v="0"/>
  </r>
  <r>
    <x v="0"/>
    <x v="1"/>
    <x v="17"/>
    <x v="12"/>
    <x v="51"/>
    <x v="1"/>
    <n v="0"/>
  </r>
  <r>
    <x v="0"/>
    <x v="1"/>
    <x v="17"/>
    <x v="12"/>
    <x v="52"/>
    <x v="1"/>
    <n v="0"/>
  </r>
  <r>
    <x v="0"/>
    <x v="1"/>
    <x v="17"/>
    <x v="12"/>
    <x v="53"/>
    <x v="1"/>
    <n v="0"/>
  </r>
  <r>
    <x v="0"/>
    <x v="1"/>
    <x v="17"/>
    <x v="12"/>
    <x v="54"/>
    <x v="1"/>
    <n v="0"/>
  </r>
  <r>
    <x v="0"/>
    <x v="1"/>
    <x v="17"/>
    <x v="12"/>
    <x v="55"/>
    <x v="1"/>
    <n v="0"/>
  </r>
  <r>
    <x v="0"/>
    <x v="1"/>
    <x v="17"/>
    <x v="13"/>
    <x v="46"/>
    <x v="1"/>
    <n v="292.36677020399998"/>
  </r>
  <r>
    <x v="0"/>
    <x v="1"/>
    <x v="17"/>
    <x v="13"/>
    <x v="47"/>
    <x v="1"/>
    <n v="292.36677020399998"/>
  </r>
  <r>
    <x v="0"/>
    <x v="1"/>
    <x v="17"/>
    <x v="13"/>
    <x v="48"/>
    <x v="1"/>
    <n v="292.36677020399998"/>
  </r>
  <r>
    <x v="0"/>
    <x v="1"/>
    <x v="17"/>
    <x v="13"/>
    <x v="49"/>
    <x v="1"/>
    <n v="0"/>
  </r>
  <r>
    <x v="0"/>
    <x v="1"/>
    <x v="17"/>
    <x v="13"/>
    <x v="50"/>
    <x v="1"/>
    <n v="0"/>
  </r>
  <r>
    <x v="0"/>
    <x v="1"/>
    <x v="17"/>
    <x v="13"/>
    <x v="51"/>
    <x v="1"/>
    <n v="0"/>
  </r>
  <r>
    <x v="0"/>
    <x v="1"/>
    <x v="17"/>
    <x v="13"/>
    <x v="52"/>
    <x v="1"/>
    <n v="0"/>
  </r>
  <r>
    <x v="0"/>
    <x v="1"/>
    <x v="17"/>
    <x v="13"/>
    <x v="53"/>
    <x v="1"/>
    <n v="0"/>
  </r>
  <r>
    <x v="0"/>
    <x v="1"/>
    <x v="17"/>
    <x v="13"/>
    <x v="54"/>
    <x v="1"/>
    <n v="0"/>
  </r>
  <r>
    <x v="0"/>
    <x v="1"/>
    <x v="17"/>
    <x v="13"/>
    <x v="55"/>
    <x v="1"/>
    <n v="0"/>
  </r>
  <r>
    <x v="0"/>
    <x v="1"/>
    <x v="17"/>
    <x v="14"/>
    <x v="46"/>
    <x v="1"/>
    <n v="86.760810531999994"/>
  </r>
  <r>
    <x v="0"/>
    <x v="1"/>
    <x v="17"/>
    <x v="14"/>
    <x v="47"/>
    <x v="1"/>
    <n v="86.760810531999994"/>
  </r>
  <r>
    <x v="0"/>
    <x v="1"/>
    <x v="17"/>
    <x v="14"/>
    <x v="48"/>
    <x v="1"/>
    <n v="86.760810531999994"/>
  </r>
  <r>
    <x v="0"/>
    <x v="1"/>
    <x v="17"/>
    <x v="14"/>
    <x v="49"/>
    <x v="1"/>
    <n v="0"/>
  </r>
  <r>
    <x v="0"/>
    <x v="1"/>
    <x v="17"/>
    <x v="14"/>
    <x v="50"/>
    <x v="1"/>
    <n v="0"/>
  </r>
  <r>
    <x v="0"/>
    <x v="1"/>
    <x v="17"/>
    <x v="14"/>
    <x v="51"/>
    <x v="1"/>
    <n v="0"/>
  </r>
  <r>
    <x v="0"/>
    <x v="1"/>
    <x v="17"/>
    <x v="14"/>
    <x v="52"/>
    <x v="1"/>
    <n v="0"/>
  </r>
  <r>
    <x v="0"/>
    <x v="1"/>
    <x v="17"/>
    <x v="14"/>
    <x v="53"/>
    <x v="1"/>
    <n v="0"/>
  </r>
  <r>
    <x v="0"/>
    <x v="1"/>
    <x v="17"/>
    <x v="14"/>
    <x v="54"/>
    <x v="1"/>
    <n v="0"/>
  </r>
  <r>
    <x v="0"/>
    <x v="1"/>
    <x v="17"/>
    <x v="14"/>
    <x v="55"/>
    <x v="1"/>
    <n v="0"/>
  </r>
  <r>
    <x v="0"/>
    <x v="1"/>
    <x v="17"/>
    <x v="15"/>
    <x v="46"/>
    <x v="1"/>
    <n v="107.08872778999999"/>
  </r>
  <r>
    <x v="0"/>
    <x v="1"/>
    <x v="17"/>
    <x v="15"/>
    <x v="47"/>
    <x v="1"/>
    <n v="107.08872778999999"/>
  </r>
  <r>
    <x v="0"/>
    <x v="1"/>
    <x v="17"/>
    <x v="15"/>
    <x v="48"/>
    <x v="1"/>
    <n v="107.08872778999999"/>
  </r>
  <r>
    <x v="0"/>
    <x v="1"/>
    <x v="17"/>
    <x v="15"/>
    <x v="49"/>
    <x v="1"/>
    <n v="0"/>
  </r>
  <r>
    <x v="0"/>
    <x v="1"/>
    <x v="17"/>
    <x v="15"/>
    <x v="50"/>
    <x v="1"/>
    <n v="0"/>
  </r>
  <r>
    <x v="0"/>
    <x v="1"/>
    <x v="17"/>
    <x v="15"/>
    <x v="51"/>
    <x v="1"/>
    <n v="0"/>
  </r>
  <r>
    <x v="0"/>
    <x v="1"/>
    <x v="17"/>
    <x v="15"/>
    <x v="52"/>
    <x v="1"/>
    <n v="0"/>
  </r>
  <r>
    <x v="0"/>
    <x v="1"/>
    <x v="17"/>
    <x v="15"/>
    <x v="53"/>
    <x v="1"/>
    <n v="0"/>
  </r>
  <r>
    <x v="0"/>
    <x v="1"/>
    <x v="17"/>
    <x v="15"/>
    <x v="54"/>
    <x v="1"/>
    <n v="0"/>
  </r>
  <r>
    <x v="0"/>
    <x v="1"/>
    <x v="17"/>
    <x v="15"/>
    <x v="55"/>
    <x v="1"/>
    <n v="0"/>
  </r>
  <r>
    <x v="0"/>
    <x v="1"/>
    <x v="17"/>
    <x v="16"/>
    <x v="46"/>
    <x v="1"/>
    <n v="69.331151645999995"/>
  </r>
  <r>
    <x v="0"/>
    <x v="1"/>
    <x v="17"/>
    <x v="16"/>
    <x v="47"/>
    <x v="1"/>
    <n v="69.331151645999995"/>
  </r>
  <r>
    <x v="0"/>
    <x v="1"/>
    <x v="17"/>
    <x v="16"/>
    <x v="48"/>
    <x v="1"/>
    <n v="69.331151645999995"/>
  </r>
  <r>
    <x v="0"/>
    <x v="1"/>
    <x v="17"/>
    <x v="16"/>
    <x v="49"/>
    <x v="1"/>
    <n v="0"/>
  </r>
  <r>
    <x v="0"/>
    <x v="1"/>
    <x v="17"/>
    <x v="16"/>
    <x v="50"/>
    <x v="1"/>
    <n v="0"/>
  </r>
  <r>
    <x v="0"/>
    <x v="1"/>
    <x v="17"/>
    <x v="16"/>
    <x v="51"/>
    <x v="1"/>
    <n v="0"/>
  </r>
  <r>
    <x v="0"/>
    <x v="1"/>
    <x v="17"/>
    <x v="16"/>
    <x v="52"/>
    <x v="1"/>
    <n v="0"/>
  </r>
  <r>
    <x v="0"/>
    <x v="1"/>
    <x v="17"/>
    <x v="16"/>
    <x v="53"/>
    <x v="1"/>
    <n v="0"/>
  </r>
  <r>
    <x v="0"/>
    <x v="1"/>
    <x v="17"/>
    <x v="16"/>
    <x v="54"/>
    <x v="1"/>
    <n v="0"/>
  </r>
  <r>
    <x v="0"/>
    <x v="1"/>
    <x v="17"/>
    <x v="16"/>
    <x v="55"/>
    <x v="1"/>
    <n v="0"/>
  </r>
  <r>
    <x v="0"/>
    <x v="1"/>
    <x v="17"/>
    <x v="17"/>
    <x v="46"/>
    <x v="1"/>
    <n v="158.66276491400001"/>
  </r>
  <r>
    <x v="0"/>
    <x v="1"/>
    <x v="17"/>
    <x v="17"/>
    <x v="47"/>
    <x v="1"/>
    <n v="158.66276491400001"/>
  </r>
  <r>
    <x v="0"/>
    <x v="1"/>
    <x v="17"/>
    <x v="17"/>
    <x v="48"/>
    <x v="1"/>
    <n v="158.66276491400001"/>
  </r>
  <r>
    <x v="0"/>
    <x v="1"/>
    <x v="17"/>
    <x v="17"/>
    <x v="49"/>
    <x v="1"/>
    <n v="0"/>
  </r>
  <r>
    <x v="0"/>
    <x v="1"/>
    <x v="17"/>
    <x v="17"/>
    <x v="50"/>
    <x v="1"/>
    <n v="0"/>
  </r>
  <r>
    <x v="0"/>
    <x v="1"/>
    <x v="17"/>
    <x v="17"/>
    <x v="51"/>
    <x v="1"/>
    <n v="0"/>
  </r>
  <r>
    <x v="0"/>
    <x v="1"/>
    <x v="17"/>
    <x v="17"/>
    <x v="52"/>
    <x v="1"/>
    <n v="0"/>
  </r>
  <r>
    <x v="0"/>
    <x v="1"/>
    <x v="17"/>
    <x v="17"/>
    <x v="53"/>
    <x v="1"/>
    <n v="0"/>
  </r>
  <r>
    <x v="0"/>
    <x v="1"/>
    <x v="17"/>
    <x v="17"/>
    <x v="54"/>
    <x v="1"/>
    <n v="0"/>
  </r>
  <r>
    <x v="0"/>
    <x v="1"/>
    <x v="17"/>
    <x v="17"/>
    <x v="55"/>
    <x v="1"/>
    <n v="0"/>
  </r>
  <r>
    <x v="0"/>
    <x v="1"/>
    <x v="17"/>
    <x v="18"/>
    <x v="46"/>
    <x v="1"/>
    <n v="127.209936891"/>
  </r>
  <r>
    <x v="0"/>
    <x v="1"/>
    <x v="17"/>
    <x v="18"/>
    <x v="47"/>
    <x v="1"/>
    <n v="127.209936891"/>
  </r>
  <r>
    <x v="0"/>
    <x v="1"/>
    <x v="17"/>
    <x v="18"/>
    <x v="48"/>
    <x v="1"/>
    <n v="127.209936891"/>
  </r>
  <r>
    <x v="0"/>
    <x v="1"/>
    <x v="17"/>
    <x v="18"/>
    <x v="49"/>
    <x v="1"/>
    <n v="0"/>
  </r>
  <r>
    <x v="0"/>
    <x v="1"/>
    <x v="17"/>
    <x v="18"/>
    <x v="50"/>
    <x v="1"/>
    <n v="0"/>
  </r>
  <r>
    <x v="0"/>
    <x v="1"/>
    <x v="17"/>
    <x v="18"/>
    <x v="51"/>
    <x v="1"/>
    <n v="0"/>
  </r>
  <r>
    <x v="0"/>
    <x v="1"/>
    <x v="17"/>
    <x v="18"/>
    <x v="52"/>
    <x v="1"/>
    <n v="0"/>
  </r>
  <r>
    <x v="0"/>
    <x v="1"/>
    <x v="17"/>
    <x v="18"/>
    <x v="53"/>
    <x v="1"/>
    <n v="0"/>
  </r>
  <r>
    <x v="0"/>
    <x v="1"/>
    <x v="17"/>
    <x v="18"/>
    <x v="54"/>
    <x v="1"/>
    <n v="0"/>
  </r>
  <r>
    <x v="0"/>
    <x v="1"/>
    <x v="17"/>
    <x v="18"/>
    <x v="55"/>
    <x v="1"/>
    <n v="0"/>
  </r>
  <r>
    <x v="0"/>
    <x v="1"/>
    <x v="17"/>
    <x v="19"/>
    <x v="46"/>
    <x v="1"/>
    <n v="172.40801146300001"/>
  </r>
  <r>
    <x v="0"/>
    <x v="1"/>
    <x v="17"/>
    <x v="19"/>
    <x v="47"/>
    <x v="1"/>
    <n v="172.40801146300001"/>
  </r>
  <r>
    <x v="0"/>
    <x v="1"/>
    <x v="17"/>
    <x v="19"/>
    <x v="48"/>
    <x v="1"/>
    <n v="172.40801146300001"/>
  </r>
  <r>
    <x v="0"/>
    <x v="1"/>
    <x v="17"/>
    <x v="19"/>
    <x v="49"/>
    <x v="1"/>
    <n v="0"/>
  </r>
  <r>
    <x v="0"/>
    <x v="1"/>
    <x v="17"/>
    <x v="19"/>
    <x v="50"/>
    <x v="1"/>
    <n v="0"/>
  </r>
  <r>
    <x v="0"/>
    <x v="1"/>
    <x v="17"/>
    <x v="19"/>
    <x v="51"/>
    <x v="1"/>
    <n v="0"/>
  </r>
  <r>
    <x v="0"/>
    <x v="1"/>
    <x v="17"/>
    <x v="19"/>
    <x v="52"/>
    <x v="1"/>
    <n v="0"/>
  </r>
  <r>
    <x v="0"/>
    <x v="1"/>
    <x v="17"/>
    <x v="19"/>
    <x v="53"/>
    <x v="1"/>
    <n v="0"/>
  </r>
  <r>
    <x v="0"/>
    <x v="1"/>
    <x v="17"/>
    <x v="19"/>
    <x v="54"/>
    <x v="1"/>
    <n v="0"/>
  </r>
  <r>
    <x v="0"/>
    <x v="1"/>
    <x v="17"/>
    <x v="19"/>
    <x v="55"/>
    <x v="1"/>
    <n v="0"/>
  </r>
  <r>
    <x v="0"/>
    <x v="1"/>
    <x v="17"/>
    <x v="20"/>
    <x v="46"/>
    <x v="1"/>
    <n v="19.343012865999999"/>
  </r>
  <r>
    <x v="0"/>
    <x v="1"/>
    <x v="17"/>
    <x v="20"/>
    <x v="47"/>
    <x v="1"/>
    <n v="19.343012865999999"/>
  </r>
  <r>
    <x v="0"/>
    <x v="1"/>
    <x v="17"/>
    <x v="20"/>
    <x v="48"/>
    <x v="1"/>
    <n v="19.343012865999999"/>
  </r>
  <r>
    <x v="0"/>
    <x v="1"/>
    <x v="17"/>
    <x v="20"/>
    <x v="49"/>
    <x v="1"/>
    <n v="0"/>
  </r>
  <r>
    <x v="0"/>
    <x v="1"/>
    <x v="17"/>
    <x v="20"/>
    <x v="50"/>
    <x v="1"/>
    <n v="0"/>
  </r>
  <r>
    <x v="0"/>
    <x v="1"/>
    <x v="17"/>
    <x v="20"/>
    <x v="51"/>
    <x v="1"/>
    <n v="0"/>
  </r>
  <r>
    <x v="0"/>
    <x v="1"/>
    <x v="17"/>
    <x v="20"/>
    <x v="52"/>
    <x v="1"/>
    <n v="0"/>
  </r>
  <r>
    <x v="0"/>
    <x v="1"/>
    <x v="17"/>
    <x v="20"/>
    <x v="53"/>
    <x v="1"/>
    <n v="0"/>
  </r>
  <r>
    <x v="0"/>
    <x v="1"/>
    <x v="17"/>
    <x v="20"/>
    <x v="54"/>
    <x v="1"/>
    <n v="0"/>
  </r>
  <r>
    <x v="0"/>
    <x v="1"/>
    <x v="17"/>
    <x v="20"/>
    <x v="55"/>
    <x v="1"/>
    <n v="0"/>
  </r>
  <r>
    <x v="0"/>
    <x v="1"/>
    <x v="17"/>
    <x v="21"/>
    <x v="46"/>
    <x v="1"/>
    <n v="8.9602668189999992"/>
  </r>
  <r>
    <x v="0"/>
    <x v="1"/>
    <x v="17"/>
    <x v="21"/>
    <x v="47"/>
    <x v="1"/>
    <n v="8.9602668189999992"/>
  </r>
  <r>
    <x v="0"/>
    <x v="1"/>
    <x v="17"/>
    <x v="21"/>
    <x v="48"/>
    <x v="1"/>
    <n v="8.9602668189999992"/>
  </r>
  <r>
    <x v="0"/>
    <x v="1"/>
    <x v="17"/>
    <x v="21"/>
    <x v="49"/>
    <x v="1"/>
    <n v="0"/>
  </r>
  <r>
    <x v="0"/>
    <x v="1"/>
    <x v="17"/>
    <x v="21"/>
    <x v="50"/>
    <x v="1"/>
    <n v="0"/>
  </r>
  <r>
    <x v="0"/>
    <x v="1"/>
    <x v="17"/>
    <x v="21"/>
    <x v="51"/>
    <x v="1"/>
    <n v="0"/>
  </r>
  <r>
    <x v="0"/>
    <x v="1"/>
    <x v="17"/>
    <x v="21"/>
    <x v="52"/>
    <x v="1"/>
    <n v="0"/>
  </r>
  <r>
    <x v="0"/>
    <x v="1"/>
    <x v="17"/>
    <x v="21"/>
    <x v="53"/>
    <x v="1"/>
    <n v="0"/>
  </r>
  <r>
    <x v="0"/>
    <x v="1"/>
    <x v="17"/>
    <x v="21"/>
    <x v="54"/>
    <x v="1"/>
    <n v="0"/>
  </r>
  <r>
    <x v="0"/>
    <x v="1"/>
    <x v="17"/>
    <x v="21"/>
    <x v="55"/>
    <x v="1"/>
    <n v="0"/>
  </r>
  <r>
    <x v="0"/>
    <x v="1"/>
    <x v="17"/>
    <x v="22"/>
    <x v="46"/>
    <x v="1"/>
    <n v="13.156762117"/>
  </r>
  <r>
    <x v="0"/>
    <x v="1"/>
    <x v="17"/>
    <x v="22"/>
    <x v="47"/>
    <x v="1"/>
    <n v="13.156762117"/>
  </r>
  <r>
    <x v="0"/>
    <x v="1"/>
    <x v="17"/>
    <x v="22"/>
    <x v="48"/>
    <x v="1"/>
    <n v="13.156762117"/>
  </r>
  <r>
    <x v="0"/>
    <x v="1"/>
    <x v="17"/>
    <x v="22"/>
    <x v="49"/>
    <x v="1"/>
    <n v="0"/>
  </r>
  <r>
    <x v="0"/>
    <x v="1"/>
    <x v="17"/>
    <x v="22"/>
    <x v="50"/>
    <x v="1"/>
    <n v="0"/>
  </r>
  <r>
    <x v="0"/>
    <x v="1"/>
    <x v="17"/>
    <x v="22"/>
    <x v="51"/>
    <x v="1"/>
    <n v="0"/>
  </r>
  <r>
    <x v="0"/>
    <x v="1"/>
    <x v="17"/>
    <x v="22"/>
    <x v="52"/>
    <x v="1"/>
    <n v="0"/>
  </r>
  <r>
    <x v="0"/>
    <x v="1"/>
    <x v="17"/>
    <x v="22"/>
    <x v="53"/>
    <x v="1"/>
    <n v="0"/>
  </r>
  <r>
    <x v="0"/>
    <x v="1"/>
    <x v="17"/>
    <x v="22"/>
    <x v="54"/>
    <x v="1"/>
    <n v="0"/>
  </r>
  <r>
    <x v="0"/>
    <x v="1"/>
    <x v="17"/>
    <x v="22"/>
    <x v="55"/>
    <x v="1"/>
    <n v="0"/>
  </r>
  <r>
    <x v="0"/>
    <x v="1"/>
    <x v="17"/>
    <x v="23"/>
    <x v="46"/>
    <x v="1"/>
    <n v="3.9606938189999998"/>
  </r>
  <r>
    <x v="0"/>
    <x v="1"/>
    <x v="17"/>
    <x v="23"/>
    <x v="47"/>
    <x v="1"/>
    <n v="3.9606938189999998"/>
  </r>
  <r>
    <x v="0"/>
    <x v="1"/>
    <x v="17"/>
    <x v="23"/>
    <x v="48"/>
    <x v="1"/>
    <n v="3.9606938189999998"/>
  </r>
  <r>
    <x v="0"/>
    <x v="1"/>
    <x v="17"/>
    <x v="23"/>
    <x v="49"/>
    <x v="1"/>
    <n v="0"/>
  </r>
  <r>
    <x v="0"/>
    <x v="1"/>
    <x v="17"/>
    <x v="23"/>
    <x v="50"/>
    <x v="1"/>
    <n v="0"/>
  </r>
  <r>
    <x v="0"/>
    <x v="1"/>
    <x v="17"/>
    <x v="23"/>
    <x v="51"/>
    <x v="1"/>
    <n v="0"/>
  </r>
  <r>
    <x v="0"/>
    <x v="1"/>
    <x v="17"/>
    <x v="23"/>
    <x v="52"/>
    <x v="1"/>
    <n v="0"/>
  </r>
  <r>
    <x v="0"/>
    <x v="1"/>
    <x v="17"/>
    <x v="23"/>
    <x v="53"/>
    <x v="1"/>
    <n v="0"/>
  </r>
  <r>
    <x v="0"/>
    <x v="1"/>
    <x v="17"/>
    <x v="23"/>
    <x v="54"/>
    <x v="1"/>
    <n v="0"/>
  </r>
  <r>
    <x v="0"/>
    <x v="1"/>
    <x v="17"/>
    <x v="23"/>
    <x v="55"/>
    <x v="1"/>
    <n v="0"/>
  </r>
  <r>
    <x v="0"/>
    <x v="1"/>
    <x v="17"/>
    <x v="24"/>
    <x v="46"/>
    <x v="1"/>
    <n v="174.516404932"/>
  </r>
  <r>
    <x v="0"/>
    <x v="1"/>
    <x v="17"/>
    <x v="24"/>
    <x v="47"/>
    <x v="1"/>
    <n v="174.516404932"/>
  </r>
  <r>
    <x v="0"/>
    <x v="1"/>
    <x v="17"/>
    <x v="24"/>
    <x v="48"/>
    <x v="1"/>
    <n v="174.516404932"/>
  </r>
  <r>
    <x v="0"/>
    <x v="1"/>
    <x v="17"/>
    <x v="24"/>
    <x v="49"/>
    <x v="1"/>
    <n v="0"/>
  </r>
  <r>
    <x v="0"/>
    <x v="1"/>
    <x v="17"/>
    <x v="24"/>
    <x v="50"/>
    <x v="1"/>
    <n v="0"/>
  </r>
  <r>
    <x v="0"/>
    <x v="1"/>
    <x v="17"/>
    <x v="24"/>
    <x v="51"/>
    <x v="1"/>
    <n v="0"/>
  </r>
  <r>
    <x v="0"/>
    <x v="1"/>
    <x v="17"/>
    <x v="24"/>
    <x v="52"/>
    <x v="1"/>
    <n v="0"/>
  </r>
  <r>
    <x v="0"/>
    <x v="1"/>
    <x v="17"/>
    <x v="24"/>
    <x v="53"/>
    <x v="1"/>
    <n v="0"/>
  </r>
  <r>
    <x v="0"/>
    <x v="1"/>
    <x v="17"/>
    <x v="24"/>
    <x v="54"/>
    <x v="1"/>
    <n v="0"/>
  </r>
  <r>
    <x v="0"/>
    <x v="1"/>
    <x v="17"/>
    <x v="24"/>
    <x v="55"/>
    <x v="1"/>
    <n v="0"/>
  </r>
  <r>
    <x v="0"/>
    <x v="1"/>
    <x v="17"/>
    <x v="25"/>
    <x v="46"/>
    <x v="1"/>
    <n v="10.884951128999999"/>
  </r>
  <r>
    <x v="0"/>
    <x v="1"/>
    <x v="17"/>
    <x v="25"/>
    <x v="47"/>
    <x v="1"/>
    <n v="10.884951128999999"/>
  </r>
  <r>
    <x v="0"/>
    <x v="1"/>
    <x v="17"/>
    <x v="25"/>
    <x v="48"/>
    <x v="1"/>
    <n v="10.884951128999999"/>
  </r>
  <r>
    <x v="0"/>
    <x v="1"/>
    <x v="17"/>
    <x v="25"/>
    <x v="49"/>
    <x v="1"/>
    <n v="0"/>
  </r>
  <r>
    <x v="0"/>
    <x v="1"/>
    <x v="17"/>
    <x v="25"/>
    <x v="50"/>
    <x v="1"/>
    <n v="0"/>
  </r>
  <r>
    <x v="0"/>
    <x v="1"/>
    <x v="17"/>
    <x v="25"/>
    <x v="51"/>
    <x v="1"/>
    <n v="0"/>
  </r>
  <r>
    <x v="0"/>
    <x v="1"/>
    <x v="17"/>
    <x v="25"/>
    <x v="52"/>
    <x v="1"/>
    <n v="0"/>
  </r>
  <r>
    <x v="0"/>
    <x v="1"/>
    <x v="17"/>
    <x v="25"/>
    <x v="53"/>
    <x v="1"/>
    <n v="0"/>
  </r>
  <r>
    <x v="0"/>
    <x v="1"/>
    <x v="17"/>
    <x v="25"/>
    <x v="54"/>
    <x v="1"/>
    <n v="0"/>
  </r>
  <r>
    <x v="0"/>
    <x v="1"/>
    <x v="17"/>
    <x v="25"/>
    <x v="55"/>
    <x v="1"/>
    <n v="0"/>
  </r>
  <r>
    <x v="0"/>
    <x v="1"/>
    <x v="17"/>
    <x v="26"/>
    <x v="46"/>
    <x v="1"/>
    <n v="6.8868083179999999"/>
  </r>
  <r>
    <x v="0"/>
    <x v="1"/>
    <x v="17"/>
    <x v="26"/>
    <x v="47"/>
    <x v="1"/>
    <n v="6.8868083179999999"/>
  </r>
  <r>
    <x v="0"/>
    <x v="1"/>
    <x v="17"/>
    <x v="26"/>
    <x v="48"/>
    <x v="1"/>
    <n v="6.8868083179999999"/>
  </r>
  <r>
    <x v="0"/>
    <x v="1"/>
    <x v="17"/>
    <x v="26"/>
    <x v="49"/>
    <x v="1"/>
    <n v="0"/>
  </r>
  <r>
    <x v="0"/>
    <x v="1"/>
    <x v="17"/>
    <x v="26"/>
    <x v="50"/>
    <x v="1"/>
    <n v="0"/>
  </r>
  <r>
    <x v="0"/>
    <x v="1"/>
    <x v="17"/>
    <x v="26"/>
    <x v="51"/>
    <x v="1"/>
    <n v="0"/>
  </r>
  <r>
    <x v="0"/>
    <x v="1"/>
    <x v="17"/>
    <x v="26"/>
    <x v="52"/>
    <x v="1"/>
    <n v="0"/>
  </r>
  <r>
    <x v="0"/>
    <x v="1"/>
    <x v="17"/>
    <x v="26"/>
    <x v="53"/>
    <x v="1"/>
    <n v="0"/>
  </r>
  <r>
    <x v="0"/>
    <x v="1"/>
    <x v="17"/>
    <x v="26"/>
    <x v="54"/>
    <x v="1"/>
    <n v="0"/>
  </r>
  <r>
    <x v="0"/>
    <x v="1"/>
    <x v="17"/>
    <x v="26"/>
    <x v="55"/>
    <x v="1"/>
    <n v="0"/>
  </r>
  <r>
    <x v="0"/>
    <x v="1"/>
    <x v="17"/>
    <x v="27"/>
    <x v="46"/>
    <x v="1"/>
    <n v="298.019535018"/>
  </r>
  <r>
    <x v="0"/>
    <x v="1"/>
    <x v="17"/>
    <x v="27"/>
    <x v="47"/>
    <x v="1"/>
    <n v="298.019535018"/>
  </r>
  <r>
    <x v="0"/>
    <x v="1"/>
    <x v="17"/>
    <x v="27"/>
    <x v="48"/>
    <x v="1"/>
    <n v="298.019535018"/>
  </r>
  <r>
    <x v="0"/>
    <x v="1"/>
    <x v="17"/>
    <x v="27"/>
    <x v="49"/>
    <x v="1"/>
    <n v="0"/>
  </r>
  <r>
    <x v="0"/>
    <x v="1"/>
    <x v="17"/>
    <x v="27"/>
    <x v="50"/>
    <x v="1"/>
    <n v="0"/>
  </r>
  <r>
    <x v="0"/>
    <x v="1"/>
    <x v="17"/>
    <x v="27"/>
    <x v="51"/>
    <x v="1"/>
    <n v="0"/>
  </r>
  <r>
    <x v="0"/>
    <x v="1"/>
    <x v="17"/>
    <x v="27"/>
    <x v="52"/>
    <x v="1"/>
    <n v="0"/>
  </r>
  <r>
    <x v="0"/>
    <x v="1"/>
    <x v="17"/>
    <x v="27"/>
    <x v="53"/>
    <x v="1"/>
    <n v="0"/>
  </r>
  <r>
    <x v="0"/>
    <x v="1"/>
    <x v="17"/>
    <x v="27"/>
    <x v="54"/>
    <x v="1"/>
    <n v="0"/>
  </r>
  <r>
    <x v="0"/>
    <x v="1"/>
    <x v="17"/>
    <x v="27"/>
    <x v="55"/>
    <x v="1"/>
    <n v="0"/>
  </r>
  <r>
    <x v="0"/>
    <x v="1"/>
    <x v="17"/>
    <x v="28"/>
    <x v="46"/>
    <x v="1"/>
    <n v="282.70930008200003"/>
  </r>
  <r>
    <x v="0"/>
    <x v="1"/>
    <x v="17"/>
    <x v="28"/>
    <x v="47"/>
    <x v="1"/>
    <n v="282.70930008200003"/>
  </r>
  <r>
    <x v="0"/>
    <x v="1"/>
    <x v="17"/>
    <x v="28"/>
    <x v="48"/>
    <x v="1"/>
    <n v="282.70930008200003"/>
  </r>
  <r>
    <x v="0"/>
    <x v="1"/>
    <x v="17"/>
    <x v="28"/>
    <x v="49"/>
    <x v="1"/>
    <n v="0"/>
  </r>
  <r>
    <x v="0"/>
    <x v="1"/>
    <x v="17"/>
    <x v="28"/>
    <x v="50"/>
    <x v="1"/>
    <n v="0"/>
  </r>
  <r>
    <x v="0"/>
    <x v="1"/>
    <x v="17"/>
    <x v="28"/>
    <x v="51"/>
    <x v="1"/>
    <n v="0"/>
  </r>
  <r>
    <x v="0"/>
    <x v="1"/>
    <x v="17"/>
    <x v="28"/>
    <x v="52"/>
    <x v="1"/>
    <n v="0"/>
  </r>
  <r>
    <x v="0"/>
    <x v="1"/>
    <x v="17"/>
    <x v="28"/>
    <x v="53"/>
    <x v="1"/>
    <n v="0"/>
  </r>
  <r>
    <x v="0"/>
    <x v="1"/>
    <x v="17"/>
    <x v="28"/>
    <x v="54"/>
    <x v="1"/>
    <n v="0"/>
  </r>
  <r>
    <x v="0"/>
    <x v="1"/>
    <x v="17"/>
    <x v="28"/>
    <x v="55"/>
    <x v="1"/>
    <n v="0"/>
  </r>
  <r>
    <x v="0"/>
    <x v="1"/>
    <x v="17"/>
    <x v="29"/>
    <x v="46"/>
    <x v="1"/>
    <n v="235.246136175"/>
  </r>
  <r>
    <x v="0"/>
    <x v="1"/>
    <x v="17"/>
    <x v="29"/>
    <x v="47"/>
    <x v="1"/>
    <n v="235.246136175"/>
  </r>
  <r>
    <x v="0"/>
    <x v="1"/>
    <x v="17"/>
    <x v="29"/>
    <x v="48"/>
    <x v="1"/>
    <n v="235.246136175"/>
  </r>
  <r>
    <x v="0"/>
    <x v="1"/>
    <x v="17"/>
    <x v="29"/>
    <x v="49"/>
    <x v="1"/>
    <n v="0"/>
  </r>
  <r>
    <x v="0"/>
    <x v="1"/>
    <x v="17"/>
    <x v="29"/>
    <x v="50"/>
    <x v="1"/>
    <n v="0"/>
  </r>
  <r>
    <x v="0"/>
    <x v="1"/>
    <x v="17"/>
    <x v="29"/>
    <x v="51"/>
    <x v="1"/>
    <n v="0"/>
  </r>
  <r>
    <x v="0"/>
    <x v="1"/>
    <x v="17"/>
    <x v="29"/>
    <x v="52"/>
    <x v="1"/>
    <n v="0"/>
  </r>
  <r>
    <x v="0"/>
    <x v="1"/>
    <x v="17"/>
    <x v="29"/>
    <x v="53"/>
    <x v="1"/>
    <n v="0"/>
  </r>
  <r>
    <x v="0"/>
    <x v="1"/>
    <x v="17"/>
    <x v="29"/>
    <x v="54"/>
    <x v="1"/>
    <n v="0"/>
  </r>
  <r>
    <x v="0"/>
    <x v="1"/>
    <x v="17"/>
    <x v="29"/>
    <x v="55"/>
    <x v="1"/>
    <n v="0"/>
  </r>
  <r>
    <x v="0"/>
    <x v="1"/>
    <x v="17"/>
    <x v="30"/>
    <x v="46"/>
    <x v="1"/>
    <n v="100.24382149100001"/>
  </r>
  <r>
    <x v="0"/>
    <x v="1"/>
    <x v="17"/>
    <x v="30"/>
    <x v="47"/>
    <x v="1"/>
    <n v="100.24382149100001"/>
  </r>
  <r>
    <x v="0"/>
    <x v="1"/>
    <x v="17"/>
    <x v="30"/>
    <x v="48"/>
    <x v="1"/>
    <n v="100.24382149100001"/>
  </r>
  <r>
    <x v="0"/>
    <x v="1"/>
    <x v="17"/>
    <x v="30"/>
    <x v="49"/>
    <x v="1"/>
    <n v="0"/>
  </r>
  <r>
    <x v="0"/>
    <x v="1"/>
    <x v="17"/>
    <x v="30"/>
    <x v="50"/>
    <x v="1"/>
    <n v="0"/>
  </r>
  <r>
    <x v="0"/>
    <x v="1"/>
    <x v="17"/>
    <x v="30"/>
    <x v="51"/>
    <x v="1"/>
    <n v="0"/>
  </r>
  <r>
    <x v="0"/>
    <x v="1"/>
    <x v="17"/>
    <x v="30"/>
    <x v="52"/>
    <x v="1"/>
    <n v="0"/>
  </r>
  <r>
    <x v="0"/>
    <x v="1"/>
    <x v="17"/>
    <x v="30"/>
    <x v="53"/>
    <x v="1"/>
    <n v="0"/>
  </r>
  <r>
    <x v="0"/>
    <x v="1"/>
    <x v="17"/>
    <x v="30"/>
    <x v="54"/>
    <x v="1"/>
    <n v="0"/>
  </r>
  <r>
    <x v="0"/>
    <x v="1"/>
    <x v="17"/>
    <x v="30"/>
    <x v="55"/>
    <x v="1"/>
    <n v="0"/>
  </r>
  <r>
    <x v="0"/>
    <x v="1"/>
    <x v="17"/>
    <x v="31"/>
    <x v="46"/>
    <x v="1"/>
    <n v="80.671540000999997"/>
  </r>
  <r>
    <x v="0"/>
    <x v="1"/>
    <x v="17"/>
    <x v="31"/>
    <x v="47"/>
    <x v="1"/>
    <n v="80.671540000999997"/>
  </r>
  <r>
    <x v="0"/>
    <x v="1"/>
    <x v="17"/>
    <x v="31"/>
    <x v="48"/>
    <x v="1"/>
    <n v="80.671540000999997"/>
  </r>
  <r>
    <x v="0"/>
    <x v="1"/>
    <x v="17"/>
    <x v="31"/>
    <x v="49"/>
    <x v="1"/>
    <n v="0"/>
  </r>
  <r>
    <x v="0"/>
    <x v="1"/>
    <x v="17"/>
    <x v="31"/>
    <x v="50"/>
    <x v="1"/>
    <n v="0"/>
  </r>
  <r>
    <x v="0"/>
    <x v="1"/>
    <x v="17"/>
    <x v="31"/>
    <x v="51"/>
    <x v="1"/>
    <n v="0"/>
  </r>
  <r>
    <x v="0"/>
    <x v="1"/>
    <x v="17"/>
    <x v="31"/>
    <x v="52"/>
    <x v="1"/>
    <n v="0"/>
  </r>
  <r>
    <x v="0"/>
    <x v="1"/>
    <x v="17"/>
    <x v="31"/>
    <x v="53"/>
    <x v="1"/>
    <n v="0"/>
  </r>
  <r>
    <x v="0"/>
    <x v="1"/>
    <x v="17"/>
    <x v="31"/>
    <x v="54"/>
    <x v="1"/>
    <n v="0"/>
  </r>
  <r>
    <x v="0"/>
    <x v="1"/>
    <x v="17"/>
    <x v="31"/>
    <x v="55"/>
    <x v="1"/>
    <n v="0"/>
  </r>
  <r>
    <x v="0"/>
    <x v="1"/>
    <x v="17"/>
    <x v="32"/>
    <x v="46"/>
    <x v="1"/>
    <n v="258.69301003499999"/>
  </r>
  <r>
    <x v="0"/>
    <x v="1"/>
    <x v="17"/>
    <x v="32"/>
    <x v="47"/>
    <x v="1"/>
    <n v="258.69301003499999"/>
  </r>
  <r>
    <x v="0"/>
    <x v="1"/>
    <x v="17"/>
    <x v="32"/>
    <x v="48"/>
    <x v="1"/>
    <n v="258.69301003499999"/>
  </r>
  <r>
    <x v="0"/>
    <x v="1"/>
    <x v="17"/>
    <x v="32"/>
    <x v="49"/>
    <x v="1"/>
    <n v="0"/>
  </r>
  <r>
    <x v="0"/>
    <x v="1"/>
    <x v="17"/>
    <x v="32"/>
    <x v="50"/>
    <x v="1"/>
    <n v="0"/>
  </r>
  <r>
    <x v="0"/>
    <x v="1"/>
    <x v="17"/>
    <x v="32"/>
    <x v="51"/>
    <x v="1"/>
    <n v="0"/>
  </r>
  <r>
    <x v="0"/>
    <x v="1"/>
    <x v="17"/>
    <x v="32"/>
    <x v="52"/>
    <x v="1"/>
    <n v="0"/>
  </r>
  <r>
    <x v="0"/>
    <x v="1"/>
    <x v="17"/>
    <x v="32"/>
    <x v="53"/>
    <x v="1"/>
    <n v="0"/>
  </r>
  <r>
    <x v="0"/>
    <x v="1"/>
    <x v="17"/>
    <x v="32"/>
    <x v="54"/>
    <x v="1"/>
    <n v="0"/>
  </r>
  <r>
    <x v="0"/>
    <x v="1"/>
    <x v="17"/>
    <x v="32"/>
    <x v="55"/>
    <x v="1"/>
    <n v="0"/>
  </r>
  <r>
    <x v="0"/>
    <x v="1"/>
    <x v="17"/>
    <x v="33"/>
    <x v="46"/>
    <x v="1"/>
    <n v="173.438454863"/>
  </r>
  <r>
    <x v="0"/>
    <x v="1"/>
    <x v="17"/>
    <x v="33"/>
    <x v="47"/>
    <x v="1"/>
    <n v="173.438454863"/>
  </r>
  <r>
    <x v="0"/>
    <x v="1"/>
    <x v="17"/>
    <x v="33"/>
    <x v="48"/>
    <x v="1"/>
    <n v="173.438454863"/>
  </r>
  <r>
    <x v="0"/>
    <x v="1"/>
    <x v="17"/>
    <x v="33"/>
    <x v="49"/>
    <x v="1"/>
    <n v="0"/>
  </r>
  <r>
    <x v="0"/>
    <x v="1"/>
    <x v="17"/>
    <x v="33"/>
    <x v="50"/>
    <x v="1"/>
    <n v="0"/>
  </r>
  <r>
    <x v="0"/>
    <x v="1"/>
    <x v="17"/>
    <x v="33"/>
    <x v="51"/>
    <x v="1"/>
    <n v="0"/>
  </r>
  <r>
    <x v="0"/>
    <x v="1"/>
    <x v="17"/>
    <x v="33"/>
    <x v="52"/>
    <x v="1"/>
    <n v="0"/>
  </r>
  <r>
    <x v="0"/>
    <x v="1"/>
    <x v="17"/>
    <x v="33"/>
    <x v="53"/>
    <x v="1"/>
    <n v="0"/>
  </r>
  <r>
    <x v="0"/>
    <x v="1"/>
    <x v="17"/>
    <x v="33"/>
    <x v="54"/>
    <x v="1"/>
    <n v="0"/>
  </r>
  <r>
    <x v="0"/>
    <x v="1"/>
    <x v="17"/>
    <x v="33"/>
    <x v="55"/>
    <x v="1"/>
    <n v="0"/>
  </r>
  <r>
    <x v="0"/>
    <x v="1"/>
    <x v="17"/>
    <x v="34"/>
    <x v="46"/>
    <x v="1"/>
    <n v="156.28530170100001"/>
  </r>
  <r>
    <x v="0"/>
    <x v="1"/>
    <x v="17"/>
    <x v="34"/>
    <x v="47"/>
    <x v="1"/>
    <n v="156.28530170100001"/>
  </r>
  <r>
    <x v="0"/>
    <x v="1"/>
    <x v="17"/>
    <x v="34"/>
    <x v="48"/>
    <x v="1"/>
    <n v="156.28530170100001"/>
  </r>
  <r>
    <x v="0"/>
    <x v="1"/>
    <x v="17"/>
    <x v="34"/>
    <x v="49"/>
    <x v="1"/>
    <n v="0"/>
  </r>
  <r>
    <x v="0"/>
    <x v="1"/>
    <x v="17"/>
    <x v="34"/>
    <x v="50"/>
    <x v="1"/>
    <n v="0"/>
  </r>
  <r>
    <x v="0"/>
    <x v="1"/>
    <x v="17"/>
    <x v="34"/>
    <x v="51"/>
    <x v="1"/>
    <n v="0"/>
  </r>
  <r>
    <x v="0"/>
    <x v="1"/>
    <x v="17"/>
    <x v="34"/>
    <x v="52"/>
    <x v="1"/>
    <n v="0"/>
  </r>
  <r>
    <x v="0"/>
    <x v="1"/>
    <x v="17"/>
    <x v="34"/>
    <x v="53"/>
    <x v="1"/>
    <n v="0"/>
  </r>
  <r>
    <x v="0"/>
    <x v="1"/>
    <x v="17"/>
    <x v="34"/>
    <x v="54"/>
    <x v="1"/>
    <n v="0"/>
  </r>
  <r>
    <x v="0"/>
    <x v="1"/>
    <x v="17"/>
    <x v="34"/>
    <x v="55"/>
    <x v="1"/>
    <n v="0"/>
  </r>
  <r>
    <x v="0"/>
    <x v="1"/>
    <x v="17"/>
    <x v="35"/>
    <x v="46"/>
    <x v="1"/>
    <n v="91.886234950000002"/>
  </r>
  <r>
    <x v="0"/>
    <x v="1"/>
    <x v="17"/>
    <x v="35"/>
    <x v="47"/>
    <x v="1"/>
    <n v="91.886234950000002"/>
  </r>
  <r>
    <x v="0"/>
    <x v="1"/>
    <x v="17"/>
    <x v="35"/>
    <x v="48"/>
    <x v="1"/>
    <n v="91.886234950000002"/>
  </r>
  <r>
    <x v="0"/>
    <x v="1"/>
    <x v="17"/>
    <x v="35"/>
    <x v="49"/>
    <x v="1"/>
    <n v="0"/>
  </r>
  <r>
    <x v="0"/>
    <x v="1"/>
    <x v="17"/>
    <x v="35"/>
    <x v="50"/>
    <x v="1"/>
    <n v="0"/>
  </r>
  <r>
    <x v="0"/>
    <x v="1"/>
    <x v="17"/>
    <x v="35"/>
    <x v="51"/>
    <x v="1"/>
    <n v="0"/>
  </r>
  <r>
    <x v="0"/>
    <x v="1"/>
    <x v="17"/>
    <x v="35"/>
    <x v="52"/>
    <x v="1"/>
    <n v="0"/>
  </r>
  <r>
    <x v="0"/>
    <x v="1"/>
    <x v="17"/>
    <x v="35"/>
    <x v="53"/>
    <x v="1"/>
    <n v="0"/>
  </r>
  <r>
    <x v="0"/>
    <x v="1"/>
    <x v="17"/>
    <x v="35"/>
    <x v="54"/>
    <x v="1"/>
    <n v="0"/>
  </r>
  <r>
    <x v="0"/>
    <x v="1"/>
    <x v="17"/>
    <x v="35"/>
    <x v="55"/>
    <x v="1"/>
    <n v="0"/>
  </r>
  <r>
    <x v="0"/>
    <x v="1"/>
    <x v="17"/>
    <x v="36"/>
    <x v="46"/>
    <x v="1"/>
    <n v="24.740445863000001"/>
  </r>
  <r>
    <x v="0"/>
    <x v="1"/>
    <x v="17"/>
    <x v="36"/>
    <x v="47"/>
    <x v="1"/>
    <n v="24.740445863000001"/>
  </r>
  <r>
    <x v="0"/>
    <x v="1"/>
    <x v="17"/>
    <x v="36"/>
    <x v="48"/>
    <x v="1"/>
    <n v="24.740445863000001"/>
  </r>
  <r>
    <x v="0"/>
    <x v="1"/>
    <x v="17"/>
    <x v="36"/>
    <x v="49"/>
    <x v="1"/>
    <n v="0"/>
  </r>
  <r>
    <x v="0"/>
    <x v="1"/>
    <x v="17"/>
    <x v="36"/>
    <x v="50"/>
    <x v="1"/>
    <n v="0"/>
  </r>
  <r>
    <x v="0"/>
    <x v="1"/>
    <x v="17"/>
    <x v="36"/>
    <x v="51"/>
    <x v="1"/>
    <n v="0"/>
  </r>
  <r>
    <x v="0"/>
    <x v="1"/>
    <x v="17"/>
    <x v="36"/>
    <x v="52"/>
    <x v="1"/>
    <n v="0"/>
  </r>
  <r>
    <x v="0"/>
    <x v="1"/>
    <x v="17"/>
    <x v="36"/>
    <x v="53"/>
    <x v="1"/>
    <n v="0"/>
  </r>
  <r>
    <x v="0"/>
    <x v="1"/>
    <x v="17"/>
    <x v="36"/>
    <x v="54"/>
    <x v="1"/>
    <n v="0"/>
  </r>
  <r>
    <x v="0"/>
    <x v="1"/>
    <x v="17"/>
    <x v="36"/>
    <x v="55"/>
    <x v="1"/>
    <n v="0"/>
  </r>
  <r>
    <x v="0"/>
    <x v="1"/>
    <x v="17"/>
    <x v="37"/>
    <x v="46"/>
    <x v="1"/>
    <n v="67.654677508000006"/>
  </r>
  <r>
    <x v="0"/>
    <x v="1"/>
    <x v="17"/>
    <x v="37"/>
    <x v="47"/>
    <x v="1"/>
    <n v="67.654677508000006"/>
  </r>
  <r>
    <x v="0"/>
    <x v="1"/>
    <x v="17"/>
    <x v="37"/>
    <x v="48"/>
    <x v="1"/>
    <n v="67.654677508000006"/>
  </r>
  <r>
    <x v="0"/>
    <x v="1"/>
    <x v="17"/>
    <x v="37"/>
    <x v="49"/>
    <x v="1"/>
    <n v="0"/>
  </r>
  <r>
    <x v="0"/>
    <x v="1"/>
    <x v="17"/>
    <x v="37"/>
    <x v="50"/>
    <x v="1"/>
    <n v="0"/>
  </r>
  <r>
    <x v="0"/>
    <x v="1"/>
    <x v="17"/>
    <x v="37"/>
    <x v="51"/>
    <x v="1"/>
    <n v="0"/>
  </r>
  <r>
    <x v="0"/>
    <x v="1"/>
    <x v="17"/>
    <x v="37"/>
    <x v="52"/>
    <x v="1"/>
    <n v="0"/>
  </r>
  <r>
    <x v="0"/>
    <x v="1"/>
    <x v="17"/>
    <x v="37"/>
    <x v="53"/>
    <x v="1"/>
    <n v="0"/>
  </r>
  <r>
    <x v="0"/>
    <x v="1"/>
    <x v="17"/>
    <x v="37"/>
    <x v="54"/>
    <x v="1"/>
    <n v="0"/>
  </r>
  <r>
    <x v="0"/>
    <x v="1"/>
    <x v="17"/>
    <x v="37"/>
    <x v="55"/>
    <x v="1"/>
    <n v="0"/>
  </r>
  <r>
    <x v="0"/>
    <x v="1"/>
    <x v="17"/>
    <x v="38"/>
    <x v="46"/>
    <x v="1"/>
    <n v="114.11292828800001"/>
  </r>
  <r>
    <x v="0"/>
    <x v="1"/>
    <x v="17"/>
    <x v="38"/>
    <x v="47"/>
    <x v="1"/>
    <n v="114.11292828800001"/>
  </r>
  <r>
    <x v="0"/>
    <x v="1"/>
    <x v="17"/>
    <x v="38"/>
    <x v="48"/>
    <x v="1"/>
    <n v="114.11292828800001"/>
  </r>
  <r>
    <x v="0"/>
    <x v="1"/>
    <x v="17"/>
    <x v="38"/>
    <x v="49"/>
    <x v="1"/>
    <n v="0"/>
  </r>
  <r>
    <x v="0"/>
    <x v="1"/>
    <x v="17"/>
    <x v="38"/>
    <x v="50"/>
    <x v="1"/>
    <n v="0"/>
  </r>
  <r>
    <x v="0"/>
    <x v="1"/>
    <x v="17"/>
    <x v="38"/>
    <x v="51"/>
    <x v="1"/>
    <n v="0"/>
  </r>
  <r>
    <x v="0"/>
    <x v="1"/>
    <x v="17"/>
    <x v="38"/>
    <x v="52"/>
    <x v="1"/>
    <n v="0"/>
  </r>
  <r>
    <x v="0"/>
    <x v="1"/>
    <x v="17"/>
    <x v="38"/>
    <x v="53"/>
    <x v="1"/>
    <n v="0"/>
  </r>
  <r>
    <x v="0"/>
    <x v="1"/>
    <x v="17"/>
    <x v="38"/>
    <x v="54"/>
    <x v="1"/>
    <n v="0"/>
  </r>
  <r>
    <x v="0"/>
    <x v="1"/>
    <x v="17"/>
    <x v="38"/>
    <x v="55"/>
    <x v="1"/>
    <n v="0"/>
  </r>
  <r>
    <x v="0"/>
    <x v="1"/>
    <x v="17"/>
    <x v="39"/>
    <x v="46"/>
    <x v="1"/>
    <n v="64.084822594000002"/>
  </r>
  <r>
    <x v="0"/>
    <x v="1"/>
    <x v="17"/>
    <x v="39"/>
    <x v="47"/>
    <x v="1"/>
    <n v="64.084822594000002"/>
  </r>
  <r>
    <x v="0"/>
    <x v="1"/>
    <x v="17"/>
    <x v="39"/>
    <x v="48"/>
    <x v="1"/>
    <n v="64.084822594000002"/>
  </r>
  <r>
    <x v="0"/>
    <x v="1"/>
    <x v="17"/>
    <x v="39"/>
    <x v="49"/>
    <x v="1"/>
    <n v="0"/>
  </r>
  <r>
    <x v="0"/>
    <x v="1"/>
    <x v="17"/>
    <x v="39"/>
    <x v="50"/>
    <x v="1"/>
    <n v="0"/>
  </r>
  <r>
    <x v="0"/>
    <x v="1"/>
    <x v="17"/>
    <x v="39"/>
    <x v="51"/>
    <x v="1"/>
    <n v="0"/>
  </r>
  <r>
    <x v="0"/>
    <x v="1"/>
    <x v="17"/>
    <x v="39"/>
    <x v="52"/>
    <x v="1"/>
    <n v="0"/>
  </r>
  <r>
    <x v="0"/>
    <x v="1"/>
    <x v="17"/>
    <x v="39"/>
    <x v="53"/>
    <x v="1"/>
    <n v="0"/>
  </r>
  <r>
    <x v="0"/>
    <x v="1"/>
    <x v="17"/>
    <x v="39"/>
    <x v="54"/>
    <x v="1"/>
    <n v="0"/>
  </r>
  <r>
    <x v="0"/>
    <x v="1"/>
    <x v="17"/>
    <x v="39"/>
    <x v="55"/>
    <x v="1"/>
    <n v="0"/>
  </r>
  <r>
    <x v="0"/>
    <x v="1"/>
    <x v="17"/>
    <x v="40"/>
    <x v="46"/>
    <x v="1"/>
    <n v="28.523089055"/>
  </r>
  <r>
    <x v="0"/>
    <x v="1"/>
    <x v="17"/>
    <x v="40"/>
    <x v="47"/>
    <x v="1"/>
    <n v="28.523089055"/>
  </r>
  <r>
    <x v="0"/>
    <x v="1"/>
    <x v="17"/>
    <x v="40"/>
    <x v="48"/>
    <x v="1"/>
    <n v="28.523089055"/>
  </r>
  <r>
    <x v="0"/>
    <x v="1"/>
    <x v="17"/>
    <x v="40"/>
    <x v="49"/>
    <x v="1"/>
    <n v="0"/>
  </r>
  <r>
    <x v="0"/>
    <x v="1"/>
    <x v="17"/>
    <x v="40"/>
    <x v="50"/>
    <x v="1"/>
    <n v="0"/>
  </r>
  <r>
    <x v="0"/>
    <x v="1"/>
    <x v="17"/>
    <x v="40"/>
    <x v="51"/>
    <x v="1"/>
    <n v="0"/>
  </r>
  <r>
    <x v="0"/>
    <x v="1"/>
    <x v="17"/>
    <x v="40"/>
    <x v="52"/>
    <x v="1"/>
    <n v="0"/>
  </r>
  <r>
    <x v="0"/>
    <x v="1"/>
    <x v="17"/>
    <x v="40"/>
    <x v="53"/>
    <x v="1"/>
    <n v="0"/>
  </r>
  <r>
    <x v="0"/>
    <x v="1"/>
    <x v="17"/>
    <x v="40"/>
    <x v="54"/>
    <x v="1"/>
    <n v="0"/>
  </r>
  <r>
    <x v="0"/>
    <x v="1"/>
    <x v="17"/>
    <x v="40"/>
    <x v="55"/>
    <x v="1"/>
    <n v="0"/>
  </r>
  <r>
    <x v="0"/>
    <x v="1"/>
    <x v="17"/>
    <x v="41"/>
    <x v="46"/>
    <x v="1"/>
    <n v="202.82963110700001"/>
  </r>
  <r>
    <x v="0"/>
    <x v="1"/>
    <x v="17"/>
    <x v="41"/>
    <x v="47"/>
    <x v="1"/>
    <n v="202.82963110700001"/>
  </r>
  <r>
    <x v="0"/>
    <x v="1"/>
    <x v="17"/>
    <x v="41"/>
    <x v="48"/>
    <x v="1"/>
    <n v="202.82963110700001"/>
  </r>
  <r>
    <x v="0"/>
    <x v="1"/>
    <x v="17"/>
    <x v="41"/>
    <x v="49"/>
    <x v="1"/>
    <n v="0"/>
  </r>
  <r>
    <x v="0"/>
    <x v="1"/>
    <x v="17"/>
    <x v="41"/>
    <x v="50"/>
    <x v="1"/>
    <n v="0"/>
  </r>
  <r>
    <x v="0"/>
    <x v="1"/>
    <x v="17"/>
    <x v="41"/>
    <x v="51"/>
    <x v="1"/>
    <n v="0"/>
  </r>
  <r>
    <x v="0"/>
    <x v="1"/>
    <x v="17"/>
    <x v="41"/>
    <x v="52"/>
    <x v="1"/>
    <n v="0"/>
  </r>
  <r>
    <x v="0"/>
    <x v="1"/>
    <x v="17"/>
    <x v="41"/>
    <x v="53"/>
    <x v="1"/>
    <n v="0"/>
  </r>
  <r>
    <x v="0"/>
    <x v="1"/>
    <x v="17"/>
    <x v="41"/>
    <x v="54"/>
    <x v="1"/>
    <n v="0"/>
  </r>
  <r>
    <x v="0"/>
    <x v="1"/>
    <x v="17"/>
    <x v="41"/>
    <x v="55"/>
    <x v="1"/>
    <n v="0"/>
  </r>
  <r>
    <x v="0"/>
    <x v="1"/>
    <x v="18"/>
    <x v="42"/>
    <x v="46"/>
    <x v="1"/>
    <n v="246.310068414"/>
  </r>
  <r>
    <x v="0"/>
    <x v="1"/>
    <x v="18"/>
    <x v="42"/>
    <x v="47"/>
    <x v="1"/>
    <n v="246.310068414"/>
  </r>
  <r>
    <x v="0"/>
    <x v="1"/>
    <x v="18"/>
    <x v="42"/>
    <x v="48"/>
    <x v="1"/>
    <n v="246.310068414"/>
  </r>
  <r>
    <x v="0"/>
    <x v="1"/>
    <x v="18"/>
    <x v="42"/>
    <x v="49"/>
    <x v="1"/>
    <n v="0"/>
  </r>
  <r>
    <x v="0"/>
    <x v="1"/>
    <x v="18"/>
    <x v="42"/>
    <x v="50"/>
    <x v="1"/>
    <n v="0"/>
  </r>
  <r>
    <x v="0"/>
    <x v="1"/>
    <x v="18"/>
    <x v="42"/>
    <x v="51"/>
    <x v="1"/>
    <n v="0"/>
  </r>
  <r>
    <x v="0"/>
    <x v="1"/>
    <x v="18"/>
    <x v="42"/>
    <x v="52"/>
    <x v="1"/>
    <n v="0"/>
  </r>
  <r>
    <x v="0"/>
    <x v="1"/>
    <x v="18"/>
    <x v="42"/>
    <x v="53"/>
    <x v="1"/>
    <n v="0"/>
  </r>
  <r>
    <x v="0"/>
    <x v="1"/>
    <x v="18"/>
    <x v="42"/>
    <x v="54"/>
    <x v="1"/>
    <n v="0"/>
  </r>
  <r>
    <x v="0"/>
    <x v="1"/>
    <x v="18"/>
    <x v="42"/>
    <x v="55"/>
    <x v="1"/>
    <n v="0"/>
  </r>
  <r>
    <x v="0"/>
    <x v="1"/>
    <x v="18"/>
    <x v="43"/>
    <x v="46"/>
    <x v="1"/>
    <n v="774.25110285100004"/>
  </r>
  <r>
    <x v="0"/>
    <x v="1"/>
    <x v="18"/>
    <x v="43"/>
    <x v="47"/>
    <x v="1"/>
    <n v="774.25110285100004"/>
  </r>
  <r>
    <x v="0"/>
    <x v="1"/>
    <x v="18"/>
    <x v="43"/>
    <x v="48"/>
    <x v="1"/>
    <n v="774.25110285100004"/>
  </r>
  <r>
    <x v="0"/>
    <x v="1"/>
    <x v="18"/>
    <x v="43"/>
    <x v="49"/>
    <x v="1"/>
    <n v="0"/>
  </r>
  <r>
    <x v="0"/>
    <x v="1"/>
    <x v="18"/>
    <x v="43"/>
    <x v="50"/>
    <x v="1"/>
    <n v="0"/>
  </r>
  <r>
    <x v="0"/>
    <x v="1"/>
    <x v="18"/>
    <x v="43"/>
    <x v="51"/>
    <x v="1"/>
    <n v="0"/>
  </r>
  <r>
    <x v="0"/>
    <x v="1"/>
    <x v="18"/>
    <x v="43"/>
    <x v="52"/>
    <x v="1"/>
    <n v="0"/>
  </r>
  <r>
    <x v="0"/>
    <x v="1"/>
    <x v="18"/>
    <x v="43"/>
    <x v="53"/>
    <x v="1"/>
    <n v="0"/>
  </r>
  <r>
    <x v="0"/>
    <x v="1"/>
    <x v="18"/>
    <x v="43"/>
    <x v="54"/>
    <x v="1"/>
    <n v="0"/>
  </r>
  <r>
    <x v="0"/>
    <x v="1"/>
    <x v="18"/>
    <x v="43"/>
    <x v="55"/>
    <x v="1"/>
    <n v="0"/>
  </r>
  <r>
    <x v="0"/>
    <x v="1"/>
    <x v="19"/>
    <x v="44"/>
    <x v="46"/>
    <x v="5"/>
    <n v="6781.1939664330002"/>
  </r>
  <r>
    <x v="0"/>
    <x v="1"/>
    <x v="19"/>
    <x v="44"/>
    <x v="47"/>
    <x v="5"/>
    <n v="6781.1939664330002"/>
  </r>
  <r>
    <x v="0"/>
    <x v="1"/>
    <x v="19"/>
    <x v="44"/>
    <x v="48"/>
    <x v="5"/>
    <n v="6781.1939664330002"/>
  </r>
  <r>
    <x v="0"/>
    <x v="1"/>
    <x v="19"/>
    <x v="44"/>
    <x v="49"/>
    <x v="5"/>
    <n v="0"/>
  </r>
  <r>
    <x v="0"/>
    <x v="1"/>
    <x v="19"/>
    <x v="44"/>
    <x v="50"/>
    <x v="5"/>
    <n v="0"/>
  </r>
  <r>
    <x v="0"/>
    <x v="1"/>
    <x v="19"/>
    <x v="44"/>
    <x v="51"/>
    <x v="5"/>
    <n v="0"/>
  </r>
  <r>
    <x v="0"/>
    <x v="1"/>
    <x v="19"/>
    <x v="44"/>
    <x v="52"/>
    <x v="5"/>
    <n v="0"/>
  </r>
  <r>
    <x v="0"/>
    <x v="1"/>
    <x v="19"/>
    <x v="44"/>
    <x v="53"/>
    <x v="5"/>
    <n v="0"/>
  </r>
  <r>
    <x v="0"/>
    <x v="1"/>
    <x v="19"/>
    <x v="44"/>
    <x v="54"/>
    <x v="5"/>
    <n v="0"/>
  </r>
  <r>
    <x v="0"/>
    <x v="1"/>
    <x v="19"/>
    <x v="44"/>
    <x v="55"/>
    <x v="5"/>
    <n v="0"/>
  </r>
  <r>
    <x v="0"/>
    <x v="1"/>
    <x v="20"/>
    <x v="44"/>
    <x v="0"/>
    <x v="6"/>
    <n v="2313.2825658380002"/>
  </r>
  <r>
    <x v="0"/>
    <x v="1"/>
    <x v="21"/>
    <x v="44"/>
    <x v="0"/>
    <x v="6"/>
    <n v="4727.5287609839997"/>
  </r>
  <r>
    <x v="0"/>
    <x v="1"/>
    <x v="22"/>
    <x v="44"/>
    <x v="0"/>
    <x v="5"/>
    <n v="0.48932173299999998"/>
  </r>
  <r>
    <x v="0"/>
    <x v="1"/>
    <x v="23"/>
    <x v="44"/>
    <x v="0"/>
    <x v="5"/>
    <n v="2650.9835735900001"/>
  </r>
  <r>
    <x v="0"/>
    <x v="1"/>
    <x v="24"/>
    <x v="44"/>
    <x v="0"/>
    <x v="6"/>
    <n v="2391.8640196400002"/>
  </r>
  <r>
    <x v="0"/>
    <x v="1"/>
    <x v="25"/>
    <x v="45"/>
    <x v="0"/>
    <x v="6"/>
    <n v="845.70713002499997"/>
  </r>
  <r>
    <x v="0"/>
    <x v="1"/>
    <x v="26"/>
    <x v="44"/>
    <x v="0"/>
    <x v="6"/>
    <n v="1740.603915038"/>
  </r>
  <r>
    <x v="0"/>
    <x v="1"/>
    <x v="27"/>
    <x v="44"/>
    <x v="0"/>
    <x v="6"/>
    <n v="980.52914721900004"/>
  </r>
  <r>
    <x v="0"/>
    <x v="1"/>
    <x v="28"/>
    <x v="44"/>
    <x v="0"/>
    <x v="6"/>
    <n v="1231.1754509370001"/>
  </r>
  <r>
    <x v="0"/>
    <x v="1"/>
    <x v="29"/>
    <x v="44"/>
    <x v="0"/>
    <x v="6"/>
    <n v="49.285689677000001"/>
  </r>
  <r>
    <x v="0"/>
    <x v="1"/>
    <x v="30"/>
    <x v="44"/>
    <x v="0"/>
    <x v="6"/>
    <n v="2030.5668735899999"/>
  </r>
  <r>
    <x v="0"/>
    <x v="1"/>
    <x v="31"/>
    <x v="44"/>
    <x v="0"/>
    <x v="6"/>
    <n v="5352.7850363360003"/>
  </r>
  <r>
    <x v="0"/>
    <x v="1"/>
    <x v="32"/>
    <x v="44"/>
    <x v="0"/>
    <x v="5"/>
    <n v="0.37934773399999999"/>
  </r>
  <r>
    <x v="0"/>
    <x v="1"/>
    <x v="33"/>
    <x v="44"/>
    <x v="0"/>
    <x v="5"/>
    <n v="2.3390207E-2"/>
  </r>
  <r>
    <x v="0"/>
    <x v="1"/>
    <x v="34"/>
    <x v="44"/>
    <x v="0"/>
    <x v="5"/>
    <n v="1"/>
  </r>
  <r>
    <x v="0"/>
    <x v="1"/>
    <x v="35"/>
    <x v="44"/>
    <x v="0"/>
    <x v="5"/>
    <n v="1.075"/>
  </r>
  <r>
    <x v="0"/>
    <x v="1"/>
    <x v="36"/>
    <x v="44"/>
    <x v="0"/>
    <x v="5"/>
    <n v="-0.15315581"/>
  </r>
  <r>
    <x v="0"/>
    <x v="1"/>
    <x v="37"/>
    <x v="45"/>
    <x v="0"/>
    <x v="6"/>
    <n v="0"/>
  </r>
  <r>
    <x v="0"/>
    <x v="1"/>
    <x v="38"/>
    <x v="45"/>
    <x v="0"/>
    <x v="6"/>
    <n v="0"/>
  </r>
  <r>
    <x v="0"/>
    <x v="1"/>
    <x v="39"/>
    <x v="45"/>
    <x v="0"/>
    <x v="6"/>
    <n v="1"/>
  </r>
  <r>
    <x v="0"/>
    <x v="1"/>
    <x v="40"/>
    <x v="45"/>
    <x v="0"/>
    <x v="6"/>
    <n v="819.73299506000001"/>
  </r>
  <r>
    <x v="0"/>
    <x v="1"/>
    <x v="41"/>
    <x v="45"/>
    <x v="0"/>
    <x v="6"/>
    <n v="692.051846759"/>
  </r>
  <r>
    <x v="0"/>
    <x v="1"/>
    <x v="42"/>
    <x v="45"/>
    <x v="0"/>
    <x v="6"/>
    <n v="127.68114830099999"/>
  </r>
  <r>
    <x v="0"/>
    <x v="1"/>
    <x v="43"/>
    <x v="45"/>
    <x v="0"/>
    <x v="6"/>
    <n v="293.35566010000002"/>
  </r>
  <r>
    <x v="0"/>
    <x v="1"/>
    <x v="44"/>
    <x v="45"/>
    <x v="0"/>
    <x v="6"/>
    <n v="0"/>
  </r>
  <r>
    <x v="0"/>
    <x v="1"/>
    <x v="45"/>
    <x v="44"/>
    <x v="0"/>
    <x v="5"/>
    <n v="0.435243514"/>
  </r>
  <r>
    <x v="0"/>
    <x v="1"/>
    <x v="46"/>
    <x v="45"/>
    <x v="0"/>
    <x v="5"/>
    <n v="1.9370812749999999"/>
  </r>
  <r>
    <x v="0"/>
    <x v="1"/>
    <x v="47"/>
    <x v="46"/>
    <x v="0"/>
    <x v="6"/>
    <n v="151.73722605699999"/>
  </r>
  <r>
    <x v="0"/>
    <x v="1"/>
    <x v="48"/>
    <x v="47"/>
    <x v="0"/>
    <x v="6"/>
    <n v="0"/>
  </r>
  <r>
    <x v="0"/>
    <x v="1"/>
    <x v="49"/>
    <x v="47"/>
    <x v="0"/>
    <x v="6"/>
    <n v="0"/>
  </r>
  <r>
    <x v="0"/>
    <x v="1"/>
    <x v="50"/>
    <x v="48"/>
    <x v="0"/>
    <x v="7"/>
    <n v="969.68561719399997"/>
  </r>
  <r>
    <x v="0"/>
    <x v="1"/>
    <x v="50"/>
    <x v="49"/>
    <x v="0"/>
    <x v="7"/>
    <n v="909.14403033899998"/>
  </r>
  <r>
    <x v="0"/>
    <x v="1"/>
    <x v="51"/>
    <x v="42"/>
    <x v="0"/>
    <x v="4"/>
    <n v="475.28687905999999"/>
  </r>
  <r>
    <x v="0"/>
    <x v="1"/>
    <x v="51"/>
    <x v="43"/>
    <x v="0"/>
    <x v="4"/>
    <n v="1577.9451785680001"/>
  </r>
  <r>
    <x v="0"/>
    <x v="1"/>
    <x v="52"/>
    <x v="42"/>
    <x v="0"/>
    <x v="4"/>
    <n v="347.61649934500002"/>
  </r>
  <r>
    <x v="0"/>
    <x v="1"/>
    <x v="52"/>
    <x v="43"/>
    <x v="0"/>
    <x v="4"/>
    <n v="1015.273398408"/>
  </r>
  <r>
    <x v="0"/>
    <x v="1"/>
    <x v="53"/>
    <x v="42"/>
    <x v="0"/>
    <x v="4"/>
    <n v="101.30643093099999"/>
  </r>
  <r>
    <x v="0"/>
    <x v="1"/>
    <x v="53"/>
    <x v="43"/>
    <x v="0"/>
    <x v="4"/>
    <n v="241.02229555599999"/>
  </r>
  <r>
    <x v="0"/>
    <x v="1"/>
    <x v="54"/>
    <x v="42"/>
    <x v="56"/>
    <x v="4"/>
    <n v="78.408384768000005"/>
  </r>
  <r>
    <x v="0"/>
    <x v="1"/>
    <x v="54"/>
    <x v="43"/>
    <x v="56"/>
    <x v="4"/>
    <n v="446.53402284600003"/>
  </r>
  <r>
    <x v="0"/>
    <x v="1"/>
    <x v="55"/>
    <x v="42"/>
    <x v="0"/>
    <x v="4"/>
    <n v="0.51806210399999997"/>
  </r>
  <r>
    <x v="0"/>
    <x v="1"/>
    <x v="55"/>
    <x v="43"/>
    <x v="0"/>
    <x v="4"/>
    <n v="0.485422138"/>
  </r>
  <r>
    <x v="0"/>
    <x v="1"/>
    <x v="56"/>
    <x v="42"/>
    <x v="0"/>
    <x v="4"/>
    <n v="0.63906087099999997"/>
  </r>
  <r>
    <x v="0"/>
    <x v="1"/>
    <x v="56"/>
    <x v="43"/>
    <x v="0"/>
    <x v="4"/>
    <n v="0.61990851000000002"/>
  </r>
  <r>
    <x v="0"/>
    <x v="1"/>
    <x v="57"/>
    <x v="42"/>
    <x v="0"/>
    <x v="4"/>
    <n v="0.36391353799999998"/>
  </r>
  <r>
    <x v="0"/>
    <x v="1"/>
    <x v="57"/>
    <x v="43"/>
    <x v="0"/>
    <x v="4"/>
    <n v="0.35295465500000001"/>
  </r>
  <r>
    <x v="0"/>
    <x v="1"/>
    <x v="58"/>
    <x v="44"/>
    <x v="57"/>
    <x v="5"/>
    <n v="0.36997063499999999"/>
  </r>
  <r>
    <x v="0"/>
    <x v="1"/>
    <x v="59"/>
    <x v="44"/>
    <x v="57"/>
    <x v="6"/>
    <n v="704.06799999999998"/>
  </r>
  <r>
    <x v="0"/>
    <x v="1"/>
    <x v="60"/>
    <x v="0"/>
    <x v="57"/>
    <x v="8"/>
    <n v="160.35444743599999"/>
  </r>
  <r>
    <x v="0"/>
    <x v="1"/>
    <x v="60"/>
    <x v="1"/>
    <x v="57"/>
    <x v="8"/>
    <n v="24.963314098000001"/>
  </r>
  <r>
    <x v="0"/>
    <x v="1"/>
    <x v="60"/>
    <x v="2"/>
    <x v="57"/>
    <x v="8"/>
    <n v="110.83880043800001"/>
  </r>
  <r>
    <x v="0"/>
    <x v="1"/>
    <x v="60"/>
    <x v="3"/>
    <x v="57"/>
    <x v="8"/>
    <n v="67.452790933000003"/>
  </r>
  <r>
    <x v="0"/>
    <x v="1"/>
    <x v="60"/>
    <x v="4"/>
    <x v="57"/>
    <x v="8"/>
    <n v="4.4525837409999998"/>
  </r>
  <r>
    <x v="0"/>
    <x v="1"/>
    <x v="60"/>
    <x v="5"/>
    <x v="57"/>
    <x v="8"/>
    <n v="69.645237988999995"/>
  </r>
  <r>
    <x v="0"/>
    <x v="1"/>
    <x v="60"/>
    <x v="6"/>
    <x v="57"/>
    <x v="8"/>
    <n v="11.111800046000001"/>
  </r>
  <r>
    <x v="0"/>
    <x v="1"/>
    <x v="60"/>
    <x v="7"/>
    <x v="57"/>
    <x v="8"/>
    <n v="18.160618293999999"/>
  </r>
  <r>
    <x v="0"/>
    <x v="1"/>
    <x v="60"/>
    <x v="8"/>
    <x v="57"/>
    <x v="8"/>
    <n v="5.679604662"/>
  </r>
  <r>
    <x v="0"/>
    <x v="1"/>
    <x v="60"/>
    <x v="9"/>
    <x v="57"/>
    <x v="8"/>
    <n v="18.819875317000001"/>
  </r>
  <r>
    <x v="0"/>
    <x v="1"/>
    <x v="60"/>
    <x v="10"/>
    <x v="57"/>
    <x v="8"/>
    <n v="23.041034137"/>
  </r>
  <r>
    <x v="0"/>
    <x v="1"/>
    <x v="60"/>
    <x v="11"/>
    <x v="57"/>
    <x v="8"/>
    <n v="109.66334453499999"/>
  </r>
  <r>
    <x v="0"/>
    <x v="1"/>
    <x v="60"/>
    <x v="12"/>
    <x v="57"/>
    <x v="8"/>
    <n v="4.6624464200000002"/>
  </r>
  <r>
    <x v="0"/>
    <x v="1"/>
    <x v="60"/>
    <x v="13"/>
    <x v="57"/>
    <x v="8"/>
    <n v="50.434333039999999"/>
  </r>
  <r>
    <x v="0"/>
    <x v="1"/>
    <x v="60"/>
    <x v="14"/>
    <x v="57"/>
    <x v="8"/>
    <n v="5.9986426719999999"/>
  </r>
  <r>
    <x v="0"/>
    <x v="1"/>
    <x v="60"/>
    <x v="15"/>
    <x v="57"/>
    <x v="8"/>
    <n v="42.821613120000002"/>
  </r>
  <r>
    <x v="0"/>
    <x v="1"/>
    <x v="60"/>
    <x v="16"/>
    <x v="57"/>
    <x v="8"/>
    <n v="36.453751627000003"/>
  </r>
  <r>
    <x v="0"/>
    <x v="1"/>
    <x v="60"/>
    <x v="17"/>
    <x v="57"/>
    <x v="8"/>
    <n v="57.692363823999997"/>
  </r>
  <r>
    <x v="0"/>
    <x v="1"/>
    <x v="60"/>
    <x v="18"/>
    <x v="57"/>
    <x v="8"/>
    <n v="32.117292777999999"/>
  </r>
  <r>
    <x v="0"/>
    <x v="1"/>
    <x v="60"/>
    <x v="19"/>
    <x v="57"/>
    <x v="8"/>
    <n v="203.80206307500001"/>
  </r>
  <r>
    <x v="0"/>
    <x v="1"/>
    <x v="60"/>
    <x v="20"/>
    <x v="57"/>
    <x v="8"/>
    <n v="26.367940952000001"/>
  </r>
  <r>
    <x v="0"/>
    <x v="1"/>
    <x v="60"/>
    <x v="21"/>
    <x v="57"/>
    <x v="8"/>
    <n v="0.47721345199999998"/>
  </r>
  <r>
    <x v="0"/>
    <x v="1"/>
    <x v="60"/>
    <x v="22"/>
    <x v="57"/>
    <x v="8"/>
    <n v="3.2209750260000001"/>
  </r>
  <r>
    <x v="0"/>
    <x v="1"/>
    <x v="60"/>
    <x v="23"/>
    <x v="57"/>
    <x v="8"/>
    <n v="0"/>
  </r>
  <r>
    <x v="0"/>
    <x v="1"/>
    <x v="60"/>
    <x v="24"/>
    <x v="57"/>
    <x v="8"/>
    <n v="0.18598034899999999"/>
  </r>
  <r>
    <x v="0"/>
    <x v="1"/>
    <x v="60"/>
    <x v="25"/>
    <x v="57"/>
    <x v="8"/>
    <n v="1.5300000000000001E-7"/>
  </r>
  <r>
    <x v="0"/>
    <x v="1"/>
    <x v="60"/>
    <x v="26"/>
    <x v="57"/>
    <x v="8"/>
    <n v="0"/>
  </r>
  <r>
    <x v="0"/>
    <x v="1"/>
    <x v="60"/>
    <x v="27"/>
    <x v="57"/>
    <x v="8"/>
    <n v="2.92136737"/>
  </r>
  <r>
    <x v="0"/>
    <x v="1"/>
    <x v="60"/>
    <x v="28"/>
    <x v="57"/>
    <x v="8"/>
    <n v="0"/>
  </r>
  <r>
    <x v="0"/>
    <x v="1"/>
    <x v="60"/>
    <x v="29"/>
    <x v="57"/>
    <x v="8"/>
    <n v="33.490056097999997"/>
  </r>
  <r>
    <x v="0"/>
    <x v="1"/>
    <x v="60"/>
    <x v="30"/>
    <x v="57"/>
    <x v="8"/>
    <n v="23.089189449999999"/>
  </r>
  <r>
    <x v="0"/>
    <x v="1"/>
    <x v="60"/>
    <x v="31"/>
    <x v="57"/>
    <x v="8"/>
    <n v="6.1538774250000001"/>
  </r>
  <r>
    <x v="0"/>
    <x v="1"/>
    <x v="60"/>
    <x v="32"/>
    <x v="57"/>
    <x v="8"/>
    <n v="3.674200414"/>
  </r>
  <r>
    <x v="0"/>
    <x v="1"/>
    <x v="60"/>
    <x v="33"/>
    <x v="57"/>
    <x v="8"/>
    <n v="0"/>
  </r>
  <r>
    <x v="0"/>
    <x v="1"/>
    <x v="60"/>
    <x v="34"/>
    <x v="57"/>
    <x v="8"/>
    <n v="35.759036494"/>
  </r>
  <r>
    <x v="0"/>
    <x v="1"/>
    <x v="60"/>
    <x v="35"/>
    <x v="57"/>
    <x v="8"/>
    <n v="2.6268748949999998"/>
  </r>
  <r>
    <x v="0"/>
    <x v="1"/>
    <x v="60"/>
    <x v="36"/>
    <x v="57"/>
    <x v="8"/>
    <n v="4.1927587160000002"/>
  </r>
  <r>
    <x v="0"/>
    <x v="1"/>
    <x v="60"/>
    <x v="37"/>
    <x v="57"/>
    <x v="8"/>
    <n v="2.312619889"/>
  </r>
  <r>
    <x v="0"/>
    <x v="1"/>
    <x v="60"/>
    <x v="38"/>
    <x v="57"/>
    <x v="8"/>
    <n v="4.4662905110000004"/>
  </r>
  <r>
    <x v="0"/>
    <x v="1"/>
    <x v="60"/>
    <x v="39"/>
    <x v="57"/>
    <x v="8"/>
    <n v="1.8991604550000001"/>
  </r>
  <r>
    <x v="0"/>
    <x v="1"/>
    <x v="60"/>
    <x v="40"/>
    <x v="57"/>
    <x v="8"/>
    <n v="19.322392807"/>
  </r>
  <r>
    <x v="0"/>
    <x v="1"/>
    <x v="60"/>
    <x v="41"/>
    <x v="57"/>
    <x v="8"/>
    <n v="2.8495582979999998"/>
  </r>
  <r>
    <x v="0"/>
    <x v="1"/>
    <x v="61"/>
    <x v="0"/>
    <x v="57"/>
    <x v="8"/>
    <n v="1.976241618"/>
  </r>
  <r>
    <x v="0"/>
    <x v="1"/>
    <x v="61"/>
    <x v="1"/>
    <x v="57"/>
    <x v="8"/>
    <n v="0.61330514400000002"/>
  </r>
  <r>
    <x v="0"/>
    <x v="1"/>
    <x v="61"/>
    <x v="2"/>
    <x v="57"/>
    <x v="8"/>
    <n v="2.5209395469999998"/>
  </r>
  <r>
    <x v="0"/>
    <x v="1"/>
    <x v="61"/>
    <x v="3"/>
    <x v="57"/>
    <x v="8"/>
    <n v="0.53525310100000001"/>
  </r>
  <r>
    <x v="0"/>
    <x v="1"/>
    <x v="61"/>
    <x v="4"/>
    <x v="57"/>
    <x v="8"/>
    <n v="0.99526420699999996"/>
  </r>
  <r>
    <x v="0"/>
    <x v="1"/>
    <x v="61"/>
    <x v="5"/>
    <x v="57"/>
    <x v="8"/>
    <n v="11.817769522000001"/>
  </r>
  <r>
    <x v="0"/>
    <x v="1"/>
    <x v="61"/>
    <x v="6"/>
    <x v="57"/>
    <x v="8"/>
    <n v="23.036991665999999"/>
  </r>
  <r>
    <x v="0"/>
    <x v="1"/>
    <x v="61"/>
    <x v="7"/>
    <x v="57"/>
    <x v="8"/>
    <n v="47.190856449000002"/>
  </r>
  <r>
    <x v="0"/>
    <x v="1"/>
    <x v="61"/>
    <x v="8"/>
    <x v="57"/>
    <x v="8"/>
    <n v="18.453352541000001"/>
  </r>
  <r>
    <x v="0"/>
    <x v="1"/>
    <x v="61"/>
    <x v="9"/>
    <x v="57"/>
    <x v="8"/>
    <n v="38.765580806999999"/>
  </r>
  <r>
    <x v="0"/>
    <x v="1"/>
    <x v="61"/>
    <x v="10"/>
    <x v="57"/>
    <x v="8"/>
    <n v="12.502366389000001"/>
  </r>
  <r>
    <x v="0"/>
    <x v="1"/>
    <x v="61"/>
    <x v="11"/>
    <x v="57"/>
    <x v="8"/>
    <n v="80.873871555999997"/>
  </r>
  <r>
    <x v="0"/>
    <x v="1"/>
    <x v="61"/>
    <x v="12"/>
    <x v="57"/>
    <x v="8"/>
    <n v="19.403502758999998"/>
  </r>
  <r>
    <x v="0"/>
    <x v="1"/>
    <x v="61"/>
    <x v="13"/>
    <x v="57"/>
    <x v="8"/>
    <n v="45.736799773999998"/>
  </r>
  <r>
    <x v="0"/>
    <x v="1"/>
    <x v="61"/>
    <x v="14"/>
    <x v="57"/>
    <x v="8"/>
    <n v="35.406573229999999"/>
  </r>
  <r>
    <x v="0"/>
    <x v="1"/>
    <x v="61"/>
    <x v="15"/>
    <x v="57"/>
    <x v="8"/>
    <n v="49.988896320000002"/>
  </r>
  <r>
    <x v="0"/>
    <x v="1"/>
    <x v="61"/>
    <x v="16"/>
    <x v="57"/>
    <x v="8"/>
    <n v="23.556441230000001"/>
  </r>
  <r>
    <x v="0"/>
    <x v="1"/>
    <x v="61"/>
    <x v="17"/>
    <x v="57"/>
    <x v="8"/>
    <n v="39.093793738000002"/>
  </r>
  <r>
    <x v="0"/>
    <x v="1"/>
    <x v="61"/>
    <x v="18"/>
    <x v="57"/>
    <x v="8"/>
    <n v="86.668273451999994"/>
  </r>
  <r>
    <x v="0"/>
    <x v="1"/>
    <x v="61"/>
    <x v="19"/>
    <x v="57"/>
    <x v="8"/>
    <n v="204.53834669"/>
  </r>
  <r>
    <x v="0"/>
    <x v="1"/>
    <x v="61"/>
    <x v="20"/>
    <x v="57"/>
    <x v="8"/>
    <n v="14.298270251"/>
  </r>
  <r>
    <x v="0"/>
    <x v="1"/>
    <x v="61"/>
    <x v="21"/>
    <x v="57"/>
    <x v="8"/>
    <n v="3.2020284719999998"/>
  </r>
  <r>
    <x v="0"/>
    <x v="1"/>
    <x v="61"/>
    <x v="22"/>
    <x v="57"/>
    <x v="8"/>
    <n v="2.6955456029999998"/>
  </r>
  <r>
    <x v="0"/>
    <x v="1"/>
    <x v="61"/>
    <x v="23"/>
    <x v="57"/>
    <x v="8"/>
    <n v="0"/>
  </r>
  <r>
    <x v="0"/>
    <x v="1"/>
    <x v="61"/>
    <x v="24"/>
    <x v="57"/>
    <x v="8"/>
    <n v="0.79005444700000005"/>
  </r>
  <r>
    <x v="0"/>
    <x v="1"/>
    <x v="61"/>
    <x v="25"/>
    <x v="57"/>
    <x v="8"/>
    <n v="0"/>
  </r>
  <r>
    <x v="0"/>
    <x v="1"/>
    <x v="61"/>
    <x v="26"/>
    <x v="57"/>
    <x v="8"/>
    <n v="0"/>
  </r>
  <r>
    <x v="0"/>
    <x v="1"/>
    <x v="61"/>
    <x v="27"/>
    <x v="57"/>
    <x v="8"/>
    <n v="4.0418111349999997"/>
  </r>
  <r>
    <x v="0"/>
    <x v="1"/>
    <x v="61"/>
    <x v="28"/>
    <x v="57"/>
    <x v="8"/>
    <n v="111.271372828"/>
  </r>
  <r>
    <x v="0"/>
    <x v="1"/>
    <x v="61"/>
    <x v="29"/>
    <x v="57"/>
    <x v="8"/>
    <n v="45.717807297"/>
  </r>
  <r>
    <x v="0"/>
    <x v="1"/>
    <x v="61"/>
    <x v="30"/>
    <x v="57"/>
    <x v="8"/>
    <n v="2.166224975"/>
  </r>
  <r>
    <x v="0"/>
    <x v="1"/>
    <x v="61"/>
    <x v="31"/>
    <x v="57"/>
    <x v="8"/>
    <n v="11.837902459"/>
  </r>
  <r>
    <x v="0"/>
    <x v="1"/>
    <x v="61"/>
    <x v="32"/>
    <x v="57"/>
    <x v="8"/>
    <n v="4.8766605270000003"/>
  </r>
  <r>
    <x v="0"/>
    <x v="1"/>
    <x v="61"/>
    <x v="33"/>
    <x v="57"/>
    <x v="8"/>
    <n v="0"/>
  </r>
  <r>
    <x v="0"/>
    <x v="1"/>
    <x v="61"/>
    <x v="34"/>
    <x v="57"/>
    <x v="8"/>
    <n v="30.963223538000001"/>
  </r>
  <r>
    <x v="0"/>
    <x v="1"/>
    <x v="61"/>
    <x v="35"/>
    <x v="57"/>
    <x v="8"/>
    <n v="0.17277890300000001"/>
  </r>
  <r>
    <x v="0"/>
    <x v="1"/>
    <x v="61"/>
    <x v="36"/>
    <x v="57"/>
    <x v="8"/>
    <n v="0.61906573099999995"/>
  </r>
  <r>
    <x v="0"/>
    <x v="1"/>
    <x v="61"/>
    <x v="37"/>
    <x v="57"/>
    <x v="8"/>
    <n v="0.55324016399999998"/>
  </r>
  <r>
    <x v="0"/>
    <x v="1"/>
    <x v="61"/>
    <x v="38"/>
    <x v="57"/>
    <x v="8"/>
    <n v="0.11802549"/>
  </r>
  <r>
    <x v="0"/>
    <x v="1"/>
    <x v="61"/>
    <x v="39"/>
    <x v="57"/>
    <x v="8"/>
    <n v="0.15248483700000001"/>
  </r>
  <r>
    <x v="0"/>
    <x v="1"/>
    <x v="61"/>
    <x v="40"/>
    <x v="57"/>
    <x v="8"/>
    <n v="3.171687634"/>
  </r>
  <r>
    <x v="0"/>
    <x v="1"/>
    <x v="61"/>
    <x v="41"/>
    <x v="57"/>
    <x v="8"/>
    <n v="0.20654318799999999"/>
  </r>
  <r>
    <x v="0"/>
    <x v="1"/>
    <x v="62"/>
    <x v="0"/>
    <x v="57"/>
    <x v="9"/>
    <n v="0.36997063499999999"/>
  </r>
  <r>
    <x v="0"/>
    <x v="1"/>
    <x v="62"/>
    <x v="1"/>
    <x v="57"/>
    <x v="9"/>
    <n v="0.36997063499999999"/>
  </r>
  <r>
    <x v="0"/>
    <x v="1"/>
    <x v="62"/>
    <x v="2"/>
    <x v="57"/>
    <x v="9"/>
    <n v="0.36997063499999999"/>
  </r>
  <r>
    <x v="0"/>
    <x v="1"/>
    <x v="62"/>
    <x v="3"/>
    <x v="57"/>
    <x v="9"/>
    <n v="0.36997063499999999"/>
  </r>
  <r>
    <x v="0"/>
    <x v="1"/>
    <x v="62"/>
    <x v="4"/>
    <x v="57"/>
    <x v="9"/>
    <n v="0.36997063499999999"/>
  </r>
  <r>
    <x v="0"/>
    <x v="1"/>
    <x v="62"/>
    <x v="5"/>
    <x v="57"/>
    <x v="9"/>
    <n v="0.36997063499999999"/>
  </r>
  <r>
    <x v="0"/>
    <x v="1"/>
    <x v="62"/>
    <x v="6"/>
    <x v="57"/>
    <x v="9"/>
    <n v="0.36997063499999999"/>
  </r>
  <r>
    <x v="0"/>
    <x v="1"/>
    <x v="62"/>
    <x v="7"/>
    <x v="57"/>
    <x v="9"/>
    <n v="0.36997063499999999"/>
  </r>
  <r>
    <x v="0"/>
    <x v="1"/>
    <x v="62"/>
    <x v="8"/>
    <x v="57"/>
    <x v="9"/>
    <n v="0.36997063499999999"/>
  </r>
  <r>
    <x v="0"/>
    <x v="1"/>
    <x v="62"/>
    <x v="9"/>
    <x v="57"/>
    <x v="9"/>
    <n v="0.36997063499999999"/>
  </r>
  <r>
    <x v="0"/>
    <x v="1"/>
    <x v="62"/>
    <x v="10"/>
    <x v="57"/>
    <x v="9"/>
    <n v="0.36997063499999999"/>
  </r>
  <r>
    <x v="0"/>
    <x v="1"/>
    <x v="62"/>
    <x v="11"/>
    <x v="57"/>
    <x v="9"/>
    <n v="0.36997063499999999"/>
  </r>
  <r>
    <x v="0"/>
    <x v="1"/>
    <x v="62"/>
    <x v="12"/>
    <x v="57"/>
    <x v="9"/>
    <n v="0.36997063499999999"/>
  </r>
  <r>
    <x v="0"/>
    <x v="1"/>
    <x v="62"/>
    <x v="13"/>
    <x v="57"/>
    <x v="9"/>
    <n v="0.36997063499999999"/>
  </r>
  <r>
    <x v="0"/>
    <x v="1"/>
    <x v="62"/>
    <x v="14"/>
    <x v="57"/>
    <x v="9"/>
    <n v="0.36997063499999999"/>
  </r>
  <r>
    <x v="0"/>
    <x v="1"/>
    <x v="62"/>
    <x v="15"/>
    <x v="57"/>
    <x v="9"/>
    <n v="0.36997063499999999"/>
  </r>
  <r>
    <x v="0"/>
    <x v="1"/>
    <x v="62"/>
    <x v="16"/>
    <x v="57"/>
    <x v="9"/>
    <n v="0.36997063499999999"/>
  </r>
  <r>
    <x v="0"/>
    <x v="1"/>
    <x v="62"/>
    <x v="17"/>
    <x v="57"/>
    <x v="9"/>
    <n v="0.36997063499999999"/>
  </r>
  <r>
    <x v="0"/>
    <x v="1"/>
    <x v="62"/>
    <x v="18"/>
    <x v="57"/>
    <x v="9"/>
    <n v="0.36997063499999999"/>
  </r>
  <r>
    <x v="0"/>
    <x v="1"/>
    <x v="62"/>
    <x v="19"/>
    <x v="57"/>
    <x v="9"/>
    <n v="0.36997063499999999"/>
  </r>
  <r>
    <x v="0"/>
    <x v="1"/>
    <x v="62"/>
    <x v="20"/>
    <x v="57"/>
    <x v="9"/>
    <n v="0.36997063499999999"/>
  </r>
  <r>
    <x v="0"/>
    <x v="1"/>
    <x v="62"/>
    <x v="21"/>
    <x v="57"/>
    <x v="9"/>
    <n v="0.36997063499999999"/>
  </r>
  <r>
    <x v="0"/>
    <x v="1"/>
    <x v="62"/>
    <x v="22"/>
    <x v="57"/>
    <x v="9"/>
    <n v="0.36997063499999999"/>
  </r>
  <r>
    <x v="0"/>
    <x v="1"/>
    <x v="62"/>
    <x v="23"/>
    <x v="57"/>
    <x v="9"/>
    <n v="1"/>
  </r>
  <r>
    <x v="0"/>
    <x v="1"/>
    <x v="62"/>
    <x v="24"/>
    <x v="57"/>
    <x v="9"/>
    <n v="0.36997063499999999"/>
  </r>
  <r>
    <x v="0"/>
    <x v="1"/>
    <x v="62"/>
    <x v="25"/>
    <x v="57"/>
    <x v="9"/>
    <n v="0.36997063499999999"/>
  </r>
  <r>
    <x v="0"/>
    <x v="1"/>
    <x v="62"/>
    <x v="26"/>
    <x v="57"/>
    <x v="9"/>
    <n v="1"/>
  </r>
  <r>
    <x v="0"/>
    <x v="1"/>
    <x v="62"/>
    <x v="27"/>
    <x v="57"/>
    <x v="9"/>
    <n v="0.36997063499999999"/>
  </r>
  <r>
    <x v="0"/>
    <x v="1"/>
    <x v="62"/>
    <x v="28"/>
    <x v="57"/>
    <x v="9"/>
    <n v="1"/>
  </r>
  <r>
    <x v="0"/>
    <x v="1"/>
    <x v="62"/>
    <x v="29"/>
    <x v="57"/>
    <x v="9"/>
    <n v="0.36997063499999999"/>
  </r>
  <r>
    <x v="0"/>
    <x v="1"/>
    <x v="62"/>
    <x v="30"/>
    <x v="57"/>
    <x v="9"/>
    <n v="0.36997063499999999"/>
  </r>
  <r>
    <x v="0"/>
    <x v="1"/>
    <x v="62"/>
    <x v="31"/>
    <x v="57"/>
    <x v="9"/>
    <n v="0.36997063499999999"/>
  </r>
  <r>
    <x v="0"/>
    <x v="1"/>
    <x v="62"/>
    <x v="32"/>
    <x v="57"/>
    <x v="9"/>
    <n v="0.36997063499999999"/>
  </r>
  <r>
    <x v="0"/>
    <x v="1"/>
    <x v="62"/>
    <x v="33"/>
    <x v="57"/>
    <x v="9"/>
    <n v="1"/>
  </r>
  <r>
    <x v="0"/>
    <x v="1"/>
    <x v="62"/>
    <x v="34"/>
    <x v="57"/>
    <x v="9"/>
    <n v="0.36997063499999999"/>
  </r>
  <r>
    <x v="0"/>
    <x v="1"/>
    <x v="62"/>
    <x v="35"/>
    <x v="57"/>
    <x v="9"/>
    <n v="0.36997063499999999"/>
  </r>
  <r>
    <x v="0"/>
    <x v="1"/>
    <x v="62"/>
    <x v="36"/>
    <x v="57"/>
    <x v="9"/>
    <n v="0.36997063499999999"/>
  </r>
  <r>
    <x v="0"/>
    <x v="1"/>
    <x v="62"/>
    <x v="37"/>
    <x v="57"/>
    <x v="9"/>
    <n v="0.36997063499999999"/>
  </r>
  <r>
    <x v="0"/>
    <x v="1"/>
    <x v="62"/>
    <x v="38"/>
    <x v="57"/>
    <x v="9"/>
    <n v="0.36997063499999999"/>
  </r>
  <r>
    <x v="0"/>
    <x v="1"/>
    <x v="62"/>
    <x v="39"/>
    <x v="57"/>
    <x v="9"/>
    <n v="0.36997063499999999"/>
  </r>
  <r>
    <x v="0"/>
    <x v="1"/>
    <x v="62"/>
    <x v="40"/>
    <x v="57"/>
    <x v="9"/>
    <n v="0.36997063499999999"/>
  </r>
  <r>
    <x v="0"/>
    <x v="1"/>
    <x v="62"/>
    <x v="41"/>
    <x v="57"/>
    <x v="9"/>
    <n v="0.36997063499999999"/>
  </r>
  <r>
    <x v="0"/>
    <x v="1"/>
    <x v="63"/>
    <x v="0"/>
    <x v="57"/>
    <x v="9"/>
    <n v="0.42031101900000001"/>
  </r>
  <r>
    <x v="0"/>
    <x v="1"/>
    <x v="63"/>
    <x v="1"/>
    <x v="57"/>
    <x v="9"/>
    <n v="0.287485357"/>
  </r>
  <r>
    <x v="0"/>
    <x v="1"/>
    <x v="63"/>
    <x v="2"/>
    <x v="57"/>
    <x v="9"/>
    <n v="0.28407674399999999"/>
  </r>
  <r>
    <x v="0"/>
    <x v="1"/>
    <x v="63"/>
    <x v="3"/>
    <x v="57"/>
    <x v="9"/>
    <n v="0.28049764700000002"/>
  </r>
  <r>
    <x v="0"/>
    <x v="1"/>
    <x v="63"/>
    <x v="4"/>
    <x v="57"/>
    <x v="9"/>
    <n v="0.26389011099999998"/>
  </r>
  <r>
    <x v="0"/>
    <x v="1"/>
    <x v="63"/>
    <x v="5"/>
    <x v="57"/>
    <x v="9"/>
    <n v="0.28412073300000001"/>
  </r>
  <r>
    <x v="0"/>
    <x v="1"/>
    <x v="63"/>
    <x v="6"/>
    <x v="57"/>
    <x v="9"/>
    <n v="0.27067221600000002"/>
  </r>
  <r>
    <x v="0"/>
    <x v="1"/>
    <x v="63"/>
    <x v="7"/>
    <x v="57"/>
    <x v="9"/>
    <n v="0.277020814"/>
  </r>
  <r>
    <x v="0"/>
    <x v="1"/>
    <x v="63"/>
    <x v="8"/>
    <x v="57"/>
    <x v="9"/>
    <n v="0.26417016500000001"/>
  </r>
  <r>
    <x v="0"/>
    <x v="1"/>
    <x v="63"/>
    <x v="9"/>
    <x v="57"/>
    <x v="9"/>
    <n v="0.24222629800000001"/>
  </r>
  <r>
    <x v="0"/>
    <x v="1"/>
    <x v="63"/>
    <x v="10"/>
    <x v="57"/>
    <x v="9"/>
    <n v="0.20595118400000001"/>
  </r>
  <r>
    <x v="0"/>
    <x v="1"/>
    <x v="63"/>
    <x v="11"/>
    <x v="57"/>
    <x v="9"/>
    <n v="0.22817203599999999"/>
  </r>
  <r>
    <x v="0"/>
    <x v="1"/>
    <x v="63"/>
    <x v="12"/>
    <x v="57"/>
    <x v="9"/>
    <n v="0.237106811"/>
  </r>
  <r>
    <x v="0"/>
    <x v="1"/>
    <x v="63"/>
    <x v="13"/>
    <x v="57"/>
    <x v="9"/>
    <n v="0.20863533500000001"/>
  </r>
  <r>
    <x v="0"/>
    <x v="1"/>
    <x v="63"/>
    <x v="14"/>
    <x v="57"/>
    <x v="9"/>
    <n v="0.221298091"/>
  </r>
  <r>
    <x v="0"/>
    <x v="1"/>
    <x v="63"/>
    <x v="15"/>
    <x v="57"/>
    <x v="9"/>
    <n v="0.24367287900000001"/>
  </r>
  <r>
    <x v="0"/>
    <x v="1"/>
    <x v="63"/>
    <x v="16"/>
    <x v="57"/>
    <x v="9"/>
    <n v="0.250588482"/>
  </r>
  <r>
    <x v="0"/>
    <x v="1"/>
    <x v="63"/>
    <x v="17"/>
    <x v="57"/>
    <x v="9"/>
    <n v="0.24410252399999999"/>
  </r>
  <r>
    <x v="0"/>
    <x v="1"/>
    <x v="63"/>
    <x v="18"/>
    <x v="57"/>
    <x v="9"/>
    <n v="0.22416435300000001"/>
  </r>
  <r>
    <x v="0"/>
    <x v="1"/>
    <x v="63"/>
    <x v="19"/>
    <x v="57"/>
    <x v="9"/>
    <n v="0.26209354899999998"/>
  </r>
  <r>
    <x v="0"/>
    <x v="1"/>
    <x v="63"/>
    <x v="20"/>
    <x v="57"/>
    <x v="9"/>
    <n v="0.26362938800000002"/>
  </r>
  <r>
    <x v="0"/>
    <x v="1"/>
    <x v="63"/>
    <x v="21"/>
    <x v="57"/>
    <x v="9"/>
    <n v="0.23979096"/>
  </r>
  <r>
    <x v="0"/>
    <x v="1"/>
    <x v="63"/>
    <x v="22"/>
    <x v="57"/>
    <x v="9"/>
    <n v="0.181380981"/>
  </r>
  <r>
    <x v="0"/>
    <x v="1"/>
    <x v="63"/>
    <x v="23"/>
    <x v="57"/>
    <x v="9"/>
    <n v="1"/>
  </r>
  <r>
    <x v="0"/>
    <x v="1"/>
    <x v="63"/>
    <x v="24"/>
    <x v="57"/>
    <x v="9"/>
    <n v="0.211326189"/>
  </r>
  <r>
    <x v="0"/>
    <x v="1"/>
    <x v="63"/>
    <x v="25"/>
    <x v="57"/>
    <x v="9"/>
    <n v="1"/>
  </r>
  <r>
    <x v="0"/>
    <x v="1"/>
    <x v="63"/>
    <x v="26"/>
    <x v="57"/>
    <x v="9"/>
    <n v="1"/>
  </r>
  <r>
    <x v="0"/>
    <x v="1"/>
    <x v="63"/>
    <x v="27"/>
    <x v="57"/>
    <x v="9"/>
    <n v="0.264955897"/>
  </r>
  <r>
    <x v="0"/>
    <x v="1"/>
    <x v="63"/>
    <x v="28"/>
    <x v="57"/>
    <x v="9"/>
    <n v="0.28791655700000002"/>
  </r>
  <r>
    <x v="0"/>
    <x v="1"/>
    <x v="63"/>
    <x v="29"/>
    <x v="57"/>
    <x v="9"/>
    <n v="0.249051614"/>
  </r>
  <r>
    <x v="0"/>
    <x v="1"/>
    <x v="63"/>
    <x v="30"/>
    <x v="57"/>
    <x v="9"/>
    <n v="0.32582757699999998"/>
  </r>
  <r>
    <x v="0"/>
    <x v="1"/>
    <x v="63"/>
    <x v="31"/>
    <x v="57"/>
    <x v="9"/>
    <n v="0.23075728600000001"/>
  </r>
  <r>
    <x v="0"/>
    <x v="1"/>
    <x v="63"/>
    <x v="32"/>
    <x v="57"/>
    <x v="9"/>
    <n v="0.25025686400000002"/>
  </r>
  <r>
    <x v="0"/>
    <x v="1"/>
    <x v="63"/>
    <x v="33"/>
    <x v="57"/>
    <x v="9"/>
    <n v="1"/>
  </r>
  <r>
    <x v="0"/>
    <x v="1"/>
    <x v="63"/>
    <x v="34"/>
    <x v="57"/>
    <x v="9"/>
    <n v="0.250930773"/>
  </r>
  <r>
    <x v="0"/>
    <x v="1"/>
    <x v="63"/>
    <x v="35"/>
    <x v="57"/>
    <x v="9"/>
    <n v="0.26251438100000002"/>
  </r>
  <r>
    <x v="0"/>
    <x v="1"/>
    <x v="63"/>
    <x v="36"/>
    <x v="57"/>
    <x v="9"/>
    <n v="0.28413257600000003"/>
  </r>
  <r>
    <x v="0"/>
    <x v="1"/>
    <x v="63"/>
    <x v="37"/>
    <x v="57"/>
    <x v="9"/>
    <n v="0.321616546"/>
  </r>
  <r>
    <x v="0"/>
    <x v="1"/>
    <x v="63"/>
    <x v="38"/>
    <x v="57"/>
    <x v="9"/>
    <n v="0.45167607500000001"/>
  </r>
  <r>
    <x v="0"/>
    <x v="1"/>
    <x v="63"/>
    <x v="39"/>
    <x v="57"/>
    <x v="9"/>
    <n v="0.33334870799999999"/>
  </r>
  <r>
    <x v="0"/>
    <x v="1"/>
    <x v="63"/>
    <x v="40"/>
    <x v="57"/>
    <x v="9"/>
    <n v="0.31261432"/>
  </r>
  <r>
    <x v="0"/>
    <x v="1"/>
    <x v="63"/>
    <x v="41"/>
    <x v="57"/>
    <x v="9"/>
    <n v="0.381781329"/>
  </r>
  <r>
    <x v="0"/>
    <x v="1"/>
    <x v="64"/>
    <x v="0"/>
    <x v="57"/>
    <x v="10"/>
    <n v="0"/>
  </r>
  <r>
    <x v="0"/>
    <x v="1"/>
    <x v="64"/>
    <x v="1"/>
    <x v="57"/>
    <x v="10"/>
    <n v="0"/>
  </r>
  <r>
    <x v="0"/>
    <x v="1"/>
    <x v="64"/>
    <x v="2"/>
    <x v="57"/>
    <x v="10"/>
    <n v="0"/>
  </r>
  <r>
    <x v="0"/>
    <x v="1"/>
    <x v="64"/>
    <x v="3"/>
    <x v="57"/>
    <x v="10"/>
    <n v="0"/>
  </r>
  <r>
    <x v="0"/>
    <x v="1"/>
    <x v="64"/>
    <x v="4"/>
    <x v="57"/>
    <x v="10"/>
    <n v="0"/>
  </r>
  <r>
    <x v="0"/>
    <x v="1"/>
    <x v="64"/>
    <x v="5"/>
    <x v="57"/>
    <x v="10"/>
    <n v="0"/>
  </r>
  <r>
    <x v="0"/>
    <x v="1"/>
    <x v="64"/>
    <x v="6"/>
    <x v="57"/>
    <x v="10"/>
    <n v="0"/>
  </r>
  <r>
    <x v="0"/>
    <x v="1"/>
    <x v="64"/>
    <x v="7"/>
    <x v="57"/>
    <x v="10"/>
    <n v="0"/>
  </r>
  <r>
    <x v="0"/>
    <x v="1"/>
    <x v="64"/>
    <x v="8"/>
    <x v="57"/>
    <x v="10"/>
    <n v="0"/>
  </r>
  <r>
    <x v="0"/>
    <x v="1"/>
    <x v="64"/>
    <x v="9"/>
    <x v="57"/>
    <x v="10"/>
    <n v="0"/>
  </r>
  <r>
    <x v="0"/>
    <x v="1"/>
    <x v="64"/>
    <x v="10"/>
    <x v="57"/>
    <x v="10"/>
    <n v="0"/>
  </r>
  <r>
    <x v="0"/>
    <x v="1"/>
    <x v="64"/>
    <x v="11"/>
    <x v="57"/>
    <x v="10"/>
    <n v="0"/>
  </r>
  <r>
    <x v="0"/>
    <x v="1"/>
    <x v="64"/>
    <x v="12"/>
    <x v="57"/>
    <x v="10"/>
    <n v="0"/>
  </r>
  <r>
    <x v="0"/>
    <x v="1"/>
    <x v="64"/>
    <x v="13"/>
    <x v="57"/>
    <x v="10"/>
    <n v="0"/>
  </r>
  <r>
    <x v="0"/>
    <x v="1"/>
    <x v="64"/>
    <x v="14"/>
    <x v="57"/>
    <x v="10"/>
    <n v="0"/>
  </r>
  <r>
    <x v="0"/>
    <x v="1"/>
    <x v="64"/>
    <x v="15"/>
    <x v="57"/>
    <x v="10"/>
    <n v="0"/>
  </r>
  <r>
    <x v="0"/>
    <x v="1"/>
    <x v="64"/>
    <x v="16"/>
    <x v="57"/>
    <x v="10"/>
    <n v="0"/>
  </r>
  <r>
    <x v="0"/>
    <x v="1"/>
    <x v="64"/>
    <x v="17"/>
    <x v="57"/>
    <x v="10"/>
    <n v="0"/>
  </r>
  <r>
    <x v="0"/>
    <x v="1"/>
    <x v="64"/>
    <x v="18"/>
    <x v="57"/>
    <x v="10"/>
    <n v="0"/>
  </r>
  <r>
    <x v="0"/>
    <x v="1"/>
    <x v="64"/>
    <x v="19"/>
    <x v="57"/>
    <x v="10"/>
    <n v="0"/>
  </r>
  <r>
    <x v="0"/>
    <x v="1"/>
    <x v="64"/>
    <x v="20"/>
    <x v="57"/>
    <x v="10"/>
    <n v="0"/>
  </r>
  <r>
    <x v="0"/>
    <x v="1"/>
    <x v="64"/>
    <x v="21"/>
    <x v="57"/>
    <x v="10"/>
    <n v="0"/>
  </r>
  <r>
    <x v="0"/>
    <x v="1"/>
    <x v="64"/>
    <x v="22"/>
    <x v="57"/>
    <x v="10"/>
    <n v="0"/>
  </r>
  <r>
    <x v="0"/>
    <x v="1"/>
    <x v="64"/>
    <x v="23"/>
    <x v="57"/>
    <x v="10"/>
    <n v="0"/>
  </r>
  <r>
    <x v="0"/>
    <x v="1"/>
    <x v="64"/>
    <x v="24"/>
    <x v="57"/>
    <x v="10"/>
    <n v="0"/>
  </r>
  <r>
    <x v="0"/>
    <x v="1"/>
    <x v="64"/>
    <x v="25"/>
    <x v="57"/>
    <x v="10"/>
    <n v="0"/>
  </r>
  <r>
    <x v="0"/>
    <x v="1"/>
    <x v="64"/>
    <x v="26"/>
    <x v="57"/>
    <x v="10"/>
    <n v="0"/>
  </r>
  <r>
    <x v="0"/>
    <x v="1"/>
    <x v="64"/>
    <x v="27"/>
    <x v="57"/>
    <x v="10"/>
    <n v="0"/>
  </r>
  <r>
    <x v="0"/>
    <x v="1"/>
    <x v="64"/>
    <x v="28"/>
    <x v="57"/>
    <x v="10"/>
    <n v="0"/>
  </r>
  <r>
    <x v="0"/>
    <x v="1"/>
    <x v="64"/>
    <x v="29"/>
    <x v="57"/>
    <x v="10"/>
    <n v="0"/>
  </r>
  <r>
    <x v="0"/>
    <x v="1"/>
    <x v="64"/>
    <x v="30"/>
    <x v="57"/>
    <x v="10"/>
    <n v="0"/>
  </r>
  <r>
    <x v="0"/>
    <x v="1"/>
    <x v="64"/>
    <x v="31"/>
    <x v="57"/>
    <x v="10"/>
    <n v="0"/>
  </r>
  <r>
    <x v="0"/>
    <x v="1"/>
    <x v="64"/>
    <x v="32"/>
    <x v="57"/>
    <x v="10"/>
    <n v="0"/>
  </r>
  <r>
    <x v="0"/>
    <x v="1"/>
    <x v="64"/>
    <x v="33"/>
    <x v="57"/>
    <x v="10"/>
    <n v="0"/>
  </r>
  <r>
    <x v="0"/>
    <x v="1"/>
    <x v="64"/>
    <x v="34"/>
    <x v="57"/>
    <x v="10"/>
    <n v="0"/>
  </r>
  <r>
    <x v="0"/>
    <x v="1"/>
    <x v="64"/>
    <x v="35"/>
    <x v="57"/>
    <x v="10"/>
    <n v="0"/>
  </r>
  <r>
    <x v="0"/>
    <x v="1"/>
    <x v="64"/>
    <x v="36"/>
    <x v="57"/>
    <x v="10"/>
    <n v="0"/>
  </r>
  <r>
    <x v="0"/>
    <x v="1"/>
    <x v="64"/>
    <x v="37"/>
    <x v="57"/>
    <x v="10"/>
    <n v="0"/>
  </r>
  <r>
    <x v="0"/>
    <x v="1"/>
    <x v="64"/>
    <x v="38"/>
    <x v="57"/>
    <x v="10"/>
    <n v="0"/>
  </r>
  <r>
    <x v="0"/>
    <x v="1"/>
    <x v="64"/>
    <x v="39"/>
    <x v="57"/>
    <x v="10"/>
    <n v="0"/>
  </r>
  <r>
    <x v="0"/>
    <x v="1"/>
    <x v="64"/>
    <x v="40"/>
    <x v="57"/>
    <x v="10"/>
    <n v="0"/>
  </r>
  <r>
    <x v="0"/>
    <x v="1"/>
    <x v="64"/>
    <x v="41"/>
    <x v="57"/>
    <x v="10"/>
    <n v="0"/>
  </r>
  <r>
    <x v="0"/>
    <x v="1"/>
    <x v="65"/>
    <x v="48"/>
    <x v="58"/>
    <x v="11"/>
    <n v="1715.3256642829999"/>
  </r>
  <r>
    <x v="0"/>
    <x v="1"/>
    <x v="65"/>
    <x v="49"/>
    <x v="58"/>
    <x v="11"/>
    <n v="1660.91517922"/>
  </r>
  <r>
    <x v="0"/>
    <x v="1"/>
    <x v="66"/>
    <x v="48"/>
    <x v="58"/>
    <x v="12"/>
    <n v="0.56530700700000003"/>
  </r>
  <r>
    <x v="0"/>
    <x v="1"/>
    <x v="66"/>
    <x v="49"/>
    <x v="58"/>
    <x v="12"/>
    <n v="0.54737535199999998"/>
  </r>
  <r>
    <x v="0"/>
    <x v="2"/>
    <x v="0"/>
    <x v="0"/>
    <x v="0"/>
    <x v="0"/>
    <n v="709.07118871499995"/>
  </r>
  <r>
    <x v="0"/>
    <x v="2"/>
    <x v="1"/>
    <x v="0"/>
    <x v="0"/>
    <x v="1"/>
    <n v="0.78053095299999997"/>
  </r>
  <r>
    <x v="0"/>
    <x v="2"/>
    <x v="2"/>
    <x v="0"/>
    <x v="0"/>
    <x v="1"/>
    <n v="270.92824666799999"/>
  </r>
  <r>
    <x v="0"/>
    <x v="2"/>
    <x v="3"/>
    <x v="0"/>
    <x v="0"/>
    <x v="1"/>
    <n v="0.94139704599999996"/>
  </r>
  <r>
    <x v="0"/>
    <x v="2"/>
    <x v="0"/>
    <x v="1"/>
    <x v="0"/>
    <x v="0"/>
    <n v="238.91920614399999"/>
  </r>
  <r>
    <x v="0"/>
    <x v="2"/>
    <x v="1"/>
    <x v="1"/>
    <x v="0"/>
    <x v="1"/>
    <n v="0.454472979"/>
  </r>
  <r>
    <x v="0"/>
    <x v="2"/>
    <x v="2"/>
    <x v="1"/>
    <x v="0"/>
    <x v="1"/>
    <n v="145.60686628100001"/>
  </r>
  <r>
    <x v="0"/>
    <x v="2"/>
    <x v="3"/>
    <x v="1"/>
    <x v="0"/>
    <x v="1"/>
    <n v="0.57123621899999999"/>
  </r>
  <r>
    <x v="0"/>
    <x v="2"/>
    <x v="0"/>
    <x v="2"/>
    <x v="0"/>
    <x v="0"/>
    <n v="255.94227869400001"/>
  </r>
  <r>
    <x v="0"/>
    <x v="2"/>
    <x v="1"/>
    <x v="2"/>
    <x v="0"/>
    <x v="1"/>
    <n v="0.31669065299999999"/>
  </r>
  <r>
    <x v="0"/>
    <x v="2"/>
    <x v="2"/>
    <x v="2"/>
    <x v="0"/>
    <x v="1"/>
    <n v="146.70035467"/>
  </r>
  <r>
    <x v="0"/>
    <x v="2"/>
    <x v="3"/>
    <x v="2"/>
    <x v="0"/>
    <x v="1"/>
    <n v="0.25991625299999999"/>
  </r>
  <r>
    <x v="0"/>
    <x v="2"/>
    <x v="0"/>
    <x v="3"/>
    <x v="0"/>
    <x v="0"/>
    <n v="138.89405153600001"/>
  </r>
  <r>
    <x v="0"/>
    <x v="2"/>
    <x v="1"/>
    <x v="3"/>
    <x v="0"/>
    <x v="1"/>
    <n v="0.38030803899999999"/>
  </r>
  <r>
    <x v="0"/>
    <x v="2"/>
    <x v="2"/>
    <x v="3"/>
    <x v="0"/>
    <x v="1"/>
    <n v="94.599896125000001"/>
  </r>
  <r>
    <x v="0"/>
    <x v="2"/>
    <x v="3"/>
    <x v="3"/>
    <x v="0"/>
    <x v="1"/>
    <n v="0.44118254499999998"/>
  </r>
  <r>
    <x v="0"/>
    <x v="2"/>
    <x v="0"/>
    <x v="4"/>
    <x v="0"/>
    <x v="0"/>
    <n v="64.146511575000005"/>
  </r>
  <r>
    <x v="0"/>
    <x v="2"/>
    <x v="1"/>
    <x v="4"/>
    <x v="0"/>
    <x v="1"/>
    <n v="0.408632051"/>
  </r>
  <r>
    <x v="0"/>
    <x v="2"/>
    <x v="2"/>
    <x v="4"/>
    <x v="0"/>
    <x v="1"/>
    <n v="43.161341536999998"/>
  </r>
  <r>
    <x v="0"/>
    <x v="2"/>
    <x v="3"/>
    <x v="4"/>
    <x v="0"/>
    <x v="1"/>
    <n v="0.50720533300000004"/>
  </r>
  <r>
    <x v="0"/>
    <x v="2"/>
    <x v="0"/>
    <x v="5"/>
    <x v="0"/>
    <x v="0"/>
    <n v="604.12237135999999"/>
  </r>
  <r>
    <x v="0"/>
    <x v="2"/>
    <x v="1"/>
    <x v="5"/>
    <x v="0"/>
    <x v="1"/>
    <n v="0.54282877299999999"/>
  </r>
  <r>
    <x v="0"/>
    <x v="2"/>
    <x v="2"/>
    <x v="5"/>
    <x v="0"/>
    <x v="1"/>
    <n v="504.79010479200002"/>
  </r>
  <r>
    <x v="0"/>
    <x v="2"/>
    <x v="3"/>
    <x v="5"/>
    <x v="0"/>
    <x v="1"/>
    <n v="0.34693088"/>
  </r>
  <r>
    <x v="0"/>
    <x v="2"/>
    <x v="0"/>
    <x v="6"/>
    <x v="0"/>
    <x v="0"/>
    <n v="194.00951980900001"/>
  </r>
  <r>
    <x v="0"/>
    <x v="2"/>
    <x v="1"/>
    <x v="6"/>
    <x v="0"/>
    <x v="1"/>
    <n v="0.49625562699999998"/>
  </r>
  <r>
    <x v="0"/>
    <x v="2"/>
    <x v="2"/>
    <x v="6"/>
    <x v="0"/>
    <x v="1"/>
    <n v="162.388690467"/>
  </r>
  <r>
    <x v="0"/>
    <x v="2"/>
    <x v="3"/>
    <x v="6"/>
    <x v="0"/>
    <x v="1"/>
    <n v="0.45913510899999999"/>
  </r>
  <r>
    <x v="0"/>
    <x v="2"/>
    <x v="0"/>
    <x v="7"/>
    <x v="0"/>
    <x v="0"/>
    <n v="134.80250610900001"/>
  </r>
  <r>
    <x v="0"/>
    <x v="2"/>
    <x v="1"/>
    <x v="7"/>
    <x v="0"/>
    <x v="1"/>
    <n v="0.48006268800000002"/>
  </r>
  <r>
    <x v="0"/>
    <x v="2"/>
    <x v="2"/>
    <x v="7"/>
    <x v="0"/>
    <x v="1"/>
    <n v="109.64641320600001"/>
  </r>
  <r>
    <x v="0"/>
    <x v="2"/>
    <x v="3"/>
    <x v="7"/>
    <x v="0"/>
    <x v="1"/>
    <n v="0.53801630899999997"/>
  </r>
  <r>
    <x v="0"/>
    <x v="2"/>
    <x v="0"/>
    <x v="8"/>
    <x v="0"/>
    <x v="0"/>
    <n v="100.04250666900001"/>
  </r>
  <r>
    <x v="0"/>
    <x v="2"/>
    <x v="1"/>
    <x v="8"/>
    <x v="0"/>
    <x v="1"/>
    <n v="0.45678800899999999"/>
  </r>
  <r>
    <x v="0"/>
    <x v="2"/>
    <x v="2"/>
    <x v="8"/>
    <x v="0"/>
    <x v="1"/>
    <n v="81.688616232000001"/>
  </r>
  <r>
    <x v="0"/>
    <x v="2"/>
    <x v="3"/>
    <x v="8"/>
    <x v="0"/>
    <x v="1"/>
    <n v="0.44056173799999998"/>
  </r>
  <r>
    <x v="0"/>
    <x v="2"/>
    <x v="0"/>
    <x v="9"/>
    <x v="0"/>
    <x v="0"/>
    <n v="231.834553073"/>
  </r>
  <r>
    <x v="0"/>
    <x v="2"/>
    <x v="1"/>
    <x v="9"/>
    <x v="0"/>
    <x v="1"/>
    <n v="0.41322640799999999"/>
  </r>
  <r>
    <x v="0"/>
    <x v="2"/>
    <x v="2"/>
    <x v="9"/>
    <x v="0"/>
    <x v="1"/>
    <n v="185.64364458"/>
  </r>
  <r>
    <x v="0"/>
    <x v="2"/>
    <x v="3"/>
    <x v="9"/>
    <x v="0"/>
    <x v="1"/>
    <n v="0.47944658499999998"/>
  </r>
  <r>
    <x v="0"/>
    <x v="2"/>
    <x v="0"/>
    <x v="10"/>
    <x v="0"/>
    <x v="0"/>
    <n v="358.355783906"/>
  </r>
  <r>
    <x v="0"/>
    <x v="2"/>
    <x v="1"/>
    <x v="10"/>
    <x v="0"/>
    <x v="1"/>
    <n v="0.31043087899999999"/>
  </r>
  <r>
    <x v="0"/>
    <x v="2"/>
    <x v="2"/>
    <x v="10"/>
    <x v="0"/>
    <x v="1"/>
    <n v="328.26872957400002"/>
  </r>
  <r>
    <x v="0"/>
    <x v="2"/>
    <x v="3"/>
    <x v="10"/>
    <x v="0"/>
    <x v="1"/>
    <n v="0.35233927900000001"/>
  </r>
  <r>
    <x v="0"/>
    <x v="2"/>
    <x v="0"/>
    <x v="11"/>
    <x v="0"/>
    <x v="0"/>
    <n v="933.16285783199999"/>
  </r>
  <r>
    <x v="0"/>
    <x v="2"/>
    <x v="1"/>
    <x v="11"/>
    <x v="0"/>
    <x v="1"/>
    <n v="0.36921058499999998"/>
  </r>
  <r>
    <x v="0"/>
    <x v="2"/>
    <x v="2"/>
    <x v="11"/>
    <x v="0"/>
    <x v="1"/>
    <n v="784.10449835300005"/>
  </r>
  <r>
    <x v="0"/>
    <x v="2"/>
    <x v="3"/>
    <x v="11"/>
    <x v="0"/>
    <x v="1"/>
    <n v="0.31868794"/>
  </r>
  <r>
    <x v="0"/>
    <x v="2"/>
    <x v="0"/>
    <x v="12"/>
    <x v="0"/>
    <x v="0"/>
    <n v="276.51630015799998"/>
  </r>
  <r>
    <x v="0"/>
    <x v="2"/>
    <x v="1"/>
    <x v="12"/>
    <x v="0"/>
    <x v="1"/>
    <n v="0.37313523300000001"/>
  </r>
  <r>
    <x v="0"/>
    <x v="2"/>
    <x v="2"/>
    <x v="12"/>
    <x v="0"/>
    <x v="1"/>
    <n v="221.528425271"/>
  </r>
  <r>
    <x v="0"/>
    <x v="2"/>
    <x v="3"/>
    <x v="12"/>
    <x v="0"/>
    <x v="1"/>
    <n v="0.407166374"/>
  </r>
  <r>
    <x v="0"/>
    <x v="2"/>
    <x v="0"/>
    <x v="13"/>
    <x v="0"/>
    <x v="0"/>
    <n v="768.77091073999998"/>
  </r>
  <r>
    <x v="0"/>
    <x v="2"/>
    <x v="1"/>
    <x v="13"/>
    <x v="0"/>
    <x v="1"/>
    <n v="0.3102026"/>
  </r>
  <r>
    <x v="0"/>
    <x v="2"/>
    <x v="2"/>
    <x v="13"/>
    <x v="0"/>
    <x v="1"/>
    <n v="652.43208556800005"/>
  </r>
  <r>
    <x v="0"/>
    <x v="2"/>
    <x v="3"/>
    <x v="13"/>
    <x v="0"/>
    <x v="1"/>
    <n v="0.27583005900000002"/>
  </r>
  <r>
    <x v="0"/>
    <x v="2"/>
    <x v="0"/>
    <x v="14"/>
    <x v="0"/>
    <x v="0"/>
    <n v="206.375932734"/>
  </r>
  <r>
    <x v="0"/>
    <x v="2"/>
    <x v="1"/>
    <x v="14"/>
    <x v="0"/>
    <x v="1"/>
    <n v="0.35030982900000002"/>
  </r>
  <r>
    <x v="0"/>
    <x v="2"/>
    <x v="2"/>
    <x v="14"/>
    <x v="0"/>
    <x v="1"/>
    <n v="172.24588763700001"/>
  </r>
  <r>
    <x v="0"/>
    <x v="2"/>
    <x v="3"/>
    <x v="14"/>
    <x v="0"/>
    <x v="1"/>
    <n v="0.434128668"/>
  </r>
  <r>
    <x v="0"/>
    <x v="2"/>
    <x v="0"/>
    <x v="15"/>
    <x v="0"/>
    <x v="0"/>
    <n v="234.807381443"/>
  </r>
  <r>
    <x v="0"/>
    <x v="2"/>
    <x v="1"/>
    <x v="15"/>
    <x v="0"/>
    <x v="1"/>
    <n v="0.373857575"/>
  </r>
  <r>
    <x v="0"/>
    <x v="2"/>
    <x v="2"/>
    <x v="15"/>
    <x v="0"/>
    <x v="1"/>
    <n v="193.99509521900001"/>
  </r>
  <r>
    <x v="0"/>
    <x v="2"/>
    <x v="3"/>
    <x v="15"/>
    <x v="0"/>
    <x v="1"/>
    <n v="0.46960426700000002"/>
  </r>
  <r>
    <x v="0"/>
    <x v="2"/>
    <x v="0"/>
    <x v="16"/>
    <x v="0"/>
    <x v="0"/>
    <n v="150.33658452500001"/>
  </r>
  <r>
    <x v="0"/>
    <x v="2"/>
    <x v="1"/>
    <x v="16"/>
    <x v="0"/>
    <x v="1"/>
    <n v="0.37819138400000002"/>
  </r>
  <r>
    <x v="0"/>
    <x v="2"/>
    <x v="2"/>
    <x v="16"/>
    <x v="0"/>
    <x v="1"/>
    <n v="122.85370358900001"/>
  </r>
  <r>
    <x v="0"/>
    <x v="2"/>
    <x v="3"/>
    <x v="16"/>
    <x v="0"/>
    <x v="1"/>
    <n v="0.46199003100000002"/>
  </r>
  <r>
    <x v="0"/>
    <x v="2"/>
    <x v="0"/>
    <x v="17"/>
    <x v="0"/>
    <x v="0"/>
    <n v="345.107230007"/>
  </r>
  <r>
    <x v="0"/>
    <x v="2"/>
    <x v="1"/>
    <x v="17"/>
    <x v="0"/>
    <x v="1"/>
    <n v="0.38218462800000003"/>
  </r>
  <r>
    <x v="0"/>
    <x v="2"/>
    <x v="2"/>
    <x v="17"/>
    <x v="0"/>
    <x v="1"/>
    <n v="288.62090883600001"/>
  </r>
  <r>
    <x v="0"/>
    <x v="2"/>
    <x v="3"/>
    <x v="17"/>
    <x v="0"/>
    <x v="1"/>
    <n v="0.44916656799999999"/>
  </r>
  <r>
    <x v="0"/>
    <x v="2"/>
    <x v="0"/>
    <x v="18"/>
    <x v="0"/>
    <x v="0"/>
    <n v="299.73153192699999"/>
  </r>
  <r>
    <x v="0"/>
    <x v="2"/>
    <x v="1"/>
    <x v="18"/>
    <x v="0"/>
    <x v="1"/>
    <n v="0.34944599700000001"/>
  </r>
  <r>
    <x v="0"/>
    <x v="2"/>
    <x v="2"/>
    <x v="18"/>
    <x v="0"/>
    <x v="1"/>
    <n v="257.16359082299999"/>
  </r>
  <r>
    <x v="0"/>
    <x v="2"/>
    <x v="3"/>
    <x v="18"/>
    <x v="0"/>
    <x v="1"/>
    <n v="0.37528750100000002"/>
  </r>
  <r>
    <x v="0"/>
    <x v="2"/>
    <x v="0"/>
    <x v="19"/>
    <x v="0"/>
    <x v="0"/>
    <n v="358.96390189200002"/>
  </r>
  <r>
    <x v="0"/>
    <x v="2"/>
    <x v="1"/>
    <x v="19"/>
    <x v="0"/>
    <x v="1"/>
    <n v="0.38258060300000002"/>
  </r>
  <r>
    <x v="0"/>
    <x v="2"/>
    <x v="2"/>
    <x v="19"/>
    <x v="0"/>
    <x v="1"/>
    <n v="304.270965547"/>
  </r>
  <r>
    <x v="0"/>
    <x v="2"/>
    <x v="3"/>
    <x v="19"/>
    <x v="0"/>
    <x v="1"/>
    <n v="0.50599816099999995"/>
  </r>
  <r>
    <x v="0"/>
    <x v="2"/>
    <x v="0"/>
    <x v="20"/>
    <x v="0"/>
    <x v="0"/>
    <n v="42.263347553000003"/>
  </r>
  <r>
    <x v="0"/>
    <x v="2"/>
    <x v="1"/>
    <x v="20"/>
    <x v="0"/>
    <x v="1"/>
    <n v="0.37279077700000002"/>
  </r>
  <r>
    <x v="0"/>
    <x v="2"/>
    <x v="2"/>
    <x v="20"/>
    <x v="0"/>
    <x v="1"/>
    <n v="33.884542281999998"/>
  </r>
  <r>
    <x v="0"/>
    <x v="2"/>
    <x v="3"/>
    <x v="20"/>
    <x v="0"/>
    <x v="1"/>
    <n v="0.42836782800000001"/>
  </r>
  <r>
    <x v="0"/>
    <x v="2"/>
    <x v="0"/>
    <x v="21"/>
    <x v="0"/>
    <x v="0"/>
    <n v="18.081727055000002"/>
  </r>
  <r>
    <x v="0"/>
    <x v="2"/>
    <x v="1"/>
    <x v="21"/>
    <x v="0"/>
    <x v="1"/>
    <n v="0.42141266900000002"/>
  </r>
  <r>
    <x v="0"/>
    <x v="2"/>
    <x v="2"/>
    <x v="21"/>
    <x v="0"/>
    <x v="1"/>
    <n v="14.809378116"/>
  </r>
  <r>
    <x v="0"/>
    <x v="2"/>
    <x v="3"/>
    <x v="21"/>
    <x v="0"/>
    <x v="1"/>
    <n v="0.48862743600000003"/>
  </r>
  <r>
    <x v="0"/>
    <x v="2"/>
    <x v="0"/>
    <x v="22"/>
    <x v="0"/>
    <x v="0"/>
    <n v="79.566392487000002"/>
  </r>
  <r>
    <x v="0"/>
    <x v="2"/>
    <x v="1"/>
    <x v="22"/>
    <x v="0"/>
    <x v="1"/>
    <n v="0.10865697000000001"/>
  </r>
  <r>
    <x v="0"/>
    <x v="2"/>
    <x v="2"/>
    <x v="22"/>
    <x v="0"/>
    <x v="1"/>
    <n v="19.121170023000001"/>
  </r>
  <r>
    <x v="0"/>
    <x v="2"/>
    <x v="3"/>
    <x v="22"/>
    <x v="0"/>
    <x v="1"/>
    <n v="4.4310584E-2"/>
  </r>
  <r>
    <x v="0"/>
    <x v="2"/>
    <x v="0"/>
    <x v="23"/>
    <x v="0"/>
    <x v="0"/>
    <n v="7.9269308819999997"/>
  </r>
  <r>
    <x v="0"/>
    <x v="2"/>
    <x v="1"/>
    <x v="23"/>
    <x v="0"/>
    <x v="1"/>
    <n v="0.42511439099999998"/>
  </r>
  <r>
    <x v="0"/>
    <x v="2"/>
    <x v="2"/>
    <x v="23"/>
    <x v="0"/>
    <x v="1"/>
    <n v="6.5369744399999998"/>
  </r>
  <r>
    <x v="0"/>
    <x v="2"/>
    <x v="3"/>
    <x v="23"/>
    <x v="0"/>
    <x v="1"/>
    <n v="0.74580805400000005"/>
  </r>
  <r>
    <x v="0"/>
    <x v="2"/>
    <x v="0"/>
    <x v="24"/>
    <x v="0"/>
    <x v="0"/>
    <n v="432.47524651999998"/>
  </r>
  <r>
    <x v="0"/>
    <x v="2"/>
    <x v="1"/>
    <x v="24"/>
    <x v="0"/>
    <x v="1"/>
    <n v="0.33347587299999998"/>
  </r>
  <r>
    <x v="0"/>
    <x v="2"/>
    <x v="2"/>
    <x v="24"/>
    <x v="0"/>
    <x v="1"/>
    <n v="339.17962445500001"/>
  </r>
  <r>
    <x v="0"/>
    <x v="2"/>
    <x v="3"/>
    <x v="24"/>
    <x v="0"/>
    <x v="1"/>
    <n v="0.25525232199999998"/>
  </r>
  <r>
    <x v="0"/>
    <x v="2"/>
    <x v="0"/>
    <x v="25"/>
    <x v="0"/>
    <x v="0"/>
    <n v="29.539117900000001"/>
  </r>
  <r>
    <x v="0"/>
    <x v="2"/>
    <x v="1"/>
    <x v="25"/>
    <x v="0"/>
    <x v="1"/>
    <n v="0.29517879499999999"/>
  </r>
  <r>
    <x v="0"/>
    <x v="2"/>
    <x v="2"/>
    <x v="25"/>
    <x v="0"/>
    <x v="1"/>
    <n v="23.801434584999999"/>
  </r>
  <r>
    <x v="0"/>
    <x v="2"/>
    <x v="3"/>
    <x v="25"/>
    <x v="0"/>
    <x v="1"/>
    <n v="0.23392933499999999"/>
  </r>
  <r>
    <x v="0"/>
    <x v="2"/>
    <x v="0"/>
    <x v="26"/>
    <x v="0"/>
    <x v="0"/>
    <n v="13.352088731"/>
  </r>
  <r>
    <x v="0"/>
    <x v="2"/>
    <x v="1"/>
    <x v="26"/>
    <x v="0"/>
    <x v="1"/>
    <n v="0.413563454"/>
  </r>
  <r>
    <x v="0"/>
    <x v="2"/>
    <x v="2"/>
    <x v="26"/>
    <x v="0"/>
    <x v="1"/>
    <n v="7.9051667989999999"/>
  </r>
  <r>
    <x v="0"/>
    <x v="2"/>
    <x v="3"/>
    <x v="26"/>
    <x v="0"/>
    <x v="1"/>
    <n v="0.47281661699999999"/>
  </r>
  <r>
    <x v="0"/>
    <x v="2"/>
    <x v="0"/>
    <x v="27"/>
    <x v="0"/>
    <x v="0"/>
    <n v="595.19374624700004"/>
  </r>
  <r>
    <x v="0"/>
    <x v="2"/>
    <x v="1"/>
    <x v="27"/>
    <x v="0"/>
    <x v="1"/>
    <n v="0.42387920800000001"/>
  </r>
  <r>
    <x v="0"/>
    <x v="2"/>
    <x v="2"/>
    <x v="27"/>
    <x v="0"/>
    <x v="1"/>
    <n v="459.14767571599998"/>
  </r>
  <r>
    <x v="0"/>
    <x v="2"/>
    <x v="3"/>
    <x v="27"/>
    <x v="0"/>
    <x v="1"/>
    <n v="0.63148153799999995"/>
  </r>
  <r>
    <x v="0"/>
    <x v="2"/>
    <x v="0"/>
    <x v="28"/>
    <x v="0"/>
    <x v="0"/>
    <n v="662.52892820500006"/>
  </r>
  <r>
    <x v="0"/>
    <x v="2"/>
    <x v="1"/>
    <x v="28"/>
    <x v="0"/>
    <x v="1"/>
    <n v="0.35166435600000001"/>
  </r>
  <r>
    <x v="0"/>
    <x v="2"/>
    <x v="2"/>
    <x v="28"/>
    <x v="0"/>
    <x v="1"/>
    <n v="354.71814111700002"/>
  </r>
  <r>
    <x v="0"/>
    <x v="2"/>
    <x v="3"/>
    <x v="28"/>
    <x v="0"/>
    <x v="1"/>
    <n v="0.35262138300000001"/>
  </r>
  <r>
    <x v="0"/>
    <x v="2"/>
    <x v="0"/>
    <x v="29"/>
    <x v="0"/>
    <x v="0"/>
    <n v="519.95398108300003"/>
  </r>
  <r>
    <x v="0"/>
    <x v="2"/>
    <x v="1"/>
    <x v="29"/>
    <x v="0"/>
    <x v="1"/>
    <n v="0.38060509799999998"/>
  </r>
  <r>
    <x v="0"/>
    <x v="2"/>
    <x v="2"/>
    <x v="29"/>
    <x v="0"/>
    <x v="1"/>
    <n v="333.72609860900002"/>
  </r>
  <r>
    <x v="0"/>
    <x v="2"/>
    <x v="3"/>
    <x v="29"/>
    <x v="0"/>
    <x v="1"/>
    <n v="0.40697988899999998"/>
  </r>
  <r>
    <x v="0"/>
    <x v="2"/>
    <x v="0"/>
    <x v="30"/>
    <x v="0"/>
    <x v="0"/>
    <n v="143.501366322"/>
  </r>
  <r>
    <x v="0"/>
    <x v="2"/>
    <x v="1"/>
    <x v="30"/>
    <x v="0"/>
    <x v="1"/>
    <n v="0.57391683699999996"/>
  </r>
  <r>
    <x v="0"/>
    <x v="2"/>
    <x v="2"/>
    <x v="30"/>
    <x v="0"/>
    <x v="1"/>
    <n v="90.132936904999994"/>
  </r>
  <r>
    <x v="0"/>
    <x v="2"/>
    <x v="3"/>
    <x v="30"/>
    <x v="0"/>
    <x v="1"/>
    <n v="0.66636021999999995"/>
  </r>
  <r>
    <x v="0"/>
    <x v="2"/>
    <x v="0"/>
    <x v="31"/>
    <x v="0"/>
    <x v="0"/>
    <n v="220.04790793399999"/>
  </r>
  <r>
    <x v="0"/>
    <x v="2"/>
    <x v="1"/>
    <x v="31"/>
    <x v="0"/>
    <x v="1"/>
    <n v="0.30138383800000002"/>
  </r>
  <r>
    <x v="0"/>
    <x v="2"/>
    <x v="2"/>
    <x v="31"/>
    <x v="0"/>
    <x v="1"/>
    <n v="120.99425879499999"/>
  </r>
  <r>
    <x v="0"/>
    <x v="2"/>
    <x v="3"/>
    <x v="31"/>
    <x v="0"/>
    <x v="1"/>
    <n v="0.23792137299999999"/>
  </r>
  <r>
    <x v="0"/>
    <x v="2"/>
    <x v="0"/>
    <x v="32"/>
    <x v="0"/>
    <x v="0"/>
    <n v="669.52261618600005"/>
  </r>
  <r>
    <x v="0"/>
    <x v="2"/>
    <x v="1"/>
    <x v="32"/>
    <x v="0"/>
    <x v="1"/>
    <n v="0.31782550399999998"/>
  </r>
  <r>
    <x v="0"/>
    <x v="2"/>
    <x v="2"/>
    <x v="32"/>
    <x v="0"/>
    <x v="1"/>
    <n v="314.914892743"/>
  </r>
  <r>
    <x v="0"/>
    <x v="2"/>
    <x v="3"/>
    <x v="32"/>
    <x v="0"/>
    <x v="1"/>
    <n v="0.27387696500000003"/>
  </r>
  <r>
    <x v="0"/>
    <x v="2"/>
    <x v="0"/>
    <x v="33"/>
    <x v="0"/>
    <x v="0"/>
    <n v="693.86703183700001"/>
  </r>
  <r>
    <x v="0"/>
    <x v="2"/>
    <x v="1"/>
    <x v="33"/>
    <x v="0"/>
    <x v="1"/>
    <n v="0.20362829399999999"/>
  </r>
  <r>
    <x v="0"/>
    <x v="2"/>
    <x v="2"/>
    <x v="33"/>
    <x v="0"/>
    <x v="1"/>
    <n v="267.337794524"/>
  </r>
  <r>
    <x v="0"/>
    <x v="2"/>
    <x v="3"/>
    <x v="33"/>
    <x v="0"/>
    <x v="1"/>
    <n v="0.116257338"/>
  </r>
  <r>
    <x v="0"/>
    <x v="2"/>
    <x v="0"/>
    <x v="34"/>
    <x v="0"/>
    <x v="0"/>
    <n v="321.01510320800003"/>
  </r>
  <r>
    <x v="0"/>
    <x v="2"/>
    <x v="1"/>
    <x v="34"/>
    <x v="0"/>
    <x v="1"/>
    <n v="0.40951423199999998"/>
  </r>
  <r>
    <x v="0"/>
    <x v="2"/>
    <x v="2"/>
    <x v="34"/>
    <x v="0"/>
    <x v="1"/>
    <n v="226.90779775300001"/>
  </r>
  <r>
    <x v="0"/>
    <x v="2"/>
    <x v="3"/>
    <x v="34"/>
    <x v="0"/>
    <x v="1"/>
    <n v="0.46429389599999998"/>
  </r>
  <r>
    <x v="0"/>
    <x v="2"/>
    <x v="0"/>
    <x v="35"/>
    <x v="0"/>
    <x v="0"/>
    <n v="193.53471052399999"/>
  </r>
  <r>
    <x v="0"/>
    <x v="2"/>
    <x v="1"/>
    <x v="35"/>
    <x v="0"/>
    <x v="1"/>
    <n v="0.424180102"/>
  </r>
  <r>
    <x v="0"/>
    <x v="2"/>
    <x v="2"/>
    <x v="35"/>
    <x v="0"/>
    <x v="1"/>
    <n v="127.062430312"/>
  </r>
  <r>
    <x v="0"/>
    <x v="2"/>
    <x v="3"/>
    <x v="35"/>
    <x v="0"/>
    <x v="1"/>
    <n v="0.493049346"/>
  </r>
  <r>
    <x v="0"/>
    <x v="2"/>
    <x v="0"/>
    <x v="36"/>
    <x v="0"/>
    <x v="0"/>
    <n v="50.479743487999997"/>
  </r>
  <r>
    <x v="0"/>
    <x v="2"/>
    <x v="1"/>
    <x v="36"/>
    <x v="0"/>
    <x v="1"/>
    <n v="0.46126464299999997"/>
  </r>
  <r>
    <x v="0"/>
    <x v="2"/>
    <x v="2"/>
    <x v="36"/>
    <x v="0"/>
    <x v="1"/>
    <n v="29.819573351999999"/>
  </r>
  <r>
    <x v="0"/>
    <x v="2"/>
    <x v="3"/>
    <x v="36"/>
    <x v="0"/>
    <x v="1"/>
    <n v="0.511902054"/>
  </r>
  <r>
    <x v="0"/>
    <x v="2"/>
    <x v="0"/>
    <x v="37"/>
    <x v="0"/>
    <x v="0"/>
    <n v="106.739278888"/>
  </r>
  <r>
    <x v="0"/>
    <x v="2"/>
    <x v="1"/>
    <x v="37"/>
    <x v="0"/>
    <x v="1"/>
    <n v="0.51590982900000004"/>
  </r>
  <r>
    <x v="0"/>
    <x v="2"/>
    <x v="2"/>
    <x v="37"/>
    <x v="0"/>
    <x v="1"/>
    <n v="56.097902001999998"/>
  </r>
  <r>
    <x v="0"/>
    <x v="2"/>
    <x v="3"/>
    <x v="37"/>
    <x v="0"/>
    <x v="1"/>
    <n v="0.67130378400000001"/>
  </r>
  <r>
    <x v="0"/>
    <x v="2"/>
    <x v="0"/>
    <x v="38"/>
    <x v="0"/>
    <x v="0"/>
    <n v="154.59967480500001"/>
  </r>
  <r>
    <x v="0"/>
    <x v="2"/>
    <x v="1"/>
    <x v="38"/>
    <x v="0"/>
    <x v="1"/>
    <n v="0.71191480200000001"/>
  </r>
  <r>
    <x v="0"/>
    <x v="2"/>
    <x v="2"/>
    <x v="38"/>
    <x v="0"/>
    <x v="1"/>
    <n v="41.752596042999997"/>
  </r>
  <r>
    <x v="0"/>
    <x v="2"/>
    <x v="3"/>
    <x v="38"/>
    <x v="0"/>
    <x v="1"/>
    <n v="0.82113435300000004"/>
  </r>
  <r>
    <x v="0"/>
    <x v="2"/>
    <x v="0"/>
    <x v="39"/>
    <x v="0"/>
    <x v="0"/>
    <n v="100.647944225"/>
  </r>
  <r>
    <x v="0"/>
    <x v="2"/>
    <x v="1"/>
    <x v="39"/>
    <x v="0"/>
    <x v="1"/>
    <n v="0.55641316600000001"/>
  </r>
  <r>
    <x v="0"/>
    <x v="2"/>
    <x v="2"/>
    <x v="39"/>
    <x v="0"/>
    <x v="1"/>
    <n v="57.604278219999998"/>
  </r>
  <r>
    <x v="0"/>
    <x v="2"/>
    <x v="3"/>
    <x v="39"/>
    <x v="0"/>
    <x v="1"/>
    <n v="0.79612506100000002"/>
  </r>
  <r>
    <x v="0"/>
    <x v="2"/>
    <x v="0"/>
    <x v="40"/>
    <x v="0"/>
    <x v="0"/>
    <n v="51.906841346999997"/>
  </r>
  <r>
    <x v="0"/>
    <x v="2"/>
    <x v="1"/>
    <x v="40"/>
    <x v="0"/>
    <x v="1"/>
    <n v="0.46098555200000002"/>
  </r>
  <r>
    <x v="0"/>
    <x v="2"/>
    <x v="2"/>
    <x v="40"/>
    <x v="0"/>
    <x v="1"/>
    <n v="27.819831079"/>
  </r>
  <r>
    <x v="0"/>
    <x v="2"/>
    <x v="3"/>
    <x v="40"/>
    <x v="0"/>
    <x v="1"/>
    <n v="0.50475690600000001"/>
  </r>
  <r>
    <x v="0"/>
    <x v="2"/>
    <x v="0"/>
    <x v="41"/>
    <x v="0"/>
    <x v="0"/>
    <n v="315.66867783399999"/>
  </r>
  <r>
    <x v="0"/>
    <x v="2"/>
    <x v="1"/>
    <x v="41"/>
    <x v="0"/>
    <x v="1"/>
    <n v="0.66583279799999995"/>
  </r>
  <r>
    <x v="0"/>
    <x v="2"/>
    <x v="2"/>
    <x v="41"/>
    <x v="0"/>
    <x v="1"/>
    <n v="127.03160060499999"/>
  </r>
  <r>
    <x v="0"/>
    <x v="2"/>
    <x v="3"/>
    <x v="41"/>
    <x v="0"/>
    <x v="1"/>
    <n v="0.83359060299999999"/>
  </r>
  <r>
    <x v="0"/>
    <x v="2"/>
    <x v="4"/>
    <x v="0"/>
    <x v="1"/>
    <x v="0"/>
    <n v="95.637986330999993"/>
  </r>
  <r>
    <x v="0"/>
    <x v="2"/>
    <x v="5"/>
    <x v="0"/>
    <x v="1"/>
    <x v="1"/>
    <n v="8.4870129999999998E-3"/>
  </r>
  <r>
    <x v="0"/>
    <x v="2"/>
    <x v="6"/>
    <x v="0"/>
    <x v="1"/>
    <x v="1"/>
    <n v="0.51579107199999996"/>
  </r>
  <r>
    <x v="0"/>
    <x v="2"/>
    <x v="4"/>
    <x v="1"/>
    <x v="1"/>
    <x v="0"/>
    <n v="147.30266565100001"/>
  </r>
  <r>
    <x v="0"/>
    <x v="2"/>
    <x v="5"/>
    <x v="1"/>
    <x v="1"/>
    <x v="1"/>
    <n v="1.182328E-2"/>
  </r>
  <r>
    <x v="0"/>
    <x v="2"/>
    <x v="6"/>
    <x v="1"/>
    <x v="1"/>
    <x v="1"/>
    <n v="0.51579107199999996"/>
  </r>
  <r>
    <x v="0"/>
    <x v="2"/>
    <x v="4"/>
    <x v="2"/>
    <x v="1"/>
    <x v="0"/>
    <n v="226.65446017100001"/>
  </r>
  <r>
    <x v="0"/>
    <x v="2"/>
    <x v="5"/>
    <x v="2"/>
    <x v="1"/>
    <x v="1"/>
    <n v="2.8461322000000001E-2"/>
  </r>
  <r>
    <x v="0"/>
    <x v="2"/>
    <x v="6"/>
    <x v="2"/>
    <x v="1"/>
    <x v="1"/>
    <n v="0.51579107199999996"/>
  </r>
  <r>
    <x v="0"/>
    <x v="2"/>
    <x v="4"/>
    <x v="3"/>
    <x v="1"/>
    <x v="0"/>
    <n v="88.745433196999997"/>
  </r>
  <r>
    <x v="0"/>
    <x v="2"/>
    <x v="5"/>
    <x v="3"/>
    <x v="1"/>
    <x v="1"/>
    <n v="1.1546335E-2"/>
  </r>
  <r>
    <x v="0"/>
    <x v="2"/>
    <x v="6"/>
    <x v="3"/>
    <x v="1"/>
    <x v="1"/>
    <n v="0.51579107199999996"/>
  </r>
  <r>
    <x v="0"/>
    <x v="2"/>
    <x v="4"/>
    <x v="4"/>
    <x v="1"/>
    <x v="0"/>
    <n v="38.642786635"/>
  </r>
  <r>
    <x v="0"/>
    <x v="2"/>
    <x v="5"/>
    <x v="4"/>
    <x v="1"/>
    <x v="1"/>
    <n v="1.0297071E-2"/>
  </r>
  <r>
    <x v="0"/>
    <x v="2"/>
    <x v="6"/>
    <x v="4"/>
    <x v="1"/>
    <x v="1"/>
    <n v="0.51579107199999996"/>
  </r>
  <r>
    <x v="0"/>
    <x v="2"/>
    <x v="4"/>
    <x v="5"/>
    <x v="1"/>
    <x v="0"/>
    <n v="278.56559044300002"/>
  </r>
  <r>
    <x v="0"/>
    <x v="2"/>
    <x v="5"/>
    <x v="5"/>
    <x v="1"/>
    <x v="1"/>
    <n v="4.3375899999999997E-3"/>
  </r>
  <r>
    <x v="0"/>
    <x v="2"/>
    <x v="6"/>
    <x v="5"/>
    <x v="1"/>
    <x v="1"/>
    <n v="0.51579107199999996"/>
  </r>
  <r>
    <x v="0"/>
    <x v="2"/>
    <x v="4"/>
    <x v="6"/>
    <x v="1"/>
    <x v="0"/>
    <n v="82.753602254"/>
  </r>
  <r>
    <x v="0"/>
    <x v="2"/>
    <x v="5"/>
    <x v="6"/>
    <x v="1"/>
    <x v="1"/>
    <n v="3.0591289999999998E-3"/>
  </r>
  <r>
    <x v="0"/>
    <x v="2"/>
    <x v="6"/>
    <x v="6"/>
    <x v="1"/>
    <x v="1"/>
    <n v="0.51579107199999996"/>
  </r>
  <r>
    <x v="0"/>
    <x v="2"/>
    <x v="4"/>
    <x v="7"/>
    <x v="1"/>
    <x v="0"/>
    <n v="60.314879982999997"/>
  </r>
  <r>
    <x v="0"/>
    <x v="2"/>
    <x v="5"/>
    <x v="7"/>
    <x v="1"/>
    <x v="1"/>
    <n v="2.463706E-3"/>
  </r>
  <r>
    <x v="0"/>
    <x v="2"/>
    <x v="6"/>
    <x v="7"/>
    <x v="1"/>
    <x v="1"/>
    <n v="0.51579107199999996"/>
  </r>
  <r>
    <x v="0"/>
    <x v="2"/>
    <x v="4"/>
    <x v="8"/>
    <x v="1"/>
    <x v="0"/>
    <n v="49.493202338000003"/>
  </r>
  <r>
    <x v="0"/>
    <x v="2"/>
    <x v="5"/>
    <x v="8"/>
    <x v="1"/>
    <x v="1"/>
    <n v="3.0393040000000001E-3"/>
  </r>
  <r>
    <x v="0"/>
    <x v="2"/>
    <x v="6"/>
    <x v="8"/>
    <x v="1"/>
    <x v="1"/>
    <n v="0.51579107199999996"/>
  </r>
  <r>
    <x v="0"/>
    <x v="2"/>
    <x v="4"/>
    <x v="9"/>
    <x v="1"/>
    <x v="0"/>
    <n v="98.772048534000007"/>
  </r>
  <r>
    <x v="0"/>
    <x v="2"/>
    <x v="5"/>
    <x v="9"/>
    <x v="1"/>
    <x v="1"/>
    <n v="6.4219669999999998E-3"/>
  </r>
  <r>
    <x v="0"/>
    <x v="2"/>
    <x v="6"/>
    <x v="9"/>
    <x v="1"/>
    <x v="1"/>
    <n v="0.51579107199999996"/>
  </r>
  <r>
    <x v="0"/>
    <x v="2"/>
    <x v="4"/>
    <x v="10"/>
    <x v="1"/>
    <x v="0"/>
    <n v="75.153034990999998"/>
  </r>
  <r>
    <x v="0"/>
    <x v="2"/>
    <x v="5"/>
    <x v="10"/>
    <x v="1"/>
    <x v="1"/>
    <n v="7.0672510000000001E-3"/>
  </r>
  <r>
    <x v="0"/>
    <x v="2"/>
    <x v="6"/>
    <x v="10"/>
    <x v="1"/>
    <x v="1"/>
    <n v="0.51579107199999996"/>
  </r>
  <r>
    <x v="0"/>
    <x v="2"/>
    <x v="4"/>
    <x v="11"/>
    <x v="1"/>
    <x v="0"/>
    <n v="413.99730413100002"/>
  </r>
  <r>
    <x v="0"/>
    <x v="2"/>
    <x v="5"/>
    <x v="11"/>
    <x v="1"/>
    <x v="1"/>
    <n v="5.1563470000000004E-3"/>
  </r>
  <r>
    <x v="0"/>
    <x v="2"/>
    <x v="6"/>
    <x v="11"/>
    <x v="1"/>
    <x v="1"/>
    <n v="0.51579107199999996"/>
  </r>
  <r>
    <x v="0"/>
    <x v="2"/>
    <x v="4"/>
    <x v="12"/>
    <x v="1"/>
    <x v="0"/>
    <n v="149.828490171"/>
  </r>
  <r>
    <x v="0"/>
    <x v="2"/>
    <x v="5"/>
    <x v="12"/>
    <x v="1"/>
    <x v="1"/>
    <n v="3.563362E-3"/>
  </r>
  <r>
    <x v="0"/>
    <x v="2"/>
    <x v="6"/>
    <x v="12"/>
    <x v="1"/>
    <x v="1"/>
    <n v="0.51579107199999996"/>
  </r>
  <r>
    <x v="0"/>
    <x v="2"/>
    <x v="4"/>
    <x v="13"/>
    <x v="1"/>
    <x v="0"/>
    <n v="355.09228876700001"/>
  </r>
  <r>
    <x v="0"/>
    <x v="2"/>
    <x v="5"/>
    <x v="13"/>
    <x v="1"/>
    <x v="1"/>
    <n v="4.0426259999999997E-3"/>
  </r>
  <r>
    <x v="0"/>
    <x v="2"/>
    <x v="6"/>
    <x v="13"/>
    <x v="1"/>
    <x v="1"/>
    <n v="0.51579107199999996"/>
  </r>
  <r>
    <x v="0"/>
    <x v="2"/>
    <x v="4"/>
    <x v="14"/>
    <x v="1"/>
    <x v="0"/>
    <n v="86.169625862000004"/>
  </r>
  <r>
    <x v="0"/>
    <x v="2"/>
    <x v="5"/>
    <x v="14"/>
    <x v="1"/>
    <x v="1"/>
    <n v="4.2069179999999996E-3"/>
  </r>
  <r>
    <x v="0"/>
    <x v="2"/>
    <x v="6"/>
    <x v="14"/>
    <x v="1"/>
    <x v="1"/>
    <n v="0.51579107199999996"/>
  </r>
  <r>
    <x v="0"/>
    <x v="2"/>
    <x v="4"/>
    <x v="15"/>
    <x v="1"/>
    <x v="0"/>
    <n v="102.716690739"/>
  </r>
  <r>
    <x v="0"/>
    <x v="2"/>
    <x v="5"/>
    <x v="15"/>
    <x v="1"/>
    <x v="1"/>
    <n v="3.3671869999999998E-3"/>
  </r>
  <r>
    <x v="0"/>
    <x v="2"/>
    <x v="6"/>
    <x v="15"/>
    <x v="1"/>
    <x v="1"/>
    <n v="0.51579107199999996"/>
  </r>
  <r>
    <x v="0"/>
    <x v="2"/>
    <x v="4"/>
    <x v="16"/>
    <x v="1"/>
    <x v="0"/>
    <n v="74.539386049000001"/>
  </r>
  <r>
    <x v="0"/>
    <x v="2"/>
    <x v="5"/>
    <x v="16"/>
    <x v="1"/>
    <x v="1"/>
    <n v="2.5776979999999998E-3"/>
  </r>
  <r>
    <x v="0"/>
    <x v="2"/>
    <x v="6"/>
    <x v="16"/>
    <x v="1"/>
    <x v="1"/>
    <n v="0.51579107199999996"/>
  </r>
  <r>
    <x v="0"/>
    <x v="2"/>
    <x v="4"/>
    <x v="17"/>
    <x v="1"/>
    <x v="0"/>
    <n v="150.04840659999999"/>
  </r>
  <r>
    <x v="0"/>
    <x v="2"/>
    <x v="5"/>
    <x v="17"/>
    <x v="1"/>
    <x v="1"/>
    <n v="3.0660819999999999E-3"/>
  </r>
  <r>
    <x v="0"/>
    <x v="2"/>
    <x v="6"/>
    <x v="17"/>
    <x v="1"/>
    <x v="1"/>
    <n v="0.51579107199999996"/>
  </r>
  <r>
    <x v="0"/>
    <x v="2"/>
    <x v="4"/>
    <x v="18"/>
    <x v="1"/>
    <x v="0"/>
    <n v="121.31199168400001"/>
  </r>
  <r>
    <x v="0"/>
    <x v="2"/>
    <x v="5"/>
    <x v="18"/>
    <x v="1"/>
    <x v="1"/>
    <n v="3.5050429999999998E-3"/>
  </r>
  <r>
    <x v="0"/>
    <x v="2"/>
    <x v="6"/>
    <x v="18"/>
    <x v="1"/>
    <x v="1"/>
    <n v="0.51579107199999996"/>
  </r>
  <r>
    <x v="0"/>
    <x v="2"/>
    <x v="4"/>
    <x v="19"/>
    <x v="1"/>
    <x v="0"/>
    <n v="128.66766207800001"/>
  </r>
  <r>
    <x v="0"/>
    <x v="2"/>
    <x v="5"/>
    <x v="19"/>
    <x v="1"/>
    <x v="1"/>
    <n v="3.4491999999999999E-3"/>
  </r>
  <r>
    <x v="0"/>
    <x v="2"/>
    <x v="6"/>
    <x v="19"/>
    <x v="1"/>
    <x v="1"/>
    <n v="0.51579107199999996"/>
  </r>
  <r>
    <x v="0"/>
    <x v="2"/>
    <x v="4"/>
    <x v="20"/>
    <x v="1"/>
    <x v="0"/>
    <n v="19.775902460000001"/>
  </r>
  <r>
    <x v="0"/>
    <x v="2"/>
    <x v="5"/>
    <x v="20"/>
    <x v="1"/>
    <x v="1"/>
    <n v="5.8771450000000003E-3"/>
  </r>
  <r>
    <x v="0"/>
    <x v="2"/>
    <x v="6"/>
    <x v="20"/>
    <x v="1"/>
    <x v="1"/>
    <n v="0.51579107199999996"/>
  </r>
  <r>
    <x v="0"/>
    <x v="2"/>
    <x v="4"/>
    <x v="21"/>
    <x v="1"/>
    <x v="0"/>
    <n v="7.1425386719999997"/>
  </r>
  <r>
    <x v="0"/>
    <x v="2"/>
    <x v="5"/>
    <x v="21"/>
    <x v="1"/>
    <x v="1"/>
    <n v="5.4654509999999996E-3"/>
  </r>
  <r>
    <x v="0"/>
    <x v="2"/>
    <x v="6"/>
    <x v="21"/>
    <x v="1"/>
    <x v="1"/>
    <n v="0.51579107199999996"/>
  </r>
  <r>
    <x v="0"/>
    <x v="2"/>
    <x v="4"/>
    <x v="22"/>
    <x v="1"/>
    <x v="0"/>
    <n v="137.70823265300001"/>
  </r>
  <r>
    <x v="0"/>
    <x v="2"/>
    <x v="5"/>
    <x v="22"/>
    <x v="1"/>
    <x v="1"/>
    <n v="1.0457185000000001E-2"/>
  </r>
  <r>
    <x v="0"/>
    <x v="2"/>
    <x v="6"/>
    <x v="22"/>
    <x v="1"/>
    <x v="1"/>
    <n v="0.51579107199999996"/>
  </r>
  <r>
    <x v="0"/>
    <x v="2"/>
    <x v="4"/>
    <x v="23"/>
    <x v="1"/>
    <x v="0"/>
    <n v="1.418656664"/>
  </r>
  <r>
    <x v="0"/>
    <x v="2"/>
    <x v="5"/>
    <x v="23"/>
    <x v="1"/>
    <x v="1"/>
    <n v="8.6271060000000007E-3"/>
  </r>
  <r>
    <x v="0"/>
    <x v="2"/>
    <x v="6"/>
    <x v="23"/>
    <x v="1"/>
    <x v="1"/>
    <n v="0.51579107199999996"/>
  </r>
  <r>
    <x v="0"/>
    <x v="2"/>
    <x v="4"/>
    <x v="24"/>
    <x v="1"/>
    <x v="0"/>
    <n v="263.97871927400001"/>
  </r>
  <r>
    <x v="0"/>
    <x v="2"/>
    <x v="5"/>
    <x v="24"/>
    <x v="1"/>
    <x v="1"/>
    <n v="6.0429580000000002E-3"/>
  </r>
  <r>
    <x v="0"/>
    <x v="2"/>
    <x v="6"/>
    <x v="24"/>
    <x v="1"/>
    <x v="1"/>
    <n v="0.51579107199999996"/>
  </r>
  <r>
    <x v="0"/>
    <x v="2"/>
    <x v="4"/>
    <x v="25"/>
    <x v="1"/>
    <x v="0"/>
    <n v="16.187893863999999"/>
  </r>
  <r>
    <x v="0"/>
    <x v="2"/>
    <x v="5"/>
    <x v="25"/>
    <x v="1"/>
    <x v="1"/>
    <n v="6.5157649999999998E-3"/>
  </r>
  <r>
    <x v="0"/>
    <x v="2"/>
    <x v="6"/>
    <x v="25"/>
    <x v="1"/>
    <x v="1"/>
    <n v="0.51579107199999996"/>
  </r>
  <r>
    <x v="0"/>
    <x v="2"/>
    <x v="4"/>
    <x v="26"/>
    <x v="1"/>
    <x v="0"/>
    <n v="11.820065403999999"/>
  </r>
  <r>
    <x v="0"/>
    <x v="2"/>
    <x v="5"/>
    <x v="26"/>
    <x v="1"/>
    <x v="1"/>
    <n v="6.3124260000000003E-3"/>
  </r>
  <r>
    <x v="0"/>
    <x v="2"/>
    <x v="6"/>
    <x v="26"/>
    <x v="1"/>
    <x v="1"/>
    <n v="0.51579107199999996"/>
  </r>
  <r>
    <x v="0"/>
    <x v="2"/>
    <x v="4"/>
    <x v="27"/>
    <x v="1"/>
    <x v="0"/>
    <n v="266.693141293"/>
  </r>
  <r>
    <x v="0"/>
    <x v="2"/>
    <x v="5"/>
    <x v="27"/>
    <x v="1"/>
    <x v="1"/>
    <n v="2.3796669999999998E-3"/>
  </r>
  <r>
    <x v="0"/>
    <x v="2"/>
    <x v="6"/>
    <x v="27"/>
    <x v="1"/>
    <x v="1"/>
    <n v="0.51579107199999996"/>
  </r>
  <r>
    <x v="0"/>
    <x v="2"/>
    <x v="4"/>
    <x v="28"/>
    <x v="1"/>
    <x v="0"/>
    <n v="760.99270282600003"/>
  </r>
  <r>
    <x v="0"/>
    <x v="2"/>
    <x v="5"/>
    <x v="28"/>
    <x v="1"/>
    <x v="1"/>
    <n v="7.3965039999999999E-3"/>
  </r>
  <r>
    <x v="0"/>
    <x v="2"/>
    <x v="6"/>
    <x v="28"/>
    <x v="1"/>
    <x v="1"/>
    <n v="0.51579107199999996"/>
  </r>
  <r>
    <x v="0"/>
    <x v="2"/>
    <x v="4"/>
    <x v="29"/>
    <x v="1"/>
    <x v="0"/>
    <n v="440.09440623500001"/>
  </r>
  <r>
    <x v="0"/>
    <x v="2"/>
    <x v="5"/>
    <x v="29"/>
    <x v="1"/>
    <x v="1"/>
    <n v="6.683306E-3"/>
  </r>
  <r>
    <x v="0"/>
    <x v="2"/>
    <x v="6"/>
    <x v="29"/>
    <x v="1"/>
    <x v="1"/>
    <n v="0.51579107199999996"/>
  </r>
  <r>
    <x v="0"/>
    <x v="2"/>
    <x v="4"/>
    <x v="30"/>
    <x v="1"/>
    <x v="0"/>
    <n v="81.341833918000006"/>
  </r>
  <r>
    <x v="0"/>
    <x v="2"/>
    <x v="5"/>
    <x v="30"/>
    <x v="1"/>
    <x v="1"/>
    <n v="4.6724710000000001E-3"/>
  </r>
  <r>
    <x v="0"/>
    <x v="2"/>
    <x v="6"/>
    <x v="30"/>
    <x v="1"/>
    <x v="1"/>
    <n v="0.51579107199999996"/>
  </r>
  <r>
    <x v="0"/>
    <x v="2"/>
    <x v="4"/>
    <x v="31"/>
    <x v="1"/>
    <x v="0"/>
    <n v="286.94674160400001"/>
  </r>
  <r>
    <x v="0"/>
    <x v="2"/>
    <x v="5"/>
    <x v="31"/>
    <x v="1"/>
    <x v="1"/>
    <n v="5.7274470000000001E-3"/>
  </r>
  <r>
    <x v="0"/>
    <x v="2"/>
    <x v="6"/>
    <x v="31"/>
    <x v="1"/>
    <x v="1"/>
    <n v="0.51579107199999996"/>
  </r>
  <r>
    <x v="0"/>
    <x v="2"/>
    <x v="4"/>
    <x v="32"/>
    <x v="1"/>
    <x v="0"/>
    <n v="892.19238625100002"/>
  </r>
  <r>
    <x v="0"/>
    <x v="2"/>
    <x v="5"/>
    <x v="32"/>
    <x v="1"/>
    <x v="1"/>
    <n v="9.7096519999999992E-3"/>
  </r>
  <r>
    <x v="0"/>
    <x v="2"/>
    <x v="6"/>
    <x v="32"/>
    <x v="1"/>
    <x v="1"/>
    <n v="0.51579107199999996"/>
  </r>
  <r>
    <x v="0"/>
    <x v="2"/>
    <x v="4"/>
    <x v="33"/>
    <x v="1"/>
    <x v="0"/>
    <n v="1053.5897132709999"/>
  </r>
  <r>
    <x v="0"/>
    <x v="2"/>
    <x v="5"/>
    <x v="33"/>
    <x v="1"/>
    <x v="1"/>
    <n v="1.3011936E-2"/>
  </r>
  <r>
    <x v="0"/>
    <x v="2"/>
    <x v="6"/>
    <x v="33"/>
    <x v="1"/>
    <x v="1"/>
    <n v="0.51579107199999996"/>
  </r>
  <r>
    <x v="0"/>
    <x v="2"/>
    <x v="4"/>
    <x v="34"/>
    <x v="1"/>
    <x v="0"/>
    <n v="193.67326306999999"/>
  </r>
  <r>
    <x v="0"/>
    <x v="2"/>
    <x v="5"/>
    <x v="34"/>
    <x v="1"/>
    <x v="1"/>
    <n v="8.5727809999999998E-3"/>
  </r>
  <r>
    <x v="0"/>
    <x v="2"/>
    <x v="6"/>
    <x v="34"/>
    <x v="1"/>
    <x v="1"/>
    <n v="0.51579107199999996"/>
  </r>
  <r>
    <x v="0"/>
    <x v="2"/>
    <x v="4"/>
    <x v="35"/>
    <x v="1"/>
    <x v="0"/>
    <n v="139.51600712600001"/>
  </r>
  <r>
    <x v="0"/>
    <x v="2"/>
    <x v="5"/>
    <x v="35"/>
    <x v="1"/>
    <x v="1"/>
    <n v="6.2963799999999999E-3"/>
  </r>
  <r>
    <x v="0"/>
    <x v="2"/>
    <x v="6"/>
    <x v="35"/>
    <x v="1"/>
    <x v="1"/>
    <n v="0.51579107199999996"/>
  </r>
  <r>
    <x v="0"/>
    <x v="2"/>
    <x v="4"/>
    <x v="36"/>
    <x v="1"/>
    <x v="0"/>
    <n v="40.903118812999999"/>
  </r>
  <r>
    <x v="0"/>
    <x v="2"/>
    <x v="5"/>
    <x v="36"/>
    <x v="1"/>
    <x v="1"/>
    <n v="7.054042E-3"/>
  </r>
  <r>
    <x v="0"/>
    <x v="2"/>
    <x v="6"/>
    <x v="36"/>
    <x v="1"/>
    <x v="1"/>
    <n v="0.51579107199999996"/>
  </r>
  <r>
    <x v="0"/>
    <x v="2"/>
    <x v="4"/>
    <x v="37"/>
    <x v="1"/>
    <x v="0"/>
    <n v="73.011903864000004"/>
  </r>
  <r>
    <x v="0"/>
    <x v="2"/>
    <x v="5"/>
    <x v="37"/>
    <x v="1"/>
    <x v="1"/>
    <n v="5.6091800000000001E-3"/>
  </r>
  <r>
    <x v="0"/>
    <x v="2"/>
    <x v="6"/>
    <x v="37"/>
    <x v="1"/>
    <x v="1"/>
    <n v="0.51579107199999996"/>
  </r>
  <r>
    <x v="0"/>
    <x v="2"/>
    <x v="4"/>
    <x v="38"/>
    <x v="1"/>
    <x v="0"/>
    <n v="86.184105279999997"/>
  </r>
  <r>
    <x v="0"/>
    <x v="2"/>
    <x v="5"/>
    <x v="38"/>
    <x v="1"/>
    <x v="1"/>
    <n v="6.4526929999999998E-3"/>
  </r>
  <r>
    <x v="0"/>
    <x v="2"/>
    <x v="6"/>
    <x v="38"/>
    <x v="1"/>
    <x v="1"/>
    <n v="0.51579107199999996"/>
  </r>
  <r>
    <x v="0"/>
    <x v="2"/>
    <x v="4"/>
    <x v="39"/>
    <x v="1"/>
    <x v="0"/>
    <n v="43.861508397000001"/>
  </r>
  <r>
    <x v="0"/>
    <x v="2"/>
    <x v="5"/>
    <x v="39"/>
    <x v="1"/>
    <x v="1"/>
    <n v="3.2520510000000002E-3"/>
  </r>
  <r>
    <x v="0"/>
    <x v="2"/>
    <x v="6"/>
    <x v="39"/>
    <x v="1"/>
    <x v="1"/>
    <n v="0.51579107199999996"/>
  </r>
  <r>
    <x v="0"/>
    <x v="2"/>
    <x v="4"/>
    <x v="40"/>
    <x v="1"/>
    <x v="0"/>
    <n v="50.351570227000003"/>
  </r>
  <r>
    <x v="0"/>
    <x v="2"/>
    <x v="5"/>
    <x v="40"/>
    <x v="1"/>
    <x v="1"/>
    <n v="5.8469899999999998E-3"/>
  </r>
  <r>
    <x v="0"/>
    <x v="2"/>
    <x v="6"/>
    <x v="40"/>
    <x v="1"/>
    <x v="1"/>
    <n v="0.51579107199999996"/>
  </r>
  <r>
    <x v="0"/>
    <x v="2"/>
    <x v="4"/>
    <x v="41"/>
    <x v="1"/>
    <x v="0"/>
    <n v="119.396813263"/>
  </r>
  <r>
    <x v="0"/>
    <x v="2"/>
    <x v="5"/>
    <x v="41"/>
    <x v="1"/>
    <x v="1"/>
    <n v="1.1008145E-2"/>
  </r>
  <r>
    <x v="0"/>
    <x v="2"/>
    <x v="6"/>
    <x v="41"/>
    <x v="1"/>
    <x v="1"/>
    <n v="0.51579107199999996"/>
  </r>
  <r>
    <x v="0"/>
    <x v="2"/>
    <x v="7"/>
    <x v="0"/>
    <x v="2"/>
    <x v="2"/>
    <n v="400.951982703"/>
  </r>
  <r>
    <x v="0"/>
    <x v="2"/>
    <x v="7"/>
    <x v="1"/>
    <x v="2"/>
    <x v="2"/>
    <n v="51.224385243"/>
  </r>
  <r>
    <x v="0"/>
    <x v="2"/>
    <x v="7"/>
    <x v="2"/>
    <x v="2"/>
    <x v="2"/>
    <n v="22.254801089000001"/>
  </r>
  <r>
    <x v="0"/>
    <x v="2"/>
    <x v="7"/>
    <x v="3"/>
    <x v="2"/>
    <x v="2"/>
    <n v="18.549025289999999"/>
  </r>
  <r>
    <x v="0"/>
    <x v="2"/>
    <x v="7"/>
    <x v="4"/>
    <x v="2"/>
    <x v="2"/>
    <n v="10.219565207"/>
  </r>
  <r>
    <x v="0"/>
    <x v="2"/>
    <x v="7"/>
    <x v="5"/>
    <x v="2"/>
    <x v="2"/>
    <n v="33.568103155000003"/>
  </r>
  <r>
    <x v="0"/>
    <x v="2"/>
    <x v="7"/>
    <x v="6"/>
    <x v="2"/>
    <x v="2"/>
    <n v="14.279877254000001"/>
  </r>
  <r>
    <x v="0"/>
    <x v="2"/>
    <x v="7"/>
    <x v="7"/>
    <x v="2"/>
    <x v="2"/>
    <n v="13.330185619"/>
  </r>
  <r>
    <x v="0"/>
    <x v="2"/>
    <x v="7"/>
    <x v="8"/>
    <x v="2"/>
    <x v="2"/>
    <n v="7.9542644840000003"/>
  </r>
  <r>
    <x v="0"/>
    <x v="2"/>
    <x v="7"/>
    <x v="9"/>
    <x v="2"/>
    <x v="2"/>
    <n v="21.499575668999999"/>
  </r>
  <r>
    <x v="0"/>
    <x v="2"/>
    <x v="7"/>
    <x v="10"/>
    <x v="2"/>
    <x v="2"/>
    <n v="10.157512726"/>
  </r>
  <r>
    <x v="0"/>
    <x v="2"/>
    <x v="7"/>
    <x v="11"/>
    <x v="2"/>
    <x v="2"/>
    <n v="45.904223960000003"/>
  </r>
  <r>
    <x v="0"/>
    <x v="2"/>
    <x v="7"/>
    <x v="12"/>
    <x v="2"/>
    <x v="2"/>
    <n v="21.959396073000001"/>
  </r>
  <r>
    <x v="0"/>
    <x v="2"/>
    <x v="7"/>
    <x v="13"/>
    <x v="2"/>
    <x v="2"/>
    <n v="31.145322963000002"/>
  </r>
  <r>
    <x v="0"/>
    <x v="2"/>
    <x v="7"/>
    <x v="14"/>
    <x v="2"/>
    <x v="2"/>
    <n v="14.493641499000001"/>
  </r>
  <r>
    <x v="0"/>
    <x v="2"/>
    <x v="7"/>
    <x v="15"/>
    <x v="2"/>
    <x v="2"/>
    <n v="18.825232588999999"/>
  </r>
  <r>
    <x v="0"/>
    <x v="2"/>
    <x v="7"/>
    <x v="16"/>
    <x v="2"/>
    <x v="2"/>
    <n v="12.515619065999999"/>
  </r>
  <r>
    <x v="0"/>
    <x v="2"/>
    <x v="7"/>
    <x v="17"/>
    <x v="2"/>
    <x v="2"/>
    <n v="24.954982913999999"/>
  </r>
  <r>
    <x v="0"/>
    <x v="2"/>
    <x v="7"/>
    <x v="18"/>
    <x v="2"/>
    <x v="2"/>
    <n v="15.662645369"/>
  </r>
  <r>
    <x v="0"/>
    <x v="2"/>
    <x v="7"/>
    <x v="19"/>
    <x v="2"/>
    <x v="2"/>
    <n v="27.172165735"/>
  </r>
  <r>
    <x v="0"/>
    <x v="2"/>
    <x v="7"/>
    <x v="20"/>
    <x v="2"/>
    <x v="2"/>
    <n v="3.4834244399999998"/>
  </r>
  <r>
    <x v="0"/>
    <x v="2"/>
    <x v="7"/>
    <x v="21"/>
    <x v="2"/>
    <x v="2"/>
    <n v="1.5581715759999999"/>
  </r>
  <r>
    <x v="0"/>
    <x v="2"/>
    <x v="7"/>
    <x v="22"/>
    <x v="2"/>
    <x v="2"/>
    <n v="1.3044796970000001"/>
  </r>
  <r>
    <x v="0"/>
    <x v="2"/>
    <x v="7"/>
    <x v="23"/>
    <x v="2"/>
    <x v="2"/>
    <n v="1.0078530000000001"/>
  </r>
  <r>
    <x v="0"/>
    <x v="2"/>
    <x v="7"/>
    <x v="24"/>
    <x v="2"/>
    <x v="2"/>
    <n v="22.613548287"/>
  </r>
  <r>
    <x v="0"/>
    <x v="2"/>
    <x v="7"/>
    <x v="25"/>
    <x v="2"/>
    <x v="2"/>
    <n v="1.2614409870000001"/>
  </r>
  <r>
    <x v="0"/>
    <x v="2"/>
    <x v="7"/>
    <x v="26"/>
    <x v="2"/>
    <x v="2"/>
    <n v="2.5004926109999999"/>
  </r>
  <r>
    <x v="0"/>
    <x v="2"/>
    <x v="7"/>
    <x v="27"/>
    <x v="2"/>
    <x v="2"/>
    <n v="84.441934399000004"/>
  </r>
  <r>
    <x v="0"/>
    <x v="2"/>
    <x v="7"/>
    <x v="28"/>
    <x v="2"/>
    <x v="2"/>
    <n v="103.80325743100001"/>
  </r>
  <r>
    <x v="0"/>
    <x v="2"/>
    <x v="7"/>
    <x v="29"/>
    <x v="2"/>
    <x v="2"/>
    <n v="73.177902918000001"/>
  </r>
  <r>
    <x v="0"/>
    <x v="2"/>
    <x v="7"/>
    <x v="30"/>
    <x v="2"/>
    <x v="2"/>
    <n v="34.766976331999999"/>
  </r>
  <r>
    <x v="0"/>
    <x v="2"/>
    <x v="7"/>
    <x v="31"/>
    <x v="2"/>
    <x v="2"/>
    <n v="22.355141449000001"/>
  </r>
  <r>
    <x v="0"/>
    <x v="2"/>
    <x v="7"/>
    <x v="32"/>
    <x v="2"/>
    <x v="2"/>
    <n v="89.811685554999997"/>
  </r>
  <r>
    <x v="0"/>
    <x v="2"/>
    <x v="7"/>
    <x v="33"/>
    <x v="2"/>
    <x v="2"/>
    <n v="37.114557423999997"/>
  </r>
  <r>
    <x v="0"/>
    <x v="2"/>
    <x v="7"/>
    <x v="34"/>
    <x v="2"/>
    <x v="2"/>
    <n v="42.046837590000003"/>
  </r>
  <r>
    <x v="0"/>
    <x v="2"/>
    <x v="7"/>
    <x v="35"/>
    <x v="2"/>
    <x v="2"/>
    <n v="31.849116110000001"/>
  </r>
  <r>
    <x v="0"/>
    <x v="2"/>
    <x v="7"/>
    <x v="36"/>
    <x v="2"/>
    <x v="2"/>
    <n v="10.259485069"/>
  </r>
  <r>
    <x v="0"/>
    <x v="2"/>
    <x v="7"/>
    <x v="37"/>
    <x v="2"/>
    <x v="2"/>
    <n v="33.179673625"/>
  </r>
  <r>
    <x v="0"/>
    <x v="2"/>
    <x v="7"/>
    <x v="38"/>
    <x v="2"/>
    <x v="2"/>
    <n v="90.262287873000005"/>
  </r>
  <r>
    <x v="0"/>
    <x v="2"/>
    <x v="7"/>
    <x v="39"/>
    <x v="2"/>
    <x v="2"/>
    <n v="33.486500003000003"/>
  </r>
  <r>
    <x v="0"/>
    <x v="2"/>
    <x v="7"/>
    <x v="40"/>
    <x v="2"/>
    <x v="2"/>
    <n v="11.837589337000001"/>
  </r>
  <r>
    <x v="0"/>
    <x v="2"/>
    <x v="7"/>
    <x v="41"/>
    <x v="2"/>
    <x v="2"/>
    <n v="152.70861619900001"/>
  </r>
  <r>
    <x v="0"/>
    <x v="2"/>
    <x v="8"/>
    <x v="0"/>
    <x v="2"/>
    <x v="3"/>
    <n v="0.52090457800000001"/>
  </r>
  <r>
    <x v="0"/>
    <x v="2"/>
    <x v="8"/>
    <x v="1"/>
    <x v="2"/>
    <x v="3"/>
    <n v="0.52090457800000001"/>
  </r>
  <r>
    <x v="0"/>
    <x v="2"/>
    <x v="8"/>
    <x v="2"/>
    <x v="2"/>
    <x v="3"/>
    <n v="0.52090457800000001"/>
  </r>
  <r>
    <x v="0"/>
    <x v="2"/>
    <x v="8"/>
    <x v="3"/>
    <x v="2"/>
    <x v="3"/>
    <n v="0.52090457800000001"/>
  </r>
  <r>
    <x v="0"/>
    <x v="2"/>
    <x v="8"/>
    <x v="4"/>
    <x v="2"/>
    <x v="3"/>
    <n v="0.52090457800000001"/>
  </r>
  <r>
    <x v="0"/>
    <x v="2"/>
    <x v="8"/>
    <x v="5"/>
    <x v="2"/>
    <x v="3"/>
    <n v="0.52090457800000001"/>
  </r>
  <r>
    <x v="0"/>
    <x v="2"/>
    <x v="8"/>
    <x v="6"/>
    <x v="2"/>
    <x v="3"/>
    <n v="0.52090457800000001"/>
  </r>
  <r>
    <x v="0"/>
    <x v="2"/>
    <x v="8"/>
    <x v="7"/>
    <x v="2"/>
    <x v="3"/>
    <n v="0.52090457800000001"/>
  </r>
  <r>
    <x v="0"/>
    <x v="2"/>
    <x v="8"/>
    <x v="8"/>
    <x v="2"/>
    <x v="3"/>
    <n v="0.52090457800000001"/>
  </r>
  <r>
    <x v="0"/>
    <x v="2"/>
    <x v="8"/>
    <x v="9"/>
    <x v="2"/>
    <x v="3"/>
    <n v="0.52090457800000001"/>
  </r>
  <r>
    <x v="0"/>
    <x v="2"/>
    <x v="8"/>
    <x v="10"/>
    <x v="2"/>
    <x v="3"/>
    <n v="0.52090457800000001"/>
  </r>
  <r>
    <x v="0"/>
    <x v="2"/>
    <x v="8"/>
    <x v="11"/>
    <x v="2"/>
    <x v="3"/>
    <n v="0.52090457800000001"/>
  </r>
  <r>
    <x v="0"/>
    <x v="2"/>
    <x v="8"/>
    <x v="12"/>
    <x v="2"/>
    <x v="3"/>
    <n v="0.52090457800000001"/>
  </r>
  <r>
    <x v="0"/>
    <x v="2"/>
    <x v="8"/>
    <x v="13"/>
    <x v="2"/>
    <x v="3"/>
    <n v="0.52090457800000001"/>
  </r>
  <r>
    <x v="0"/>
    <x v="2"/>
    <x v="8"/>
    <x v="14"/>
    <x v="2"/>
    <x v="3"/>
    <n v="0.52090457800000001"/>
  </r>
  <r>
    <x v="0"/>
    <x v="2"/>
    <x v="8"/>
    <x v="15"/>
    <x v="2"/>
    <x v="3"/>
    <n v="0.52090457800000001"/>
  </r>
  <r>
    <x v="0"/>
    <x v="2"/>
    <x v="8"/>
    <x v="16"/>
    <x v="2"/>
    <x v="3"/>
    <n v="0.52090457800000001"/>
  </r>
  <r>
    <x v="0"/>
    <x v="2"/>
    <x v="8"/>
    <x v="17"/>
    <x v="2"/>
    <x v="3"/>
    <n v="0.52090457800000001"/>
  </r>
  <r>
    <x v="0"/>
    <x v="2"/>
    <x v="8"/>
    <x v="18"/>
    <x v="2"/>
    <x v="3"/>
    <n v="0.52090457800000001"/>
  </r>
  <r>
    <x v="0"/>
    <x v="2"/>
    <x v="8"/>
    <x v="19"/>
    <x v="2"/>
    <x v="3"/>
    <n v="0.52090457800000001"/>
  </r>
  <r>
    <x v="0"/>
    <x v="2"/>
    <x v="8"/>
    <x v="20"/>
    <x v="2"/>
    <x v="3"/>
    <n v="0.52090457800000001"/>
  </r>
  <r>
    <x v="0"/>
    <x v="2"/>
    <x v="8"/>
    <x v="21"/>
    <x v="2"/>
    <x v="3"/>
    <n v="0.52090457800000001"/>
  </r>
  <r>
    <x v="0"/>
    <x v="2"/>
    <x v="8"/>
    <x v="22"/>
    <x v="2"/>
    <x v="3"/>
    <n v="0.52090457800000001"/>
  </r>
  <r>
    <x v="0"/>
    <x v="2"/>
    <x v="8"/>
    <x v="23"/>
    <x v="2"/>
    <x v="3"/>
    <n v="0.52090457800000001"/>
  </r>
  <r>
    <x v="0"/>
    <x v="2"/>
    <x v="8"/>
    <x v="24"/>
    <x v="2"/>
    <x v="3"/>
    <n v="0.52090457800000001"/>
  </r>
  <r>
    <x v="0"/>
    <x v="2"/>
    <x v="8"/>
    <x v="25"/>
    <x v="2"/>
    <x v="3"/>
    <n v="0.52090457800000001"/>
  </r>
  <r>
    <x v="0"/>
    <x v="2"/>
    <x v="8"/>
    <x v="26"/>
    <x v="2"/>
    <x v="3"/>
    <n v="0.52090457800000001"/>
  </r>
  <r>
    <x v="0"/>
    <x v="2"/>
    <x v="8"/>
    <x v="27"/>
    <x v="2"/>
    <x v="3"/>
    <n v="0.52090457800000001"/>
  </r>
  <r>
    <x v="0"/>
    <x v="2"/>
    <x v="8"/>
    <x v="28"/>
    <x v="2"/>
    <x v="3"/>
    <n v="0.52090457800000001"/>
  </r>
  <r>
    <x v="0"/>
    <x v="2"/>
    <x v="8"/>
    <x v="29"/>
    <x v="2"/>
    <x v="3"/>
    <n v="0.52090457800000001"/>
  </r>
  <r>
    <x v="0"/>
    <x v="2"/>
    <x v="8"/>
    <x v="30"/>
    <x v="2"/>
    <x v="3"/>
    <n v="0.52090457800000001"/>
  </r>
  <r>
    <x v="0"/>
    <x v="2"/>
    <x v="8"/>
    <x v="31"/>
    <x v="2"/>
    <x v="3"/>
    <n v="0.52090457800000001"/>
  </r>
  <r>
    <x v="0"/>
    <x v="2"/>
    <x v="8"/>
    <x v="32"/>
    <x v="2"/>
    <x v="3"/>
    <n v="0.52090457800000001"/>
  </r>
  <r>
    <x v="0"/>
    <x v="2"/>
    <x v="8"/>
    <x v="33"/>
    <x v="2"/>
    <x v="3"/>
    <n v="0.52090457800000001"/>
  </r>
  <r>
    <x v="0"/>
    <x v="2"/>
    <x v="8"/>
    <x v="34"/>
    <x v="2"/>
    <x v="3"/>
    <n v="0.52090457800000001"/>
  </r>
  <r>
    <x v="0"/>
    <x v="2"/>
    <x v="8"/>
    <x v="35"/>
    <x v="2"/>
    <x v="3"/>
    <n v="0.52090457800000001"/>
  </r>
  <r>
    <x v="0"/>
    <x v="2"/>
    <x v="8"/>
    <x v="36"/>
    <x v="2"/>
    <x v="3"/>
    <n v="0.52090457800000001"/>
  </r>
  <r>
    <x v="0"/>
    <x v="2"/>
    <x v="8"/>
    <x v="37"/>
    <x v="2"/>
    <x v="3"/>
    <n v="0.52090457800000001"/>
  </r>
  <r>
    <x v="0"/>
    <x v="2"/>
    <x v="8"/>
    <x v="38"/>
    <x v="2"/>
    <x v="3"/>
    <n v="0.52090457800000001"/>
  </r>
  <r>
    <x v="0"/>
    <x v="2"/>
    <x v="8"/>
    <x v="39"/>
    <x v="2"/>
    <x v="3"/>
    <n v="0.52090457800000001"/>
  </r>
  <r>
    <x v="0"/>
    <x v="2"/>
    <x v="8"/>
    <x v="40"/>
    <x v="2"/>
    <x v="3"/>
    <n v="0.52090457800000001"/>
  </r>
  <r>
    <x v="0"/>
    <x v="2"/>
    <x v="8"/>
    <x v="41"/>
    <x v="2"/>
    <x v="3"/>
    <n v="0.52090457800000001"/>
  </r>
  <r>
    <x v="0"/>
    <x v="2"/>
    <x v="7"/>
    <x v="0"/>
    <x v="3"/>
    <x v="2"/>
    <n v="403.04276159699998"/>
  </r>
  <r>
    <x v="0"/>
    <x v="2"/>
    <x v="7"/>
    <x v="1"/>
    <x v="3"/>
    <x v="2"/>
    <n v="49.444543879999998"/>
  </r>
  <r>
    <x v="0"/>
    <x v="2"/>
    <x v="7"/>
    <x v="2"/>
    <x v="3"/>
    <x v="2"/>
    <n v="20.570260813000001"/>
  </r>
  <r>
    <x v="0"/>
    <x v="2"/>
    <x v="7"/>
    <x v="3"/>
    <x v="3"/>
    <x v="2"/>
    <n v="17.598300871999999"/>
  </r>
  <r>
    <x v="0"/>
    <x v="2"/>
    <x v="7"/>
    <x v="4"/>
    <x v="3"/>
    <x v="2"/>
    <n v="9.7829995679999993"/>
  </r>
  <r>
    <x v="0"/>
    <x v="2"/>
    <x v="7"/>
    <x v="5"/>
    <x v="3"/>
    <x v="2"/>
    <n v="31.336329987999999"/>
  </r>
  <r>
    <x v="0"/>
    <x v="2"/>
    <x v="7"/>
    <x v="6"/>
    <x v="3"/>
    <x v="2"/>
    <n v="13.5673659"/>
  </r>
  <r>
    <x v="0"/>
    <x v="2"/>
    <x v="7"/>
    <x v="7"/>
    <x v="3"/>
    <x v="2"/>
    <n v="12.803024154999999"/>
  </r>
  <r>
    <x v="0"/>
    <x v="2"/>
    <x v="7"/>
    <x v="8"/>
    <x v="3"/>
    <x v="2"/>
    <n v="7.5366592099999998"/>
  </r>
  <r>
    <x v="0"/>
    <x v="2"/>
    <x v="7"/>
    <x v="9"/>
    <x v="3"/>
    <x v="2"/>
    <n v="20.495328993000001"/>
  </r>
  <r>
    <x v="0"/>
    <x v="2"/>
    <x v="7"/>
    <x v="10"/>
    <x v="3"/>
    <x v="2"/>
    <n v="9.4971420200000001"/>
  </r>
  <r>
    <x v="0"/>
    <x v="2"/>
    <x v="7"/>
    <x v="11"/>
    <x v="3"/>
    <x v="2"/>
    <n v="42.643389993"/>
  </r>
  <r>
    <x v="0"/>
    <x v="2"/>
    <x v="7"/>
    <x v="12"/>
    <x v="3"/>
    <x v="2"/>
    <n v="20.702091049"/>
  </r>
  <r>
    <x v="0"/>
    <x v="2"/>
    <x v="7"/>
    <x v="13"/>
    <x v="3"/>
    <x v="2"/>
    <n v="28.679448174000001"/>
  </r>
  <r>
    <x v="0"/>
    <x v="2"/>
    <x v="7"/>
    <x v="14"/>
    <x v="3"/>
    <x v="2"/>
    <n v="13.722171314000001"/>
  </r>
  <r>
    <x v="0"/>
    <x v="2"/>
    <x v="7"/>
    <x v="15"/>
    <x v="3"/>
    <x v="2"/>
    <n v="17.913815854999999"/>
  </r>
  <r>
    <x v="0"/>
    <x v="2"/>
    <x v="7"/>
    <x v="16"/>
    <x v="3"/>
    <x v="2"/>
    <n v="11.895167684"/>
  </r>
  <r>
    <x v="0"/>
    <x v="2"/>
    <x v="7"/>
    <x v="17"/>
    <x v="3"/>
    <x v="2"/>
    <n v="23.675212404"/>
  </r>
  <r>
    <x v="0"/>
    <x v="2"/>
    <x v="7"/>
    <x v="18"/>
    <x v="3"/>
    <x v="2"/>
    <n v="14.689548757000001"/>
  </r>
  <r>
    <x v="0"/>
    <x v="2"/>
    <x v="7"/>
    <x v="19"/>
    <x v="3"/>
    <x v="2"/>
    <n v="25.988722462999998"/>
  </r>
  <r>
    <x v="0"/>
    <x v="2"/>
    <x v="7"/>
    <x v="20"/>
    <x v="3"/>
    <x v="2"/>
    <n v="3.296041196"/>
  </r>
  <r>
    <x v="0"/>
    <x v="2"/>
    <x v="7"/>
    <x v="21"/>
    <x v="3"/>
    <x v="2"/>
    <n v="1.4871133009999999"/>
  </r>
  <r>
    <x v="0"/>
    <x v="2"/>
    <x v="7"/>
    <x v="22"/>
    <x v="3"/>
    <x v="2"/>
    <n v="1.1105959780000001"/>
  </r>
  <r>
    <x v="0"/>
    <x v="2"/>
    <x v="7"/>
    <x v="23"/>
    <x v="3"/>
    <x v="2"/>
    <n v="0.99253013999999995"/>
  </r>
  <r>
    <x v="0"/>
    <x v="2"/>
    <x v="7"/>
    <x v="24"/>
    <x v="3"/>
    <x v="2"/>
    <n v="20.747087034"/>
  </r>
  <r>
    <x v="0"/>
    <x v="2"/>
    <x v="7"/>
    <x v="25"/>
    <x v="3"/>
    <x v="2"/>
    <n v="1.1519986200000001"/>
  </r>
  <r>
    <x v="0"/>
    <x v="2"/>
    <x v="7"/>
    <x v="26"/>
    <x v="3"/>
    <x v="2"/>
    <n v="2.3814524619999999"/>
  </r>
  <r>
    <x v="0"/>
    <x v="2"/>
    <x v="7"/>
    <x v="27"/>
    <x v="3"/>
    <x v="2"/>
    <n v="82.060038528999996"/>
  </r>
  <r>
    <x v="0"/>
    <x v="2"/>
    <x v="7"/>
    <x v="28"/>
    <x v="3"/>
    <x v="2"/>
    <n v="97.066318406999997"/>
  </r>
  <r>
    <x v="0"/>
    <x v="2"/>
    <x v="7"/>
    <x v="29"/>
    <x v="3"/>
    <x v="2"/>
    <n v="69.025077022000005"/>
  </r>
  <r>
    <x v="0"/>
    <x v="2"/>
    <x v="7"/>
    <x v="30"/>
    <x v="3"/>
    <x v="2"/>
    <n v="33.929723201999998"/>
  </r>
  <r>
    <x v="0"/>
    <x v="2"/>
    <x v="7"/>
    <x v="31"/>
    <x v="3"/>
    <x v="2"/>
    <n v="20.427910698000002"/>
  </r>
  <r>
    <x v="0"/>
    <x v="2"/>
    <x v="7"/>
    <x v="32"/>
    <x v="3"/>
    <x v="2"/>
    <n v="82.821102607"/>
  </r>
  <r>
    <x v="0"/>
    <x v="2"/>
    <x v="7"/>
    <x v="33"/>
    <x v="3"/>
    <x v="2"/>
    <n v="32.881390087"/>
  </r>
  <r>
    <x v="0"/>
    <x v="2"/>
    <x v="7"/>
    <x v="34"/>
    <x v="3"/>
    <x v="2"/>
    <n v="40.008214461000001"/>
  </r>
  <r>
    <x v="0"/>
    <x v="2"/>
    <x v="7"/>
    <x v="35"/>
    <x v="3"/>
    <x v="2"/>
    <n v="30.418081231999999"/>
  </r>
  <r>
    <x v="0"/>
    <x v="2"/>
    <x v="7"/>
    <x v="36"/>
    <x v="3"/>
    <x v="2"/>
    <n v="9.8242864950000008"/>
  </r>
  <r>
    <x v="0"/>
    <x v="2"/>
    <x v="7"/>
    <x v="37"/>
    <x v="3"/>
    <x v="2"/>
    <n v="32.400430548000003"/>
  </r>
  <r>
    <x v="0"/>
    <x v="2"/>
    <x v="7"/>
    <x v="38"/>
    <x v="3"/>
    <x v="2"/>
    <n v="89.609654909"/>
  </r>
  <r>
    <x v="0"/>
    <x v="2"/>
    <x v="7"/>
    <x v="39"/>
    <x v="3"/>
    <x v="2"/>
    <n v="33.154582685000001"/>
  </r>
  <r>
    <x v="0"/>
    <x v="2"/>
    <x v="7"/>
    <x v="40"/>
    <x v="3"/>
    <x v="2"/>
    <n v="11.323171498000001"/>
  </r>
  <r>
    <x v="0"/>
    <x v="2"/>
    <x v="7"/>
    <x v="41"/>
    <x v="3"/>
    <x v="2"/>
    <n v="151.80928531500001"/>
  </r>
  <r>
    <x v="0"/>
    <x v="2"/>
    <x v="8"/>
    <x v="0"/>
    <x v="3"/>
    <x v="3"/>
    <n v="0.50316513900000004"/>
  </r>
  <r>
    <x v="0"/>
    <x v="2"/>
    <x v="8"/>
    <x v="1"/>
    <x v="3"/>
    <x v="3"/>
    <n v="0.50316513900000004"/>
  </r>
  <r>
    <x v="0"/>
    <x v="2"/>
    <x v="8"/>
    <x v="2"/>
    <x v="3"/>
    <x v="3"/>
    <n v="0.50316513900000004"/>
  </r>
  <r>
    <x v="0"/>
    <x v="2"/>
    <x v="8"/>
    <x v="3"/>
    <x v="3"/>
    <x v="3"/>
    <n v="0.50316513900000004"/>
  </r>
  <r>
    <x v="0"/>
    <x v="2"/>
    <x v="8"/>
    <x v="4"/>
    <x v="3"/>
    <x v="3"/>
    <n v="0.50316513900000004"/>
  </r>
  <r>
    <x v="0"/>
    <x v="2"/>
    <x v="8"/>
    <x v="5"/>
    <x v="3"/>
    <x v="3"/>
    <n v="0.50316513900000004"/>
  </r>
  <r>
    <x v="0"/>
    <x v="2"/>
    <x v="8"/>
    <x v="6"/>
    <x v="3"/>
    <x v="3"/>
    <n v="0.50316513900000004"/>
  </r>
  <r>
    <x v="0"/>
    <x v="2"/>
    <x v="8"/>
    <x v="7"/>
    <x v="3"/>
    <x v="3"/>
    <n v="0.50316513900000004"/>
  </r>
  <r>
    <x v="0"/>
    <x v="2"/>
    <x v="8"/>
    <x v="8"/>
    <x v="3"/>
    <x v="3"/>
    <n v="0.50316513900000004"/>
  </r>
  <r>
    <x v="0"/>
    <x v="2"/>
    <x v="8"/>
    <x v="9"/>
    <x v="3"/>
    <x v="3"/>
    <n v="0.50316513900000004"/>
  </r>
  <r>
    <x v="0"/>
    <x v="2"/>
    <x v="8"/>
    <x v="10"/>
    <x v="3"/>
    <x v="3"/>
    <n v="0.50316513900000004"/>
  </r>
  <r>
    <x v="0"/>
    <x v="2"/>
    <x v="8"/>
    <x v="11"/>
    <x v="3"/>
    <x v="3"/>
    <n v="0.50316513900000004"/>
  </r>
  <r>
    <x v="0"/>
    <x v="2"/>
    <x v="8"/>
    <x v="12"/>
    <x v="3"/>
    <x v="3"/>
    <n v="0.50316513900000004"/>
  </r>
  <r>
    <x v="0"/>
    <x v="2"/>
    <x v="8"/>
    <x v="13"/>
    <x v="3"/>
    <x v="3"/>
    <n v="0.50316513900000004"/>
  </r>
  <r>
    <x v="0"/>
    <x v="2"/>
    <x v="8"/>
    <x v="14"/>
    <x v="3"/>
    <x v="3"/>
    <n v="0.50316513900000004"/>
  </r>
  <r>
    <x v="0"/>
    <x v="2"/>
    <x v="8"/>
    <x v="15"/>
    <x v="3"/>
    <x v="3"/>
    <n v="0.50316513900000004"/>
  </r>
  <r>
    <x v="0"/>
    <x v="2"/>
    <x v="8"/>
    <x v="16"/>
    <x v="3"/>
    <x v="3"/>
    <n v="0.50316513900000004"/>
  </r>
  <r>
    <x v="0"/>
    <x v="2"/>
    <x v="8"/>
    <x v="17"/>
    <x v="3"/>
    <x v="3"/>
    <n v="0.50316513900000004"/>
  </r>
  <r>
    <x v="0"/>
    <x v="2"/>
    <x v="8"/>
    <x v="18"/>
    <x v="3"/>
    <x v="3"/>
    <n v="0.50316513900000004"/>
  </r>
  <r>
    <x v="0"/>
    <x v="2"/>
    <x v="8"/>
    <x v="19"/>
    <x v="3"/>
    <x v="3"/>
    <n v="0.50316513900000004"/>
  </r>
  <r>
    <x v="0"/>
    <x v="2"/>
    <x v="8"/>
    <x v="20"/>
    <x v="3"/>
    <x v="3"/>
    <n v="0.50316513900000004"/>
  </r>
  <r>
    <x v="0"/>
    <x v="2"/>
    <x v="8"/>
    <x v="21"/>
    <x v="3"/>
    <x v="3"/>
    <n v="0.50316513900000004"/>
  </r>
  <r>
    <x v="0"/>
    <x v="2"/>
    <x v="8"/>
    <x v="22"/>
    <x v="3"/>
    <x v="3"/>
    <n v="0.50316513900000004"/>
  </r>
  <r>
    <x v="0"/>
    <x v="2"/>
    <x v="8"/>
    <x v="23"/>
    <x v="3"/>
    <x v="3"/>
    <n v="0.50316513900000004"/>
  </r>
  <r>
    <x v="0"/>
    <x v="2"/>
    <x v="8"/>
    <x v="24"/>
    <x v="3"/>
    <x v="3"/>
    <n v="0.50316513900000004"/>
  </r>
  <r>
    <x v="0"/>
    <x v="2"/>
    <x v="8"/>
    <x v="25"/>
    <x v="3"/>
    <x v="3"/>
    <n v="0.50316513900000004"/>
  </r>
  <r>
    <x v="0"/>
    <x v="2"/>
    <x v="8"/>
    <x v="26"/>
    <x v="3"/>
    <x v="3"/>
    <n v="0.50316513900000004"/>
  </r>
  <r>
    <x v="0"/>
    <x v="2"/>
    <x v="8"/>
    <x v="27"/>
    <x v="3"/>
    <x v="3"/>
    <n v="0.50316513900000004"/>
  </r>
  <r>
    <x v="0"/>
    <x v="2"/>
    <x v="8"/>
    <x v="28"/>
    <x v="3"/>
    <x v="3"/>
    <n v="0.50316513900000004"/>
  </r>
  <r>
    <x v="0"/>
    <x v="2"/>
    <x v="8"/>
    <x v="29"/>
    <x v="3"/>
    <x v="3"/>
    <n v="0.50316513900000004"/>
  </r>
  <r>
    <x v="0"/>
    <x v="2"/>
    <x v="8"/>
    <x v="30"/>
    <x v="3"/>
    <x v="3"/>
    <n v="0.50316513900000004"/>
  </r>
  <r>
    <x v="0"/>
    <x v="2"/>
    <x v="8"/>
    <x v="31"/>
    <x v="3"/>
    <x v="3"/>
    <n v="0.50316513900000004"/>
  </r>
  <r>
    <x v="0"/>
    <x v="2"/>
    <x v="8"/>
    <x v="32"/>
    <x v="3"/>
    <x v="3"/>
    <n v="0.50316513900000004"/>
  </r>
  <r>
    <x v="0"/>
    <x v="2"/>
    <x v="8"/>
    <x v="33"/>
    <x v="3"/>
    <x v="3"/>
    <n v="0.50316513900000004"/>
  </r>
  <r>
    <x v="0"/>
    <x v="2"/>
    <x v="8"/>
    <x v="34"/>
    <x v="3"/>
    <x v="3"/>
    <n v="0.50316513900000004"/>
  </r>
  <r>
    <x v="0"/>
    <x v="2"/>
    <x v="8"/>
    <x v="35"/>
    <x v="3"/>
    <x v="3"/>
    <n v="0.50316513900000004"/>
  </r>
  <r>
    <x v="0"/>
    <x v="2"/>
    <x v="8"/>
    <x v="36"/>
    <x v="3"/>
    <x v="3"/>
    <n v="0.50316513900000004"/>
  </r>
  <r>
    <x v="0"/>
    <x v="2"/>
    <x v="8"/>
    <x v="37"/>
    <x v="3"/>
    <x v="3"/>
    <n v="0.50316513900000004"/>
  </r>
  <r>
    <x v="0"/>
    <x v="2"/>
    <x v="8"/>
    <x v="38"/>
    <x v="3"/>
    <x v="3"/>
    <n v="0.50316513900000004"/>
  </r>
  <r>
    <x v="0"/>
    <x v="2"/>
    <x v="8"/>
    <x v="39"/>
    <x v="3"/>
    <x v="3"/>
    <n v="0.50316513900000004"/>
  </r>
  <r>
    <x v="0"/>
    <x v="2"/>
    <x v="8"/>
    <x v="40"/>
    <x v="3"/>
    <x v="3"/>
    <n v="0.50316513900000004"/>
  </r>
  <r>
    <x v="0"/>
    <x v="2"/>
    <x v="8"/>
    <x v="41"/>
    <x v="3"/>
    <x v="3"/>
    <n v="0.50316513900000004"/>
  </r>
  <r>
    <x v="0"/>
    <x v="2"/>
    <x v="9"/>
    <x v="42"/>
    <x v="4"/>
    <x v="4"/>
    <n v="73.062426904999995"/>
  </r>
  <r>
    <x v="0"/>
    <x v="2"/>
    <x v="9"/>
    <x v="42"/>
    <x v="5"/>
    <x v="4"/>
    <n v="1.0174512090000001"/>
  </r>
  <r>
    <x v="0"/>
    <x v="2"/>
    <x v="9"/>
    <x v="42"/>
    <x v="6"/>
    <x v="4"/>
    <n v="0"/>
  </r>
  <r>
    <x v="0"/>
    <x v="2"/>
    <x v="9"/>
    <x v="42"/>
    <x v="7"/>
    <x v="4"/>
    <n v="0"/>
  </r>
  <r>
    <x v="0"/>
    <x v="2"/>
    <x v="9"/>
    <x v="42"/>
    <x v="8"/>
    <x v="4"/>
    <n v="0"/>
  </r>
  <r>
    <x v="0"/>
    <x v="2"/>
    <x v="9"/>
    <x v="42"/>
    <x v="9"/>
    <x v="4"/>
    <n v="88.133948144000001"/>
  </r>
  <r>
    <x v="0"/>
    <x v="2"/>
    <x v="9"/>
    <x v="42"/>
    <x v="10"/>
    <x v="4"/>
    <n v="2.6779475220000002"/>
  </r>
  <r>
    <x v="0"/>
    <x v="2"/>
    <x v="9"/>
    <x v="42"/>
    <x v="11"/>
    <x v="4"/>
    <n v="16.047868979"/>
  </r>
  <r>
    <x v="0"/>
    <x v="2"/>
    <x v="9"/>
    <x v="42"/>
    <x v="12"/>
    <x v="4"/>
    <n v="2.3013055420000001"/>
  </r>
  <r>
    <x v="0"/>
    <x v="2"/>
    <x v="9"/>
    <x v="42"/>
    <x v="13"/>
    <x v="4"/>
    <n v="3.6515385550000001"/>
  </r>
  <r>
    <x v="0"/>
    <x v="2"/>
    <x v="9"/>
    <x v="42"/>
    <x v="14"/>
    <x v="4"/>
    <n v="2.7425346799999999"/>
  </r>
  <r>
    <x v="0"/>
    <x v="2"/>
    <x v="9"/>
    <x v="42"/>
    <x v="15"/>
    <x v="4"/>
    <n v="12.562020549"/>
  </r>
  <r>
    <x v="0"/>
    <x v="2"/>
    <x v="9"/>
    <x v="42"/>
    <x v="16"/>
    <x v="4"/>
    <n v="1.7147329920000001"/>
  </r>
  <r>
    <x v="0"/>
    <x v="2"/>
    <x v="9"/>
    <x v="42"/>
    <x v="17"/>
    <x v="4"/>
    <n v="0"/>
  </r>
  <r>
    <x v="0"/>
    <x v="2"/>
    <x v="9"/>
    <x v="42"/>
    <x v="18"/>
    <x v="4"/>
    <n v="1.0483392709999999"/>
  </r>
  <r>
    <x v="0"/>
    <x v="2"/>
    <x v="9"/>
    <x v="42"/>
    <x v="19"/>
    <x v="4"/>
    <n v="0.54518847999999998"/>
  </r>
  <r>
    <x v="0"/>
    <x v="2"/>
    <x v="9"/>
    <x v="42"/>
    <x v="20"/>
    <x v="4"/>
    <n v="0.13897016000000001"/>
  </r>
  <r>
    <x v="0"/>
    <x v="2"/>
    <x v="9"/>
    <x v="42"/>
    <x v="21"/>
    <x v="4"/>
    <n v="9.387564931"/>
  </r>
  <r>
    <x v="0"/>
    <x v="2"/>
    <x v="9"/>
    <x v="42"/>
    <x v="22"/>
    <x v="4"/>
    <n v="9.9626510659999994"/>
  </r>
  <r>
    <x v="0"/>
    <x v="2"/>
    <x v="9"/>
    <x v="42"/>
    <x v="23"/>
    <x v="4"/>
    <n v="9.1837112869999995"/>
  </r>
  <r>
    <x v="0"/>
    <x v="2"/>
    <x v="9"/>
    <x v="42"/>
    <x v="24"/>
    <x v="4"/>
    <n v="0.66152055600000004"/>
  </r>
  <r>
    <x v="0"/>
    <x v="2"/>
    <x v="9"/>
    <x v="42"/>
    <x v="25"/>
    <x v="4"/>
    <n v="0.711840747"/>
  </r>
  <r>
    <x v="0"/>
    <x v="2"/>
    <x v="9"/>
    <x v="42"/>
    <x v="26"/>
    <x v="4"/>
    <n v="0"/>
  </r>
  <r>
    <x v="0"/>
    <x v="2"/>
    <x v="9"/>
    <x v="42"/>
    <x v="27"/>
    <x v="4"/>
    <n v="0"/>
  </r>
  <r>
    <x v="0"/>
    <x v="2"/>
    <x v="9"/>
    <x v="42"/>
    <x v="28"/>
    <x v="4"/>
    <n v="10.7032068"/>
  </r>
  <r>
    <x v="0"/>
    <x v="2"/>
    <x v="9"/>
    <x v="42"/>
    <x v="29"/>
    <x v="4"/>
    <n v="1.3405168890000001"/>
  </r>
  <r>
    <x v="0"/>
    <x v="2"/>
    <x v="9"/>
    <x v="42"/>
    <x v="30"/>
    <x v="4"/>
    <n v="0.75820525100000002"/>
  </r>
  <r>
    <x v="0"/>
    <x v="2"/>
    <x v="9"/>
    <x v="42"/>
    <x v="31"/>
    <x v="4"/>
    <n v="0"/>
  </r>
  <r>
    <x v="0"/>
    <x v="2"/>
    <x v="9"/>
    <x v="42"/>
    <x v="32"/>
    <x v="4"/>
    <n v="45.036851423999998"/>
  </r>
  <r>
    <x v="0"/>
    <x v="2"/>
    <x v="9"/>
    <x v="42"/>
    <x v="33"/>
    <x v="4"/>
    <n v="15.764866762"/>
  </r>
  <r>
    <x v="0"/>
    <x v="2"/>
    <x v="9"/>
    <x v="42"/>
    <x v="34"/>
    <x v="4"/>
    <n v="5.8147455179999996"/>
  </r>
  <r>
    <x v="0"/>
    <x v="2"/>
    <x v="9"/>
    <x v="42"/>
    <x v="35"/>
    <x v="4"/>
    <n v="21.483352463999999"/>
  </r>
  <r>
    <x v="0"/>
    <x v="2"/>
    <x v="9"/>
    <x v="42"/>
    <x v="36"/>
    <x v="4"/>
    <n v="27.171854207999999"/>
  </r>
  <r>
    <x v="0"/>
    <x v="2"/>
    <x v="9"/>
    <x v="42"/>
    <x v="37"/>
    <x v="4"/>
    <n v="161.64045121199999"/>
  </r>
  <r>
    <x v="0"/>
    <x v="2"/>
    <x v="9"/>
    <x v="42"/>
    <x v="38"/>
    <x v="4"/>
    <n v="0.60798922"/>
  </r>
  <r>
    <x v="0"/>
    <x v="2"/>
    <x v="9"/>
    <x v="42"/>
    <x v="39"/>
    <x v="4"/>
    <n v="0.29399477600000001"/>
  </r>
  <r>
    <x v="0"/>
    <x v="2"/>
    <x v="9"/>
    <x v="42"/>
    <x v="40"/>
    <x v="4"/>
    <n v="0.47140586400000001"/>
  </r>
  <r>
    <x v="0"/>
    <x v="2"/>
    <x v="9"/>
    <x v="42"/>
    <x v="41"/>
    <x v="4"/>
    <n v="6.5339710049999997"/>
  </r>
  <r>
    <x v="0"/>
    <x v="2"/>
    <x v="9"/>
    <x v="42"/>
    <x v="42"/>
    <x v="4"/>
    <n v="-1.3419070399999999"/>
  </r>
  <r>
    <x v="0"/>
    <x v="2"/>
    <x v="9"/>
    <x v="42"/>
    <x v="43"/>
    <x v="4"/>
    <n v="5.1085267019999998"/>
  </r>
  <r>
    <x v="0"/>
    <x v="2"/>
    <x v="9"/>
    <x v="42"/>
    <x v="44"/>
    <x v="4"/>
    <n v="3.132688908"/>
  </r>
  <r>
    <x v="0"/>
    <x v="2"/>
    <x v="9"/>
    <x v="42"/>
    <x v="45"/>
    <x v="4"/>
    <n v="-2.0860672E-2"/>
  </r>
  <r>
    <x v="0"/>
    <x v="2"/>
    <x v="10"/>
    <x v="42"/>
    <x v="0"/>
    <x v="4"/>
    <n v="5.1656034899999996"/>
  </r>
  <r>
    <x v="0"/>
    <x v="2"/>
    <x v="11"/>
    <x v="42"/>
    <x v="0"/>
    <x v="4"/>
    <n v="15.803709577999999"/>
  </r>
  <r>
    <x v="0"/>
    <x v="2"/>
    <x v="9"/>
    <x v="43"/>
    <x v="4"/>
    <x v="4"/>
    <n v="128.08487912499999"/>
  </r>
  <r>
    <x v="0"/>
    <x v="2"/>
    <x v="9"/>
    <x v="43"/>
    <x v="5"/>
    <x v="4"/>
    <n v="0.65485300099999999"/>
  </r>
  <r>
    <x v="0"/>
    <x v="2"/>
    <x v="9"/>
    <x v="43"/>
    <x v="6"/>
    <x v="4"/>
    <n v="0"/>
  </r>
  <r>
    <x v="0"/>
    <x v="2"/>
    <x v="9"/>
    <x v="43"/>
    <x v="7"/>
    <x v="4"/>
    <n v="0"/>
  </r>
  <r>
    <x v="0"/>
    <x v="2"/>
    <x v="9"/>
    <x v="43"/>
    <x v="8"/>
    <x v="4"/>
    <n v="0"/>
  </r>
  <r>
    <x v="0"/>
    <x v="2"/>
    <x v="9"/>
    <x v="43"/>
    <x v="9"/>
    <x v="4"/>
    <n v="284.67562107100002"/>
  </r>
  <r>
    <x v="0"/>
    <x v="2"/>
    <x v="9"/>
    <x v="43"/>
    <x v="10"/>
    <x v="4"/>
    <n v="4.1763985549999996"/>
  </r>
  <r>
    <x v="0"/>
    <x v="2"/>
    <x v="9"/>
    <x v="43"/>
    <x v="11"/>
    <x v="4"/>
    <n v="69.998463792999999"/>
  </r>
  <r>
    <x v="0"/>
    <x v="2"/>
    <x v="9"/>
    <x v="43"/>
    <x v="12"/>
    <x v="4"/>
    <n v="7.5894107379999998"/>
  </r>
  <r>
    <x v="0"/>
    <x v="2"/>
    <x v="9"/>
    <x v="43"/>
    <x v="13"/>
    <x v="4"/>
    <n v="13.9955821"/>
  </r>
  <r>
    <x v="0"/>
    <x v="2"/>
    <x v="9"/>
    <x v="43"/>
    <x v="14"/>
    <x v="4"/>
    <n v="26.020160031"/>
  </r>
  <r>
    <x v="0"/>
    <x v="2"/>
    <x v="9"/>
    <x v="43"/>
    <x v="15"/>
    <x v="4"/>
    <n v="51.488424829000003"/>
  </r>
  <r>
    <x v="0"/>
    <x v="2"/>
    <x v="9"/>
    <x v="43"/>
    <x v="16"/>
    <x v="4"/>
    <n v="3.7453203720000001"/>
  </r>
  <r>
    <x v="0"/>
    <x v="2"/>
    <x v="9"/>
    <x v="43"/>
    <x v="17"/>
    <x v="4"/>
    <n v="0"/>
  </r>
  <r>
    <x v="0"/>
    <x v="2"/>
    <x v="9"/>
    <x v="43"/>
    <x v="18"/>
    <x v="4"/>
    <n v="4.4040558949999999"/>
  </r>
  <r>
    <x v="0"/>
    <x v="2"/>
    <x v="9"/>
    <x v="43"/>
    <x v="19"/>
    <x v="4"/>
    <n v="1.1837863980000001"/>
  </r>
  <r>
    <x v="0"/>
    <x v="2"/>
    <x v="9"/>
    <x v="43"/>
    <x v="20"/>
    <x v="4"/>
    <n v="1.1736052809999999"/>
  </r>
  <r>
    <x v="0"/>
    <x v="2"/>
    <x v="9"/>
    <x v="43"/>
    <x v="21"/>
    <x v="4"/>
    <n v="60.452183619000003"/>
  </r>
  <r>
    <x v="0"/>
    <x v="2"/>
    <x v="9"/>
    <x v="43"/>
    <x v="22"/>
    <x v="4"/>
    <n v="28.160441218999999"/>
  </r>
  <r>
    <x v="0"/>
    <x v="2"/>
    <x v="9"/>
    <x v="43"/>
    <x v="23"/>
    <x v="4"/>
    <n v="30.448625003"/>
  </r>
  <r>
    <x v="0"/>
    <x v="2"/>
    <x v="9"/>
    <x v="43"/>
    <x v="24"/>
    <x v="4"/>
    <n v="1.5461860359999999"/>
  </r>
  <r>
    <x v="0"/>
    <x v="2"/>
    <x v="9"/>
    <x v="43"/>
    <x v="25"/>
    <x v="4"/>
    <n v="1.497790143"/>
  </r>
  <r>
    <x v="0"/>
    <x v="2"/>
    <x v="9"/>
    <x v="43"/>
    <x v="26"/>
    <x v="4"/>
    <n v="0"/>
  </r>
  <r>
    <x v="0"/>
    <x v="2"/>
    <x v="9"/>
    <x v="43"/>
    <x v="27"/>
    <x v="4"/>
    <n v="0"/>
  </r>
  <r>
    <x v="0"/>
    <x v="2"/>
    <x v="9"/>
    <x v="43"/>
    <x v="28"/>
    <x v="4"/>
    <n v="30.364531743000001"/>
  </r>
  <r>
    <x v="0"/>
    <x v="2"/>
    <x v="9"/>
    <x v="43"/>
    <x v="29"/>
    <x v="4"/>
    <n v="20.688418003999999"/>
  </r>
  <r>
    <x v="0"/>
    <x v="2"/>
    <x v="9"/>
    <x v="43"/>
    <x v="30"/>
    <x v="4"/>
    <n v="5.2088825669999999"/>
  </r>
  <r>
    <x v="0"/>
    <x v="2"/>
    <x v="9"/>
    <x v="43"/>
    <x v="31"/>
    <x v="4"/>
    <n v="0"/>
  </r>
  <r>
    <x v="0"/>
    <x v="2"/>
    <x v="9"/>
    <x v="43"/>
    <x v="32"/>
    <x v="4"/>
    <n v="120.008158873"/>
  </r>
  <r>
    <x v="0"/>
    <x v="2"/>
    <x v="9"/>
    <x v="43"/>
    <x v="33"/>
    <x v="4"/>
    <n v="53.659363562000003"/>
  </r>
  <r>
    <x v="0"/>
    <x v="2"/>
    <x v="9"/>
    <x v="43"/>
    <x v="34"/>
    <x v="4"/>
    <n v="30.644767011999999"/>
  </r>
  <r>
    <x v="0"/>
    <x v="2"/>
    <x v="9"/>
    <x v="43"/>
    <x v="35"/>
    <x v="4"/>
    <n v="73.501461555000006"/>
  </r>
  <r>
    <x v="0"/>
    <x v="2"/>
    <x v="9"/>
    <x v="43"/>
    <x v="36"/>
    <x v="4"/>
    <n v="126.568307573"/>
  </r>
  <r>
    <x v="0"/>
    <x v="2"/>
    <x v="9"/>
    <x v="43"/>
    <x v="37"/>
    <x v="4"/>
    <n v="421.204614311"/>
  </r>
  <r>
    <x v="0"/>
    <x v="2"/>
    <x v="9"/>
    <x v="43"/>
    <x v="38"/>
    <x v="4"/>
    <n v="9.2163005919999996"/>
  </r>
  <r>
    <x v="0"/>
    <x v="2"/>
    <x v="9"/>
    <x v="43"/>
    <x v="39"/>
    <x v="4"/>
    <n v="1.4960198810000001"/>
  </r>
  <r>
    <x v="0"/>
    <x v="2"/>
    <x v="9"/>
    <x v="43"/>
    <x v="40"/>
    <x v="4"/>
    <n v="2.0224617779999998"/>
  </r>
  <r>
    <x v="0"/>
    <x v="2"/>
    <x v="9"/>
    <x v="43"/>
    <x v="41"/>
    <x v="4"/>
    <n v="25.476745302000001"/>
  </r>
  <r>
    <x v="0"/>
    <x v="2"/>
    <x v="9"/>
    <x v="43"/>
    <x v="42"/>
    <x v="4"/>
    <n v="-6.6689495579999996"/>
  </r>
  <r>
    <x v="0"/>
    <x v="2"/>
    <x v="9"/>
    <x v="43"/>
    <x v="43"/>
    <x v="4"/>
    <n v="14.692848364"/>
  </r>
  <r>
    <x v="0"/>
    <x v="2"/>
    <x v="9"/>
    <x v="43"/>
    <x v="44"/>
    <x v="4"/>
    <n v="16.220222764999999"/>
  </r>
  <r>
    <x v="0"/>
    <x v="2"/>
    <x v="9"/>
    <x v="43"/>
    <x v="45"/>
    <x v="4"/>
    <n v="-0.50076072299999996"/>
  </r>
  <r>
    <x v="0"/>
    <x v="2"/>
    <x v="10"/>
    <x v="43"/>
    <x v="0"/>
    <x v="4"/>
    <n v="24.442431153000001"/>
  </r>
  <r>
    <x v="0"/>
    <x v="2"/>
    <x v="11"/>
    <x v="43"/>
    <x v="0"/>
    <x v="4"/>
    <n v="77.727962778000006"/>
  </r>
  <r>
    <x v="0"/>
    <x v="2"/>
    <x v="12"/>
    <x v="0"/>
    <x v="0"/>
    <x v="0"/>
    <n v="736.57821189399999"/>
  </r>
  <r>
    <x v="0"/>
    <x v="2"/>
    <x v="13"/>
    <x v="0"/>
    <x v="0"/>
    <x v="0"/>
    <n v="255.16144487400001"/>
  </r>
  <r>
    <x v="0"/>
    <x v="2"/>
    <x v="14"/>
    <x v="0"/>
    <x v="0"/>
    <x v="0"/>
    <n v="1.1412490639999999"/>
  </r>
  <r>
    <x v="0"/>
    <x v="2"/>
    <x v="15"/>
    <x v="0"/>
    <x v="0"/>
    <x v="1"/>
    <n v="0.70910108000000005"/>
  </r>
  <r>
    <x v="0"/>
    <x v="2"/>
    <x v="16"/>
    <x v="0"/>
    <x v="0"/>
    <x v="1"/>
    <n v="0.75052205100000002"/>
  </r>
  <r>
    <x v="0"/>
    <x v="2"/>
    <x v="12"/>
    <x v="1"/>
    <x v="0"/>
    <x v="0"/>
    <n v="254.62342321599999"/>
  </r>
  <r>
    <x v="0"/>
    <x v="2"/>
    <x v="13"/>
    <x v="1"/>
    <x v="0"/>
    <x v="0"/>
    <n v="37.093256598000004"/>
  </r>
  <r>
    <x v="0"/>
    <x v="2"/>
    <x v="14"/>
    <x v="1"/>
    <x v="0"/>
    <x v="0"/>
    <n v="0.36156949700000002"/>
  </r>
  <r>
    <x v="0"/>
    <x v="2"/>
    <x v="15"/>
    <x v="1"/>
    <x v="0"/>
    <x v="1"/>
    <n v="0.41886822499999998"/>
  </r>
  <r>
    <x v="0"/>
    <x v="2"/>
    <x v="16"/>
    <x v="1"/>
    <x v="0"/>
    <x v="1"/>
    <n v="0.425887442"/>
  </r>
  <r>
    <x v="0"/>
    <x v="2"/>
    <x v="12"/>
    <x v="2"/>
    <x v="0"/>
    <x v="0"/>
    <n v="304.36200420099999"/>
  </r>
  <r>
    <x v="0"/>
    <x v="2"/>
    <x v="13"/>
    <x v="2"/>
    <x v="0"/>
    <x v="0"/>
    <n v="111.365570175"/>
  </r>
  <r>
    <x v="0"/>
    <x v="2"/>
    <x v="14"/>
    <x v="2"/>
    <x v="0"/>
    <x v="0"/>
    <n v="2.294280417"/>
  </r>
  <r>
    <x v="0"/>
    <x v="2"/>
    <x v="15"/>
    <x v="2"/>
    <x v="0"/>
    <x v="1"/>
    <n v="0.281427971"/>
  </r>
  <r>
    <x v="0"/>
    <x v="2"/>
    <x v="16"/>
    <x v="2"/>
    <x v="0"/>
    <x v="1"/>
    <n v="0.26413218100000002"/>
  </r>
  <r>
    <x v="0"/>
    <x v="2"/>
    <x v="12"/>
    <x v="3"/>
    <x v="0"/>
    <x v="0"/>
    <n v="155.36597252199999"/>
  </r>
  <r>
    <x v="0"/>
    <x v="2"/>
    <x v="13"/>
    <x v="3"/>
    <x v="0"/>
    <x v="0"/>
    <n v="87.138476885000003"/>
  </r>
  <r>
    <x v="0"/>
    <x v="2"/>
    <x v="14"/>
    <x v="3"/>
    <x v="0"/>
    <x v="0"/>
    <n v="0.35022684300000001"/>
  </r>
  <r>
    <x v="0"/>
    <x v="2"/>
    <x v="15"/>
    <x v="3"/>
    <x v="0"/>
    <x v="1"/>
    <n v="0.33560764199999998"/>
  </r>
  <r>
    <x v="0"/>
    <x v="2"/>
    <x v="16"/>
    <x v="3"/>
    <x v="0"/>
    <x v="1"/>
    <n v="0.33919682499999998"/>
  </r>
  <r>
    <x v="0"/>
    <x v="2"/>
    <x v="12"/>
    <x v="4"/>
    <x v="0"/>
    <x v="0"/>
    <n v="67.315140181000004"/>
  </r>
  <r>
    <x v="0"/>
    <x v="2"/>
    <x v="13"/>
    <x v="4"/>
    <x v="0"/>
    <x v="0"/>
    <n v="6.7887731579999997"/>
  </r>
  <r>
    <x v="0"/>
    <x v="2"/>
    <x v="14"/>
    <x v="4"/>
    <x v="0"/>
    <x v="0"/>
    <n v="0.57507220400000003"/>
  </r>
  <r>
    <x v="0"/>
    <x v="2"/>
    <x v="15"/>
    <x v="4"/>
    <x v="0"/>
    <x v="1"/>
    <n v="0.38307158000000002"/>
  </r>
  <r>
    <x v="0"/>
    <x v="2"/>
    <x v="16"/>
    <x v="4"/>
    <x v="0"/>
    <x v="1"/>
    <n v="0.38623107400000001"/>
  </r>
  <r>
    <x v="0"/>
    <x v="2"/>
    <x v="12"/>
    <x v="5"/>
    <x v="0"/>
    <x v="0"/>
    <n v="581.22823639299997"/>
  </r>
  <r>
    <x v="0"/>
    <x v="2"/>
    <x v="13"/>
    <x v="5"/>
    <x v="0"/>
    <x v="0"/>
    <n v="133.82458882500001"/>
  </r>
  <r>
    <x v="0"/>
    <x v="2"/>
    <x v="14"/>
    <x v="5"/>
    <x v="0"/>
    <x v="0"/>
    <n v="5.7477962910000002"/>
  </r>
  <r>
    <x v="0"/>
    <x v="2"/>
    <x v="15"/>
    <x v="5"/>
    <x v="0"/>
    <x v="1"/>
    <n v="0.54291431999999995"/>
  </r>
  <r>
    <x v="0"/>
    <x v="2"/>
    <x v="16"/>
    <x v="5"/>
    <x v="0"/>
    <x v="1"/>
    <n v="0.55965498700000005"/>
  </r>
  <r>
    <x v="0"/>
    <x v="2"/>
    <x v="12"/>
    <x v="6"/>
    <x v="0"/>
    <x v="0"/>
    <n v="183.45280880000001"/>
  </r>
  <r>
    <x v="0"/>
    <x v="2"/>
    <x v="13"/>
    <x v="6"/>
    <x v="0"/>
    <x v="0"/>
    <n v="21.097917543000001"/>
  </r>
  <r>
    <x v="0"/>
    <x v="2"/>
    <x v="14"/>
    <x v="6"/>
    <x v="0"/>
    <x v="0"/>
    <n v="10.749901448999999"/>
  </r>
  <r>
    <x v="0"/>
    <x v="2"/>
    <x v="15"/>
    <x v="6"/>
    <x v="0"/>
    <x v="1"/>
    <n v="0.49126735399999999"/>
  </r>
  <r>
    <x v="0"/>
    <x v="2"/>
    <x v="16"/>
    <x v="6"/>
    <x v="0"/>
    <x v="1"/>
    <n v="0.49820344500000002"/>
  </r>
  <r>
    <x v="0"/>
    <x v="2"/>
    <x v="12"/>
    <x v="7"/>
    <x v="0"/>
    <x v="0"/>
    <n v="102.997548481"/>
  </r>
  <r>
    <x v="0"/>
    <x v="2"/>
    <x v="13"/>
    <x v="7"/>
    <x v="0"/>
    <x v="0"/>
    <n v="34.258936259999999"/>
  </r>
  <r>
    <x v="0"/>
    <x v="2"/>
    <x v="14"/>
    <x v="7"/>
    <x v="0"/>
    <x v="0"/>
    <n v="22.537698463000002"/>
  </r>
  <r>
    <x v="0"/>
    <x v="2"/>
    <x v="15"/>
    <x v="7"/>
    <x v="0"/>
    <x v="1"/>
    <n v="0.50746253299999999"/>
  </r>
  <r>
    <x v="0"/>
    <x v="2"/>
    <x v="16"/>
    <x v="7"/>
    <x v="0"/>
    <x v="1"/>
    <n v="0.52861016400000005"/>
  </r>
  <r>
    <x v="0"/>
    <x v="2"/>
    <x v="12"/>
    <x v="8"/>
    <x v="0"/>
    <x v="0"/>
    <n v="89.948206435000003"/>
  </r>
  <r>
    <x v="0"/>
    <x v="2"/>
    <x v="13"/>
    <x v="8"/>
    <x v="0"/>
    <x v="0"/>
    <n v="10.376765637"/>
  </r>
  <r>
    <x v="0"/>
    <x v="2"/>
    <x v="14"/>
    <x v="8"/>
    <x v="0"/>
    <x v="0"/>
    <n v="8.8673684710000007"/>
  </r>
  <r>
    <x v="0"/>
    <x v="2"/>
    <x v="15"/>
    <x v="8"/>
    <x v="0"/>
    <x v="1"/>
    <n v="0.45926188800000001"/>
  </r>
  <r>
    <x v="0"/>
    <x v="2"/>
    <x v="16"/>
    <x v="8"/>
    <x v="0"/>
    <x v="1"/>
    <n v="0.46539160699999998"/>
  </r>
  <r>
    <x v="0"/>
    <x v="2"/>
    <x v="12"/>
    <x v="9"/>
    <x v="0"/>
    <x v="0"/>
    <n v="212.180854598"/>
  </r>
  <r>
    <x v="0"/>
    <x v="2"/>
    <x v="13"/>
    <x v="9"/>
    <x v="0"/>
    <x v="0"/>
    <n v="33.386372973999997"/>
  </r>
  <r>
    <x v="0"/>
    <x v="2"/>
    <x v="14"/>
    <x v="9"/>
    <x v="0"/>
    <x v="0"/>
    <n v="19.557969614000001"/>
  </r>
  <r>
    <x v="0"/>
    <x v="2"/>
    <x v="15"/>
    <x v="9"/>
    <x v="0"/>
    <x v="1"/>
    <n v="0.40991903400000002"/>
  </r>
  <r>
    <x v="0"/>
    <x v="2"/>
    <x v="16"/>
    <x v="9"/>
    <x v="0"/>
    <x v="1"/>
    <n v="0.41588844699999999"/>
  </r>
  <r>
    <x v="0"/>
    <x v="2"/>
    <x v="12"/>
    <x v="10"/>
    <x v="0"/>
    <x v="0"/>
    <n v="357.73411974499999"/>
  </r>
  <r>
    <x v="0"/>
    <x v="2"/>
    <x v="13"/>
    <x v="10"/>
    <x v="0"/>
    <x v="0"/>
    <n v="36.706814193"/>
  </r>
  <r>
    <x v="0"/>
    <x v="2"/>
    <x v="14"/>
    <x v="10"/>
    <x v="0"/>
    <x v="0"/>
    <n v="6.9440496779999998"/>
  </r>
  <r>
    <x v="0"/>
    <x v="2"/>
    <x v="15"/>
    <x v="10"/>
    <x v="0"/>
    <x v="1"/>
    <n v="0.305998245"/>
  </r>
  <r>
    <x v="0"/>
    <x v="2"/>
    <x v="16"/>
    <x v="10"/>
    <x v="0"/>
    <x v="1"/>
    <n v="0.30471469299999998"/>
  </r>
  <r>
    <x v="0"/>
    <x v="2"/>
    <x v="12"/>
    <x v="11"/>
    <x v="0"/>
    <x v="0"/>
    <n v="908.87041336300001"/>
  </r>
  <r>
    <x v="0"/>
    <x v="2"/>
    <x v="13"/>
    <x v="11"/>
    <x v="0"/>
    <x v="0"/>
    <n v="188.55959624799999"/>
  </r>
  <r>
    <x v="0"/>
    <x v="2"/>
    <x v="14"/>
    <x v="11"/>
    <x v="0"/>
    <x v="0"/>
    <n v="41.323342140000001"/>
  </r>
  <r>
    <x v="0"/>
    <x v="2"/>
    <x v="15"/>
    <x v="11"/>
    <x v="0"/>
    <x v="1"/>
    <n v="0.35904625699999998"/>
  </r>
  <r>
    <x v="0"/>
    <x v="2"/>
    <x v="16"/>
    <x v="11"/>
    <x v="0"/>
    <x v="1"/>
    <n v="0.36255028099999997"/>
  </r>
  <r>
    <x v="0"/>
    <x v="2"/>
    <x v="12"/>
    <x v="12"/>
    <x v="0"/>
    <x v="0"/>
    <n v="273.14437500100001"/>
  </r>
  <r>
    <x v="0"/>
    <x v="2"/>
    <x v="13"/>
    <x v="12"/>
    <x v="0"/>
    <x v="0"/>
    <n v="8.1625833320000005"/>
  </r>
  <r>
    <x v="0"/>
    <x v="2"/>
    <x v="14"/>
    <x v="12"/>
    <x v="0"/>
    <x v="0"/>
    <n v="9.7941193959999993"/>
  </r>
  <r>
    <x v="0"/>
    <x v="2"/>
    <x v="15"/>
    <x v="12"/>
    <x v="0"/>
    <x v="1"/>
    <n v="0.36355579599999999"/>
  </r>
  <r>
    <x v="0"/>
    <x v="2"/>
    <x v="16"/>
    <x v="12"/>
    <x v="0"/>
    <x v="1"/>
    <n v="0.36412719100000002"/>
  </r>
  <r>
    <x v="0"/>
    <x v="2"/>
    <x v="12"/>
    <x v="13"/>
    <x v="0"/>
    <x v="0"/>
    <n v="763.88744384799998"/>
  </r>
  <r>
    <x v="0"/>
    <x v="2"/>
    <x v="13"/>
    <x v="13"/>
    <x v="0"/>
    <x v="0"/>
    <n v="84.133264158000003"/>
  </r>
  <r>
    <x v="0"/>
    <x v="2"/>
    <x v="14"/>
    <x v="13"/>
    <x v="0"/>
    <x v="0"/>
    <n v="23.732784057"/>
  </r>
  <r>
    <x v="0"/>
    <x v="2"/>
    <x v="15"/>
    <x v="13"/>
    <x v="0"/>
    <x v="1"/>
    <n v="0.303384133"/>
  </r>
  <r>
    <x v="0"/>
    <x v="2"/>
    <x v="16"/>
    <x v="13"/>
    <x v="0"/>
    <x v="1"/>
    <n v="0.30181501900000002"/>
  </r>
  <r>
    <x v="0"/>
    <x v="2"/>
    <x v="12"/>
    <x v="14"/>
    <x v="0"/>
    <x v="0"/>
    <n v="188.41105569800001"/>
  </r>
  <r>
    <x v="0"/>
    <x v="2"/>
    <x v="13"/>
    <x v="14"/>
    <x v="0"/>
    <x v="0"/>
    <n v="10.579288931000001"/>
  </r>
  <r>
    <x v="0"/>
    <x v="2"/>
    <x v="14"/>
    <x v="14"/>
    <x v="0"/>
    <x v="0"/>
    <n v="17.622894618"/>
  </r>
  <r>
    <x v="0"/>
    <x v="2"/>
    <x v="15"/>
    <x v="14"/>
    <x v="0"/>
    <x v="1"/>
    <n v="0.349162323"/>
  </r>
  <r>
    <x v="0"/>
    <x v="2"/>
    <x v="16"/>
    <x v="14"/>
    <x v="0"/>
    <x v="1"/>
    <n v="0.34982780099999999"/>
  </r>
  <r>
    <x v="0"/>
    <x v="2"/>
    <x v="12"/>
    <x v="15"/>
    <x v="0"/>
    <x v="0"/>
    <n v="204.53915936800001"/>
  </r>
  <r>
    <x v="0"/>
    <x v="2"/>
    <x v="13"/>
    <x v="15"/>
    <x v="0"/>
    <x v="0"/>
    <n v="71.407886662999999"/>
  </r>
  <r>
    <x v="0"/>
    <x v="2"/>
    <x v="14"/>
    <x v="15"/>
    <x v="0"/>
    <x v="0"/>
    <n v="25.551263706"/>
  </r>
  <r>
    <x v="0"/>
    <x v="2"/>
    <x v="15"/>
    <x v="15"/>
    <x v="0"/>
    <x v="1"/>
    <n v="0.37308652599999997"/>
  </r>
  <r>
    <x v="0"/>
    <x v="2"/>
    <x v="16"/>
    <x v="15"/>
    <x v="0"/>
    <x v="1"/>
    <n v="0.38125853399999998"/>
  </r>
  <r>
    <x v="0"/>
    <x v="2"/>
    <x v="12"/>
    <x v="16"/>
    <x v="0"/>
    <x v="0"/>
    <n v="129.55654213899999"/>
  </r>
  <r>
    <x v="0"/>
    <x v="2"/>
    <x v="13"/>
    <x v="16"/>
    <x v="0"/>
    <x v="0"/>
    <n v="60.774717166999999"/>
  </r>
  <r>
    <x v="0"/>
    <x v="2"/>
    <x v="14"/>
    <x v="16"/>
    <x v="0"/>
    <x v="0"/>
    <n v="12.014979133000001"/>
  </r>
  <r>
    <x v="0"/>
    <x v="2"/>
    <x v="15"/>
    <x v="16"/>
    <x v="0"/>
    <x v="1"/>
    <n v="0.38842787499999998"/>
  </r>
  <r>
    <x v="0"/>
    <x v="2"/>
    <x v="16"/>
    <x v="16"/>
    <x v="0"/>
    <x v="1"/>
    <n v="0.40229775800000001"/>
  </r>
  <r>
    <x v="0"/>
    <x v="2"/>
    <x v="12"/>
    <x v="17"/>
    <x v="0"/>
    <x v="0"/>
    <n v="310.95627078899997"/>
  </r>
  <r>
    <x v="0"/>
    <x v="2"/>
    <x v="13"/>
    <x v="17"/>
    <x v="0"/>
    <x v="0"/>
    <n v="99.418134018000003"/>
  </r>
  <r>
    <x v="0"/>
    <x v="2"/>
    <x v="14"/>
    <x v="17"/>
    <x v="0"/>
    <x v="0"/>
    <n v="19.672335917000002"/>
  </r>
  <r>
    <x v="0"/>
    <x v="2"/>
    <x v="15"/>
    <x v="17"/>
    <x v="0"/>
    <x v="1"/>
    <n v="0.389881592"/>
  </r>
  <r>
    <x v="0"/>
    <x v="2"/>
    <x v="16"/>
    <x v="17"/>
    <x v="0"/>
    <x v="1"/>
    <n v="0.39943585599999998"/>
  </r>
  <r>
    <x v="0"/>
    <x v="2"/>
    <x v="12"/>
    <x v="18"/>
    <x v="0"/>
    <x v="0"/>
    <n v="248.802062006"/>
  </r>
  <r>
    <x v="0"/>
    <x v="2"/>
    <x v="13"/>
    <x v="18"/>
    <x v="0"/>
    <x v="0"/>
    <n v="55.582273391999998"/>
  </r>
  <r>
    <x v="0"/>
    <x v="2"/>
    <x v="14"/>
    <x v="18"/>
    <x v="0"/>
    <x v="0"/>
    <n v="43.274869645000003"/>
  </r>
  <r>
    <x v="0"/>
    <x v="2"/>
    <x v="15"/>
    <x v="18"/>
    <x v="0"/>
    <x v="1"/>
    <n v="0.35426588599999997"/>
  </r>
  <r>
    <x v="0"/>
    <x v="2"/>
    <x v="16"/>
    <x v="18"/>
    <x v="0"/>
    <x v="1"/>
    <n v="0.35745949199999999"/>
  </r>
  <r>
    <x v="0"/>
    <x v="2"/>
    <x v="12"/>
    <x v="19"/>
    <x v="0"/>
    <x v="0"/>
    <n v="244.33001735400001"/>
  </r>
  <r>
    <x v="0"/>
    <x v="2"/>
    <x v="13"/>
    <x v="19"/>
    <x v="0"/>
    <x v="0"/>
    <n v="306.94367728499998"/>
  </r>
  <r>
    <x v="0"/>
    <x v="2"/>
    <x v="14"/>
    <x v="19"/>
    <x v="0"/>
    <x v="0"/>
    <n v="110.904258485"/>
  </r>
  <r>
    <x v="0"/>
    <x v="2"/>
    <x v="15"/>
    <x v="19"/>
    <x v="0"/>
    <x v="1"/>
    <n v="0.36201622900000002"/>
  </r>
  <r>
    <x v="0"/>
    <x v="2"/>
    <x v="16"/>
    <x v="19"/>
    <x v="0"/>
    <x v="1"/>
    <n v="0.38553185400000001"/>
  </r>
  <r>
    <x v="0"/>
    <x v="2"/>
    <x v="12"/>
    <x v="20"/>
    <x v="0"/>
    <x v="0"/>
    <n v="34.860093732000003"/>
  </r>
  <r>
    <x v="0"/>
    <x v="2"/>
    <x v="13"/>
    <x v="20"/>
    <x v="0"/>
    <x v="0"/>
    <n v="38.295768324000001"/>
  </r>
  <r>
    <x v="0"/>
    <x v="2"/>
    <x v="14"/>
    <x v="20"/>
    <x v="0"/>
    <x v="0"/>
    <n v="8.3676826630000001"/>
  </r>
  <r>
    <x v="0"/>
    <x v="2"/>
    <x v="15"/>
    <x v="20"/>
    <x v="0"/>
    <x v="1"/>
    <n v="0.34932964700000002"/>
  </r>
  <r>
    <x v="0"/>
    <x v="2"/>
    <x v="16"/>
    <x v="20"/>
    <x v="0"/>
    <x v="1"/>
    <n v="0.36423739700000002"/>
  </r>
  <r>
    <x v="0"/>
    <x v="2"/>
    <x v="12"/>
    <x v="21"/>
    <x v="0"/>
    <x v="0"/>
    <n v="16.147588415000001"/>
  </r>
  <r>
    <x v="0"/>
    <x v="2"/>
    <x v="13"/>
    <x v="21"/>
    <x v="0"/>
    <x v="0"/>
    <n v="0.87644483299999998"/>
  </r>
  <r>
    <x v="0"/>
    <x v="2"/>
    <x v="14"/>
    <x v="21"/>
    <x v="0"/>
    <x v="0"/>
    <n v="1.552523106"/>
  </r>
  <r>
    <x v="0"/>
    <x v="2"/>
    <x v="15"/>
    <x v="21"/>
    <x v="0"/>
    <x v="1"/>
    <n v="0.43141421299999999"/>
  </r>
  <r>
    <x v="0"/>
    <x v="2"/>
    <x v="16"/>
    <x v="21"/>
    <x v="0"/>
    <x v="1"/>
    <n v="0.43381874999999998"/>
  </r>
  <r>
    <x v="0"/>
    <x v="2"/>
    <x v="12"/>
    <x v="22"/>
    <x v="0"/>
    <x v="0"/>
    <n v="87.609521964999999"/>
  </r>
  <r>
    <x v="0"/>
    <x v="2"/>
    <x v="13"/>
    <x v="22"/>
    <x v="0"/>
    <x v="0"/>
    <n v="2.0437125310000002"/>
  </r>
  <r>
    <x v="0"/>
    <x v="2"/>
    <x v="14"/>
    <x v="22"/>
    <x v="0"/>
    <x v="0"/>
    <n v="3.6137221209999999"/>
  </r>
  <r>
    <x v="0"/>
    <x v="2"/>
    <x v="15"/>
    <x v="22"/>
    <x v="0"/>
    <x v="1"/>
    <n v="0.10788777300000001"/>
  </r>
  <r>
    <x v="0"/>
    <x v="2"/>
    <x v="16"/>
    <x v="22"/>
    <x v="0"/>
    <x v="1"/>
    <n v="9.2121408000000002E-2"/>
  </r>
  <r>
    <x v="0"/>
    <x v="2"/>
    <x v="12"/>
    <x v="23"/>
    <x v="0"/>
    <x v="0"/>
    <n v="8.1387348579999994"/>
  </r>
  <r>
    <x v="0"/>
    <x v="2"/>
    <x v="13"/>
    <x v="23"/>
    <x v="0"/>
    <x v="0"/>
    <n v="0"/>
  </r>
  <r>
    <x v="0"/>
    <x v="2"/>
    <x v="14"/>
    <x v="23"/>
    <x v="0"/>
    <x v="0"/>
    <n v="0"/>
  </r>
  <r>
    <x v="0"/>
    <x v="2"/>
    <x v="15"/>
    <x v="23"/>
    <x v="0"/>
    <x v="1"/>
    <n v="0.41405113300000002"/>
  </r>
  <r>
    <x v="0"/>
    <x v="2"/>
    <x v="16"/>
    <x v="23"/>
    <x v="0"/>
    <x v="1"/>
    <n v="0.41405113300000002"/>
  </r>
  <r>
    <x v="0"/>
    <x v="2"/>
    <x v="12"/>
    <x v="24"/>
    <x v="0"/>
    <x v="0"/>
    <n v="441.61517928500001"/>
  </r>
  <r>
    <x v="0"/>
    <x v="2"/>
    <x v="13"/>
    <x v="24"/>
    <x v="0"/>
    <x v="0"/>
    <n v="0.31396797500000001"/>
  </r>
  <r>
    <x v="0"/>
    <x v="2"/>
    <x v="14"/>
    <x v="24"/>
    <x v="0"/>
    <x v="0"/>
    <n v="0.40954108500000003"/>
  </r>
  <r>
    <x v="0"/>
    <x v="2"/>
    <x v="15"/>
    <x v="24"/>
    <x v="0"/>
    <x v="1"/>
    <n v="0.32626244999999998"/>
  </r>
  <r>
    <x v="0"/>
    <x v="2"/>
    <x v="16"/>
    <x v="24"/>
    <x v="0"/>
    <x v="1"/>
    <n v="0.32626233799999999"/>
  </r>
  <r>
    <x v="0"/>
    <x v="2"/>
    <x v="12"/>
    <x v="25"/>
    <x v="0"/>
    <x v="0"/>
    <n v="28.636785796000002"/>
  </r>
  <r>
    <x v="0"/>
    <x v="2"/>
    <x v="13"/>
    <x v="25"/>
    <x v="0"/>
    <x v="0"/>
    <n v="2.4600000000000001E-7"/>
  </r>
  <r>
    <x v="0"/>
    <x v="2"/>
    <x v="14"/>
    <x v="25"/>
    <x v="0"/>
    <x v="0"/>
    <n v="0"/>
  </r>
  <r>
    <x v="0"/>
    <x v="2"/>
    <x v="15"/>
    <x v="25"/>
    <x v="0"/>
    <x v="1"/>
    <n v="0.30447974500000002"/>
  </r>
  <r>
    <x v="0"/>
    <x v="2"/>
    <x v="16"/>
    <x v="25"/>
    <x v="0"/>
    <x v="1"/>
    <n v="0.30447974500000002"/>
  </r>
  <r>
    <x v="0"/>
    <x v="2"/>
    <x v="12"/>
    <x v="26"/>
    <x v="0"/>
    <x v="0"/>
    <n v="13.404351214"/>
  </r>
  <r>
    <x v="0"/>
    <x v="2"/>
    <x v="13"/>
    <x v="26"/>
    <x v="0"/>
    <x v="0"/>
    <n v="0"/>
  </r>
  <r>
    <x v="0"/>
    <x v="2"/>
    <x v="14"/>
    <x v="26"/>
    <x v="0"/>
    <x v="0"/>
    <n v="0"/>
  </r>
  <r>
    <x v="0"/>
    <x v="2"/>
    <x v="15"/>
    <x v="26"/>
    <x v="0"/>
    <x v="1"/>
    <n v="0.41195100400000001"/>
  </r>
  <r>
    <x v="0"/>
    <x v="2"/>
    <x v="16"/>
    <x v="26"/>
    <x v="0"/>
    <x v="1"/>
    <n v="0.41195100400000001"/>
  </r>
  <r>
    <x v="0"/>
    <x v="2"/>
    <x v="12"/>
    <x v="27"/>
    <x v="0"/>
    <x v="0"/>
    <n v="537.19007387199997"/>
  </r>
  <r>
    <x v="0"/>
    <x v="2"/>
    <x v="13"/>
    <x v="27"/>
    <x v="0"/>
    <x v="0"/>
    <n v="5.1939787969999998"/>
  </r>
  <r>
    <x v="0"/>
    <x v="2"/>
    <x v="14"/>
    <x v="27"/>
    <x v="0"/>
    <x v="0"/>
    <n v="1.9848627270000001"/>
  </r>
  <r>
    <x v="0"/>
    <x v="2"/>
    <x v="15"/>
    <x v="27"/>
    <x v="0"/>
    <x v="1"/>
    <n v="0.46751909600000002"/>
  </r>
  <r>
    <x v="0"/>
    <x v="2"/>
    <x v="16"/>
    <x v="27"/>
    <x v="0"/>
    <x v="1"/>
    <n v="0.46806774699999998"/>
  </r>
  <r>
    <x v="0"/>
    <x v="2"/>
    <x v="12"/>
    <x v="28"/>
    <x v="0"/>
    <x v="0"/>
    <n v="612.12943076099998"/>
  </r>
  <r>
    <x v="0"/>
    <x v="2"/>
    <x v="13"/>
    <x v="28"/>
    <x v="0"/>
    <x v="0"/>
    <n v="0"/>
  </r>
  <r>
    <x v="0"/>
    <x v="2"/>
    <x v="14"/>
    <x v="28"/>
    <x v="0"/>
    <x v="0"/>
    <n v="76.337815173999999"/>
  </r>
  <r>
    <x v="0"/>
    <x v="2"/>
    <x v="15"/>
    <x v="28"/>
    <x v="0"/>
    <x v="1"/>
    <n v="0.33761338800000001"/>
  </r>
  <r>
    <x v="0"/>
    <x v="2"/>
    <x v="16"/>
    <x v="28"/>
    <x v="0"/>
    <x v="1"/>
    <n v="0.33761338800000001"/>
  </r>
  <r>
    <x v="0"/>
    <x v="2"/>
    <x v="12"/>
    <x v="29"/>
    <x v="0"/>
    <x v="0"/>
    <n v="504.43027138000002"/>
  </r>
  <r>
    <x v="0"/>
    <x v="2"/>
    <x v="13"/>
    <x v="29"/>
    <x v="0"/>
    <x v="0"/>
    <n v="53.498235393000002"/>
  </r>
  <r>
    <x v="0"/>
    <x v="2"/>
    <x v="14"/>
    <x v="29"/>
    <x v="0"/>
    <x v="0"/>
    <n v="25.413466805999999"/>
  </r>
  <r>
    <x v="0"/>
    <x v="2"/>
    <x v="15"/>
    <x v="29"/>
    <x v="0"/>
    <x v="1"/>
    <n v="0.371311371"/>
  </r>
  <r>
    <x v="0"/>
    <x v="2"/>
    <x v="16"/>
    <x v="29"/>
    <x v="0"/>
    <x v="1"/>
    <n v="0.37390603"/>
  </r>
  <r>
    <x v="0"/>
    <x v="2"/>
    <x v="12"/>
    <x v="30"/>
    <x v="0"/>
    <x v="0"/>
    <n v="140.95034534800001"/>
  </r>
  <r>
    <x v="0"/>
    <x v="2"/>
    <x v="13"/>
    <x v="30"/>
    <x v="0"/>
    <x v="0"/>
    <n v="36.652764204"/>
  </r>
  <r>
    <x v="0"/>
    <x v="2"/>
    <x v="14"/>
    <x v="30"/>
    <x v="0"/>
    <x v="0"/>
    <n v="1.116835394"/>
  </r>
  <r>
    <x v="0"/>
    <x v="2"/>
    <x v="15"/>
    <x v="30"/>
    <x v="0"/>
    <x v="1"/>
    <n v="0.55874958900000005"/>
  </r>
  <r>
    <x v="0"/>
    <x v="2"/>
    <x v="16"/>
    <x v="30"/>
    <x v="0"/>
    <x v="1"/>
    <n v="0.58047601500000001"/>
  </r>
  <r>
    <x v="0"/>
    <x v="2"/>
    <x v="12"/>
    <x v="31"/>
    <x v="0"/>
    <x v="0"/>
    <n v="210.240120542"/>
  </r>
  <r>
    <x v="0"/>
    <x v="2"/>
    <x v="13"/>
    <x v="31"/>
    <x v="0"/>
    <x v="0"/>
    <n v="8.9201448630000009"/>
  </r>
  <r>
    <x v="0"/>
    <x v="2"/>
    <x v="14"/>
    <x v="31"/>
    <x v="0"/>
    <x v="0"/>
    <n v="7.145747622"/>
  </r>
  <r>
    <x v="0"/>
    <x v="2"/>
    <x v="15"/>
    <x v="31"/>
    <x v="0"/>
    <x v="1"/>
    <n v="0.30527991999999998"/>
  </r>
  <r>
    <x v="0"/>
    <x v="2"/>
    <x v="16"/>
    <x v="31"/>
    <x v="0"/>
    <x v="1"/>
    <n v="0.30464164399999999"/>
  </r>
  <r>
    <x v="0"/>
    <x v="2"/>
    <x v="12"/>
    <x v="32"/>
    <x v="0"/>
    <x v="0"/>
    <n v="702.30768141399994"/>
  </r>
  <r>
    <x v="0"/>
    <x v="2"/>
    <x v="13"/>
    <x v="32"/>
    <x v="0"/>
    <x v="0"/>
    <n v="4.8660148339999996"/>
  </r>
  <r>
    <x v="0"/>
    <x v="2"/>
    <x v="14"/>
    <x v="32"/>
    <x v="0"/>
    <x v="0"/>
    <n v="3.2741987589999999"/>
  </r>
  <r>
    <x v="0"/>
    <x v="2"/>
    <x v="15"/>
    <x v="32"/>
    <x v="0"/>
    <x v="1"/>
    <n v="0.301649905"/>
  </r>
  <r>
    <x v="0"/>
    <x v="2"/>
    <x v="16"/>
    <x v="32"/>
    <x v="0"/>
    <x v="1"/>
    <n v="0.30151659600000003"/>
  </r>
  <r>
    <x v="0"/>
    <x v="2"/>
    <x v="12"/>
    <x v="33"/>
    <x v="0"/>
    <x v="0"/>
    <n v="696.66576701300005"/>
  </r>
  <r>
    <x v="0"/>
    <x v="2"/>
    <x v="13"/>
    <x v="33"/>
    <x v="0"/>
    <x v="0"/>
    <n v="0"/>
  </r>
  <r>
    <x v="0"/>
    <x v="2"/>
    <x v="14"/>
    <x v="33"/>
    <x v="0"/>
    <x v="0"/>
    <n v="0"/>
  </r>
  <r>
    <x v="0"/>
    <x v="2"/>
    <x v="15"/>
    <x v="33"/>
    <x v="0"/>
    <x v="1"/>
    <n v="0.202810252"/>
  </r>
  <r>
    <x v="0"/>
    <x v="2"/>
    <x v="16"/>
    <x v="33"/>
    <x v="0"/>
    <x v="1"/>
    <n v="0.202810252"/>
  </r>
  <r>
    <x v="0"/>
    <x v="2"/>
    <x v="12"/>
    <x v="34"/>
    <x v="0"/>
    <x v="0"/>
    <n v="312.47262383600003"/>
  </r>
  <r>
    <x v="0"/>
    <x v="2"/>
    <x v="13"/>
    <x v="34"/>
    <x v="0"/>
    <x v="0"/>
    <n v="58.333671078999998"/>
  </r>
  <r>
    <x v="0"/>
    <x v="2"/>
    <x v="14"/>
    <x v="34"/>
    <x v="0"/>
    <x v="0"/>
    <n v="16.763340517"/>
  </r>
  <r>
    <x v="0"/>
    <x v="2"/>
    <x v="15"/>
    <x v="34"/>
    <x v="0"/>
    <x v="1"/>
    <n v="0.39422801499999999"/>
  </r>
  <r>
    <x v="0"/>
    <x v="2"/>
    <x v="16"/>
    <x v="34"/>
    <x v="0"/>
    <x v="1"/>
    <n v="0.400573713"/>
  </r>
  <r>
    <x v="0"/>
    <x v="2"/>
    <x v="12"/>
    <x v="35"/>
    <x v="0"/>
    <x v="0"/>
    <n v="194.70598605699999"/>
  </r>
  <r>
    <x v="0"/>
    <x v="2"/>
    <x v="13"/>
    <x v="35"/>
    <x v="0"/>
    <x v="0"/>
    <n v="4.6010419110000003"/>
  </r>
  <r>
    <x v="0"/>
    <x v="2"/>
    <x v="14"/>
    <x v="35"/>
    <x v="0"/>
    <x v="0"/>
    <n v="9.3525944E-2"/>
  </r>
  <r>
    <x v="0"/>
    <x v="2"/>
    <x v="15"/>
    <x v="35"/>
    <x v="0"/>
    <x v="1"/>
    <n v="0.42038300099999998"/>
  </r>
  <r>
    <x v="0"/>
    <x v="2"/>
    <x v="16"/>
    <x v="35"/>
    <x v="0"/>
    <x v="1"/>
    <n v="0.42143954500000003"/>
  </r>
  <r>
    <x v="0"/>
    <x v="2"/>
    <x v="12"/>
    <x v="36"/>
    <x v="0"/>
    <x v="0"/>
    <n v="47.771447049000002"/>
  </r>
  <r>
    <x v="0"/>
    <x v="2"/>
    <x v="13"/>
    <x v="36"/>
    <x v="0"/>
    <x v="0"/>
    <n v="7.5249124260000002"/>
  </r>
  <r>
    <x v="0"/>
    <x v="2"/>
    <x v="14"/>
    <x v="36"/>
    <x v="0"/>
    <x v="0"/>
    <n v="0.34887168099999999"/>
  </r>
  <r>
    <x v="0"/>
    <x v="2"/>
    <x v="15"/>
    <x v="36"/>
    <x v="0"/>
    <x v="1"/>
    <n v="0.47439597900000002"/>
  </r>
  <r>
    <x v="0"/>
    <x v="2"/>
    <x v="16"/>
    <x v="36"/>
    <x v="0"/>
    <x v="1"/>
    <n v="0.484425997"/>
  </r>
  <r>
    <x v="0"/>
    <x v="2"/>
    <x v="12"/>
    <x v="37"/>
    <x v="0"/>
    <x v="0"/>
    <n v="106.532869369"/>
  </r>
  <r>
    <x v="0"/>
    <x v="2"/>
    <x v="13"/>
    <x v="37"/>
    <x v="0"/>
    <x v="0"/>
    <n v="3.4035695960000001"/>
  </r>
  <r>
    <x v="0"/>
    <x v="2"/>
    <x v="14"/>
    <x v="37"/>
    <x v="0"/>
    <x v="0"/>
    <n v="0.30662423700000002"/>
  </r>
  <r>
    <x v="0"/>
    <x v="2"/>
    <x v="15"/>
    <x v="37"/>
    <x v="0"/>
    <x v="1"/>
    <n v="0.51306435100000003"/>
  </r>
  <r>
    <x v="0"/>
    <x v="2"/>
    <x v="16"/>
    <x v="37"/>
    <x v="0"/>
    <x v="1"/>
    <n v="0.51561940799999995"/>
  </r>
  <r>
    <x v="0"/>
    <x v="2"/>
    <x v="12"/>
    <x v="38"/>
    <x v="0"/>
    <x v="0"/>
    <n v="149.20852213800001"/>
  </r>
  <r>
    <x v="0"/>
    <x v="2"/>
    <x v="13"/>
    <x v="38"/>
    <x v="0"/>
    <x v="0"/>
    <n v="6.8506512830000004"/>
  </r>
  <r>
    <x v="0"/>
    <x v="2"/>
    <x v="14"/>
    <x v="38"/>
    <x v="0"/>
    <x v="0"/>
    <n v="7.7531761000000005E-2"/>
  </r>
  <r>
    <x v="0"/>
    <x v="2"/>
    <x v="15"/>
    <x v="38"/>
    <x v="0"/>
    <x v="1"/>
    <n v="0.73085675100000003"/>
  </r>
  <r>
    <x v="0"/>
    <x v="2"/>
    <x v="16"/>
    <x v="38"/>
    <x v="0"/>
    <x v="1"/>
    <n v="0.73735884799999996"/>
  </r>
  <r>
    <x v="0"/>
    <x v="2"/>
    <x v="12"/>
    <x v="39"/>
    <x v="0"/>
    <x v="0"/>
    <n v="92.314263905000004"/>
  </r>
  <r>
    <x v="0"/>
    <x v="2"/>
    <x v="13"/>
    <x v="39"/>
    <x v="0"/>
    <x v="0"/>
    <n v="3.213951834"/>
  </r>
  <r>
    <x v="0"/>
    <x v="2"/>
    <x v="14"/>
    <x v="39"/>
    <x v="0"/>
    <x v="0"/>
    <n v="8.0371598000000002E-2"/>
  </r>
  <r>
    <x v="0"/>
    <x v="2"/>
    <x v="15"/>
    <x v="39"/>
    <x v="0"/>
    <x v="1"/>
    <n v="0.60290531300000005"/>
  </r>
  <r>
    <x v="0"/>
    <x v="2"/>
    <x v="16"/>
    <x v="39"/>
    <x v="0"/>
    <x v="1"/>
    <n v="0.60621588400000004"/>
  </r>
  <r>
    <x v="0"/>
    <x v="2"/>
    <x v="12"/>
    <x v="40"/>
    <x v="0"/>
    <x v="0"/>
    <n v="49.602136973999997"/>
  </r>
  <r>
    <x v="0"/>
    <x v="2"/>
    <x v="13"/>
    <x v="40"/>
    <x v="0"/>
    <x v="0"/>
    <n v="28.048459238"/>
  </r>
  <r>
    <x v="0"/>
    <x v="2"/>
    <x v="14"/>
    <x v="40"/>
    <x v="0"/>
    <x v="0"/>
    <n v="1.8824875350000001"/>
  </r>
  <r>
    <x v="0"/>
    <x v="2"/>
    <x v="15"/>
    <x v="40"/>
    <x v="0"/>
    <x v="1"/>
    <n v="0.43614076000000002"/>
  </r>
  <r>
    <x v="0"/>
    <x v="2"/>
    <x v="16"/>
    <x v="40"/>
    <x v="0"/>
    <x v="1"/>
    <n v="0.46665315000000002"/>
  </r>
  <r>
    <x v="0"/>
    <x v="2"/>
    <x v="12"/>
    <x v="41"/>
    <x v="0"/>
    <x v="0"/>
    <n v="296.94361199799999"/>
  </r>
  <r>
    <x v="0"/>
    <x v="2"/>
    <x v="13"/>
    <x v="41"/>
    <x v="0"/>
    <x v="0"/>
    <n v="5.1733775990000002"/>
  </r>
  <r>
    <x v="0"/>
    <x v="2"/>
    <x v="14"/>
    <x v="41"/>
    <x v="0"/>
    <x v="0"/>
    <n v="0.127918168"/>
  </r>
  <r>
    <x v="0"/>
    <x v="2"/>
    <x v="15"/>
    <x v="41"/>
    <x v="0"/>
    <x v="1"/>
    <n v="0.70543315500000003"/>
  </r>
  <r>
    <x v="0"/>
    <x v="2"/>
    <x v="16"/>
    <x v="41"/>
    <x v="0"/>
    <x v="1"/>
    <n v="0.70760648900000001"/>
  </r>
  <r>
    <x v="0"/>
    <x v="2"/>
    <x v="17"/>
    <x v="0"/>
    <x v="46"/>
    <x v="1"/>
    <n v="553.45201089600005"/>
  </r>
  <r>
    <x v="0"/>
    <x v="2"/>
    <x v="17"/>
    <x v="0"/>
    <x v="47"/>
    <x v="1"/>
    <n v="553.45201089600005"/>
  </r>
  <r>
    <x v="0"/>
    <x v="2"/>
    <x v="17"/>
    <x v="0"/>
    <x v="48"/>
    <x v="1"/>
    <n v="553.45201089600005"/>
  </r>
  <r>
    <x v="0"/>
    <x v="2"/>
    <x v="17"/>
    <x v="0"/>
    <x v="49"/>
    <x v="1"/>
    <n v="0"/>
  </r>
  <r>
    <x v="0"/>
    <x v="2"/>
    <x v="17"/>
    <x v="0"/>
    <x v="50"/>
    <x v="1"/>
    <n v="0"/>
  </r>
  <r>
    <x v="0"/>
    <x v="2"/>
    <x v="17"/>
    <x v="0"/>
    <x v="51"/>
    <x v="1"/>
    <n v="0"/>
  </r>
  <r>
    <x v="0"/>
    <x v="2"/>
    <x v="17"/>
    <x v="0"/>
    <x v="52"/>
    <x v="1"/>
    <n v="0"/>
  </r>
  <r>
    <x v="0"/>
    <x v="2"/>
    <x v="17"/>
    <x v="0"/>
    <x v="53"/>
    <x v="1"/>
    <n v="0"/>
  </r>
  <r>
    <x v="0"/>
    <x v="2"/>
    <x v="17"/>
    <x v="0"/>
    <x v="54"/>
    <x v="1"/>
    <n v="0"/>
  </r>
  <r>
    <x v="0"/>
    <x v="2"/>
    <x v="17"/>
    <x v="0"/>
    <x v="55"/>
    <x v="1"/>
    <n v="0"/>
  </r>
  <r>
    <x v="0"/>
    <x v="2"/>
    <x v="17"/>
    <x v="1"/>
    <x v="46"/>
    <x v="1"/>
    <n v="108.582323468"/>
  </r>
  <r>
    <x v="0"/>
    <x v="2"/>
    <x v="17"/>
    <x v="1"/>
    <x v="47"/>
    <x v="1"/>
    <n v="108.582323468"/>
  </r>
  <r>
    <x v="0"/>
    <x v="2"/>
    <x v="17"/>
    <x v="1"/>
    <x v="48"/>
    <x v="1"/>
    <n v="108.582323468"/>
  </r>
  <r>
    <x v="0"/>
    <x v="2"/>
    <x v="17"/>
    <x v="1"/>
    <x v="49"/>
    <x v="1"/>
    <n v="0"/>
  </r>
  <r>
    <x v="0"/>
    <x v="2"/>
    <x v="17"/>
    <x v="1"/>
    <x v="50"/>
    <x v="1"/>
    <n v="0"/>
  </r>
  <r>
    <x v="0"/>
    <x v="2"/>
    <x v="17"/>
    <x v="1"/>
    <x v="51"/>
    <x v="1"/>
    <n v="0"/>
  </r>
  <r>
    <x v="0"/>
    <x v="2"/>
    <x v="17"/>
    <x v="1"/>
    <x v="52"/>
    <x v="1"/>
    <n v="0"/>
  </r>
  <r>
    <x v="0"/>
    <x v="2"/>
    <x v="17"/>
    <x v="1"/>
    <x v="53"/>
    <x v="1"/>
    <n v="0"/>
  </r>
  <r>
    <x v="0"/>
    <x v="2"/>
    <x v="17"/>
    <x v="1"/>
    <x v="54"/>
    <x v="1"/>
    <n v="0"/>
  </r>
  <r>
    <x v="0"/>
    <x v="2"/>
    <x v="17"/>
    <x v="1"/>
    <x v="55"/>
    <x v="1"/>
    <n v="0"/>
  </r>
  <r>
    <x v="0"/>
    <x v="2"/>
    <x v="17"/>
    <x v="2"/>
    <x v="46"/>
    <x v="1"/>
    <n v="81.054527315000001"/>
  </r>
  <r>
    <x v="0"/>
    <x v="2"/>
    <x v="17"/>
    <x v="2"/>
    <x v="47"/>
    <x v="1"/>
    <n v="81.054527315000001"/>
  </r>
  <r>
    <x v="0"/>
    <x v="2"/>
    <x v="17"/>
    <x v="2"/>
    <x v="48"/>
    <x v="1"/>
    <n v="81.054527315000001"/>
  </r>
  <r>
    <x v="0"/>
    <x v="2"/>
    <x v="17"/>
    <x v="2"/>
    <x v="49"/>
    <x v="1"/>
    <n v="0"/>
  </r>
  <r>
    <x v="0"/>
    <x v="2"/>
    <x v="17"/>
    <x v="2"/>
    <x v="50"/>
    <x v="1"/>
    <n v="0"/>
  </r>
  <r>
    <x v="0"/>
    <x v="2"/>
    <x v="17"/>
    <x v="2"/>
    <x v="51"/>
    <x v="1"/>
    <n v="0"/>
  </r>
  <r>
    <x v="0"/>
    <x v="2"/>
    <x v="17"/>
    <x v="2"/>
    <x v="52"/>
    <x v="1"/>
    <n v="0"/>
  </r>
  <r>
    <x v="0"/>
    <x v="2"/>
    <x v="17"/>
    <x v="2"/>
    <x v="53"/>
    <x v="1"/>
    <n v="0"/>
  </r>
  <r>
    <x v="0"/>
    <x v="2"/>
    <x v="17"/>
    <x v="2"/>
    <x v="54"/>
    <x v="1"/>
    <n v="0"/>
  </r>
  <r>
    <x v="0"/>
    <x v="2"/>
    <x v="17"/>
    <x v="2"/>
    <x v="55"/>
    <x v="1"/>
    <n v="0"/>
  </r>
  <r>
    <x v="0"/>
    <x v="2"/>
    <x v="17"/>
    <x v="3"/>
    <x v="46"/>
    <x v="1"/>
    <n v="52.822524424999997"/>
  </r>
  <r>
    <x v="0"/>
    <x v="2"/>
    <x v="17"/>
    <x v="3"/>
    <x v="47"/>
    <x v="1"/>
    <n v="52.822524424999997"/>
  </r>
  <r>
    <x v="0"/>
    <x v="2"/>
    <x v="17"/>
    <x v="3"/>
    <x v="48"/>
    <x v="1"/>
    <n v="52.822524424999997"/>
  </r>
  <r>
    <x v="0"/>
    <x v="2"/>
    <x v="17"/>
    <x v="3"/>
    <x v="49"/>
    <x v="1"/>
    <n v="0"/>
  </r>
  <r>
    <x v="0"/>
    <x v="2"/>
    <x v="17"/>
    <x v="3"/>
    <x v="50"/>
    <x v="1"/>
    <n v="0"/>
  </r>
  <r>
    <x v="0"/>
    <x v="2"/>
    <x v="17"/>
    <x v="3"/>
    <x v="51"/>
    <x v="1"/>
    <n v="0"/>
  </r>
  <r>
    <x v="0"/>
    <x v="2"/>
    <x v="17"/>
    <x v="3"/>
    <x v="52"/>
    <x v="1"/>
    <n v="0"/>
  </r>
  <r>
    <x v="0"/>
    <x v="2"/>
    <x v="17"/>
    <x v="3"/>
    <x v="53"/>
    <x v="1"/>
    <n v="0"/>
  </r>
  <r>
    <x v="0"/>
    <x v="2"/>
    <x v="17"/>
    <x v="3"/>
    <x v="54"/>
    <x v="1"/>
    <n v="0"/>
  </r>
  <r>
    <x v="0"/>
    <x v="2"/>
    <x v="17"/>
    <x v="3"/>
    <x v="55"/>
    <x v="1"/>
    <n v="0"/>
  </r>
  <r>
    <x v="0"/>
    <x v="2"/>
    <x v="17"/>
    <x v="4"/>
    <x v="46"/>
    <x v="1"/>
    <n v="26.212320582"/>
  </r>
  <r>
    <x v="0"/>
    <x v="2"/>
    <x v="17"/>
    <x v="4"/>
    <x v="47"/>
    <x v="1"/>
    <n v="26.212320582"/>
  </r>
  <r>
    <x v="0"/>
    <x v="2"/>
    <x v="17"/>
    <x v="4"/>
    <x v="48"/>
    <x v="1"/>
    <n v="26.212320582"/>
  </r>
  <r>
    <x v="0"/>
    <x v="2"/>
    <x v="17"/>
    <x v="4"/>
    <x v="49"/>
    <x v="1"/>
    <n v="0"/>
  </r>
  <r>
    <x v="0"/>
    <x v="2"/>
    <x v="17"/>
    <x v="4"/>
    <x v="50"/>
    <x v="1"/>
    <n v="0"/>
  </r>
  <r>
    <x v="0"/>
    <x v="2"/>
    <x v="17"/>
    <x v="4"/>
    <x v="51"/>
    <x v="1"/>
    <n v="0"/>
  </r>
  <r>
    <x v="0"/>
    <x v="2"/>
    <x v="17"/>
    <x v="4"/>
    <x v="52"/>
    <x v="1"/>
    <n v="0"/>
  </r>
  <r>
    <x v="0"/>
    <x v="2"/>
    <x v="17"/>
    <x v="4"/>
    <x v="53"/>
    <x v="1"/>
    <n v="0"/>
  </r>
  <r>
    <x v="0"/>
    <x v="2"/>
    <x v="17"/>
    <x v="4"/>
    <x v="54"/>
    <x v="1"/>
    <n v="0"/>
  </r>
  <r>
    <x v="0"/>
    <x v="2"/>
    <x v="17"/>
    <x v="4"/>
    <x v="55"/>
    <x v="1"/>
    <n v="0"/>
  </r>
  <r>
    <x v="0"/>
    <x v="2"/>
    <x v="17"/>
    <x v="5"/>
    <x v="46"/>
    <x v="1"/>
    <n v="327.935005784"/>
  </r>
  <r>
    <x v="0"/>
    <x v="2"/>
    <x v="17"/>
    <x v="5"/>
    <x v="47"/>
    <x v="1"/>
    <n v="327.935005784"/>
  </r>
  <r>
    <x v="0"/>
    <x v="2"/>
    <x v="17"/>
    <x v="5"/>
    <x v="48"/>
    <x v="1"/>
    <n v="327.935005784"/>
  </r>
  <r>
    <x v="0"/>
    <x v="2"/>
    <x v="17"/>
    <x v="5"/>
    <x v="49"/>
    <x v="1"/>
    <n v="0"/>
  </r>
  <r>
    <x v="0"/>
    <x v="2"/>
    <x v="17"/>
    <x v="5"/>
    <x v="50"/>
    <x v="1"/>
    <n v="0"/>
  </r>
  <r>
    <x v="0"/>
    <x v="2"/>
    <x v="17"/>
    <x v="5"/>
    <x v="51"/>
    <x v="1"/>
    <n v="0"/>
  </r>
  <r>
    <x v="0"/>
    <x v="2"/>
    <x v="17"/>
    <x v="5"/>
    <x v="52"/>
    <x v="1"/>
    <n v="0"/>
  </r>
  <r>
    <x v="0"/>
    <x v="2"/>
    <x v="17"/>
    <x v="5"/>
    <x v="53"/>
    <x v="1"/>
    <n v="0"/>
  </r>
  <r>
    <x v="0"/>
    <x v="2"/>
    <x v="17"/>
    <x v="5"/>
    <x v="54"/>
    <x v="1"/>
    <n v="0"/>
  </r>
  <r>
    <x v="0"/>
    <x v="2"/>
    <x v="17"/>
    <x v="5"/>
    <x v="55"/>
    <x v="1"/>
    <n v="0"/>
  </r>
  <r>
    <x v="0"/>
    <x v="2"/>
    <x v="17"/>
    <x v="6"/>
    <x v="46"/>
    <x v="1"/>
    <n v="96.278315860000006"/>
  </r>
  <r>
    <x v="0"/>
    <x v="2"/>
    <x v="17"/>
    <x v="6"/>
    <x v="47"/>
    <x v="1"/>
    <n v="96.278315860000006"/>
  </r>
  <r>
    <x v="0"/>
    <x v="2"/>
    <x v="17"/>
    <x v="6"/>
    <x v="48"/>
    <x v="1"/>
    <n v="96.278315860000006"/>
  </r>
  <r>
    <x v="0"/>
    <x v="2"/>
    <x v="17"/>
    <x v="6"/>
    <x v="49"/>
    <x v="1"/>
    <n v="0"/>
  </r>
  <r>
    <x v="0"/>
    <x v="2"/>
    <x v="17"/>
    <x v="6"/>
    <x v="50"/>
    <x v="1"/>
    <n v="0"/>
  </r>
  <r>
    <x v="0"/>
    <x v="2"/>
    <x v="17"/>
    <x v="6"/>
    <x v="51"/>
    <x v="1"/>
    <n v="0"/>
  </r>
  <r>
    <x v="0"/>
    <x v="2"/>
    <x v="17"/>
    <x v="6"/>
    <x v="52"/>
    <x v="1"/>
    <n v="0"/>
  </r>
  <r>
    <x v="0"/>
    <x v="2"/>
    <x v="17"/>
    <x v="6"/>
    <x v="53"/>
    <x v="1"/>
    <n v="0"/>
  </r>
  <r>
    <x v="0"/>
    <x v="2"/>
    <x v="17"/>
    <x v="6"/>
    <x v="54"/>
    <x v="1"/>
    <n v="0"/>
  </r>
  <r>
    <x v="0"/>
    <x v="2"/>
    <x v="17"/>
    <x v="6"/>
    <x v="55"/>
    <x v="1"/>
    <n v="0"/>
  </r>
  <r>
    <x v="0"/>
    <x v="2"/>
    <x v="17"/>
    <x v="7"/>
    <x v="46"/>
    <x v="1"/>
    <n v="64.713653446999999"/>
  </r>
  <r>
    <x v="0"/>
    <x v="2"/>
    <x v="17"/>
    <x v="7"/>
    <x v="47"/>
    <x v="1"/>
    <n v="64.713653446999999"/>
  </r>
  <r>
    <x v="0"/>
    <x v="2"/>
    <x v="17"/>
    <x v="7"/>
    <x v="48"/>
    <x v="1"/>
    <n v="64.713653446999999"/>
  </r>
  <r>
    <x v="0"/>
    <x v="2"/>
    <x v="17"/>
    <x v="7"/>
    <x v="49"/>
    <x v="1"/>
    <n v="0"/>
  </r>
  <r>
    <x v="0"/>
    <x v="2"/>
    <x v="17"/>
    <x v="7"/>
    <x v="50"/>
    <x v="1"/>
    <n v="0"/>
  </r>
  <r>
    <x v="0"/>
    <x v="2"/>
    <x v="17"/>
    <x v="7"/>
    <x v="51"/>
    <x v="1"/>
    <n v="0"/>
  </r>
  <r>
    <x v="0"/>
    <x v="2"/>
    <x v="17"/>
    <x v="7"/>
    <x v="52"/>
    <x v="1"/>
    <n v="0"/>
  </r>
  <r>
    <x v="0"/>
    <x v="2"/>
    <x v="17"/>
    <x v="7"/>
    <x v="53"/>
    <x v="1"/>
    <n v="0"/>
  </r>
  <r>
    <x v="0"/>
    <x v="2"/>
    <x v="17"/>
    <x v="7"/>
    <x v="54"/>
    <x v="1"/>
    <n v="0"/>
  </r>
  <r>
    <x v="0"/>
    <x v="2"/>
    <x v="17"/>
    <x v="7"/>
    <x v="55"/>
    <x v="1"/>
    <n v="0"/>
  </r>
  <r>
    <x v="0"/>
    <x v="2"/>
    <x v="17"/>
    <x v="8"/>
    <x v="46"/>
    <x v="1"/>
    <n v="45.698217401000001"/>
  </r>
  <r>
    <x v="0"/>
    <x v="2"/>
    <x v="17"/>
    <x v="8"/>
    <x v="47"/>
    <x v="1"/>
    <n v="45.698217401000001"/>
  </r>
  <r>
    <x v="0"/>
    <x v="2"/>
    <x v="17"/>
    <x v="8"/>
    <x v="48"/>
    <x v="1"/>
    <n v="45.698217401000001"/>
  </r>
  <r>
    <x v="0"/>
    <x v="2"/>
    <x v="17"/>
    <x v="8"/>
    <x v="49"/>
    <x v="1"/>
    <n v="0"/>
  </r>
  <r>
    <x v="0"/>
    <x v="2"/>
    <x v="17"/>
    <x v="8"/>
    <x v="50"/>
    <x v="1"/>
    <n v="0"/>
  </r>
  <r>
    <x v="0"/>
    <x v="2"/>
    <x v="17"/>
    <x v="8"/>
    <x v="51"/>
    <x v="1"/>
    <n v="0"/>
  </r>
  <r>
    <x v="0"/>
    <x v="2"/>
    <x v="17"/>
    <x v="8"/>
    <x v="52"/>
    <x v="1"/>
    <n v="0"/>
  </r>
  <r>
    <x v="0"/>
    <x v="2"/>
    <x v="17"/>
    <x v="8"/>
    <x v="53"/>
    <x v="1"/>
    <n v="0"/>
  </r>
  <r>
    <x v="0"/>
    <x v="2"/>
    <x v="17"/>
    <x v="8"/>
    <x v="54"/>
    <x v="1"/>
    <n v="0"/>
  </r>
  <r>
    <x v="0"/>
    <x v="2"/>
    <x v="17"/>
    <x v="8"/>
    <x v="55"/>
    <x v="1"/>
    <n v="0"/>
  </r>
  <r>
    <x v="0"/>
    <x v="2"/>
    <x v="17"/>
    <x v="9"/>
    <x v="46"/>
    <x v="1"/>
    <n v="95.800159620000002"/>
  </r>
  <r>
    <x v="0"/>
    <x v="2"/>
    <x v="17"/>
    <x v="9"/>
    <x v="47"/>
    <x v="1"/>
    <n v="95.800159620000002"/>
  </r>
  <r>
    <x v="0"/>
    <x v="2"/>
    <x v="17"/>
    <x v="9"/>
    <x v="48"/>
    <x v="1"/>
    <n v="95.800159620000002"/>
  </r>
  <r>
    <x v="0"/>
    <x v="2"/>
    <x v="17"/>
    <x v="9"/>
    <x v="49"/>
    <x v="1"/>
    <n v="0"/>
  </r>
  <r>
    <x v="0"/>
    <x v="2"/>
    <x v="17"/>
    <x v="9"/>
    <x v="50"/>
    <x v="1"/>
    <n v="0"/>
  </r>
  <r>
    <x v="0"/>
    <x v="2"/>
    <x v="17"/>
    <x v="9"/>
    <x v="51"/>
    <x v="1"/>
    <n v="0"/>
  </r>
  <r>
    <x v="0"/>
    <x v="2"/>
    <x v="17"/>
    <x v="9"/>
    <x v="52"/>
    <x v="1"/>
    <n v="0"/>
  </r>
  <r>
    <x v="0"/>
    <x v="2"/>
    <x v="17"/>
    <x v="9"/>
    <x v="53"/>
    <x v="1"/>
    <n v="0"/>
  </r>
  <r>
    <x v="0"/>
    <x v="2"/>
    <x v="17"/>
    <x v="9"/>
    <x v="54"/>
    <x v="1"/>
    <n v="0"/>
  </r>
  <r>
    <x v="0"/>
    <x v="2"/>
    <x v="17"/>
    <x v="9"/>
    <x v="55"/>
    <x v="1"/>
    <n v="0"/>
  </r>
  <r>
    <x v="0"/>
    <x v="2"/>
    <x v="17"/>
    <x v="10"/>
    <x v="46"/>
    <x v="1"/>
    <n v="111.24470107"/>
  </r>
  <r>
    <x v="0"/>
    <x v="2"/>
    <x v="17"/>
    <x v="10"/>
    <x v="47"/>
    <x v="1"/>
    <n v="111.24470107"/>
  </r>
  <r>
    <x v="0"/>
    <x v="2"/>
    <x v="17"/>
    <x v="10"/>
    <x v="48"/>
    <x v="1"/>
    <n v="111.24470107"/>
  </r>
  <r>
    <x v="0"/>
    <x v="2"/>
    <x v="17"/>
    <x v="10"/>
    <x v="49"/>
    <x v="1"/>
    <n v="0"/>
  </r>
  <r>
    <x v="0"/>
    <x v="2"/>
    <x v="17"/>
    <x v="10"/>
    <x v="50"/>
    <x v="1"/>
    <n v="0"/>
  </r>
  <r>
    <x v="0"/>
    <x v="2"/>
    <x v="17"/>
    <x v="10"/>
    <x v="51"/>
    <x v="1"/>
    <n v="0"/>
  </r>
  <r>
    <x v="0"/>
    <x v="2"/>
    <x v="17"/>
    <x v="10"/>
    <x v="52"/>
    <x v="1"/>
    <n v="0"/>
  </r>
  <r>
    <x v="0"/>
    <x v="2"/>
    <x v="17"/>
    <x v="10"/>
    <x v="53"/>
    <x v="1"/>
    <n v="0"/>
  </r>
  <r>
    <x v="0"/>
    <x v="2"/>
    <x v="17"/>
    <x v="10"/>
    <x v="54"/>
    <x v="1"/>
    <n v="0"/>
  </r>
  <r>
    <x v="0"/>
    <x v="2"/>
    <x v="17"/>
    <x v="10"/>
    <x v="55"/>
    <x v="1"/>
    <n v="0"/>
  </r>
  <r>
    <x v="0"/>
    <x v="2"/>
    <x v="17"/>
    <x v="11"/>
    <x v="46"/>
    <x v="1"/>
    <n v="344.53360418699998"/>
  </r>
  <r>
    <x v="0"/>
    <x v="2"/>
    <x v="17"/>
    <x v="11"/>
    <x v="47"/>
    <x v="1"/>
    <n v="344.53360418699998"/>
  </r>
  <r>
    <x v="0"/>
    <x v="2"/>
    <x v="17"/>
    <x v="11"/>
    <x v="48"/>
    <x v="1"/>
    <n v="344.53360418699998"/>
  </r>
  <r>
    <x v="0"/>
    <x v="2"/>
    <x v="17"/>
    <x v="11"/>
    <x v="49"/>
    <x v="1"/>
    <n v="0"/>
  </r>
  <r>
    <x v="0"/>
    <x v="2"/>
    <x v="17"/>
    <x v="11"/>
    <x v="50"/>
    <x v="1"/>
    <n v="0"/>
  </r>
  <r>
    <x v="0"/>
    <x v="2"/>
    <x v="17"/>
    <x v="11"/>
    <x v="51"/>
    <x v="1"/>
    <n v="0"/>
  </r>
  <r>
    <x v="0"/>
    <x v="2"/>
    <x v="17"/>
    <x v="11"/>
    <x v="52"/>
    <x v="1"/>
    <n v="0"/>
  </r>
  <r>
    <x v="0"/>
    <x v="2"/>
    <x v="17"/>
    <x v="11"/>
    <x v="53"/>
    <x v="1"/>
    <n v="0"/>
  </r>
  <r>
    <x v="0"/>
    <x v="2"/>
    <x v="17"/>
    <x v="11"/>
    <x v="54"/>
    <x v="1"/>
    <n v="0"/>
  </r>
  <r>
    <x v="0"/>
    <x v="2"/>
    <x v="17"/>
    <x v="11"/>
    <x v="55"/>
    <x v="1"/>
    <n v="0"/>
  </r>
  <r>
    <x v="0"/>
    <x v="2"/>
    <x v="17"/>
    <x v="12"/>
    <x v="46"/>
    <x v="1"/>
    <n v="103.17797416099999"/>
  </r>
  <r>
    <x v="0"/>
    <x v="2"/>
    <x v="17"/>
    <x v="12"/>
    <x v="47"/>
    <x v="1"/>
    <n v="103.17797416099999"/>
  </r>
  <r>
    <x v="0"/>
    <x v="2"/>
    <x v="17"/>
    <x v="12"/>
    <x v="48"/>
    <x v="1"/>
    <n v="103.17797416099999"/>
  </r>
  <r>
    <x v="0"/>
    <x v="2"/>
    <x v="17"/>
    <x v="12"/>
    <x v="49"/>
    <x v="1"/>
    <n v="0"/>
  </r>
  <r>
    <x v="0"/>
    <x v="2"/>
    <x v="17"/>
    <x v="12"/>
    <x v="50"/>
    <x v="1"/>
    <n v="0"/>
  </r>
  <r>
    <x v="0"/>
    <x v="2"/>
    <x v="17"/>
    <x v="12"/>
    <x v="51"/>
    <x v="1"/>
    <n v="0"/>
  </r>
  <r>
    <x v="0"/>
    <x v="2"/>
    <x v="17"/>
    <x v="12"/>
    <x v="52"/>
    <x v="1"/>
    <n v="0"/>
  </r>
  <r>
    <x v="0"/>
    <x v="2"/>
    <x v="17"/>
    <x v="12"/>
    <x v="53"/>
    <x v="1"/>
    <n v="0"/>
  </r>
  <r>
    <x v="0"/>
    <x v="2"/>
    <x v="17"/>
    <x v="12"/>
    <x v="54"/>
    <x v="1"/>
    <n v="0"/>
  </r>
  <r>
    <x v="0"/>
    <x v="2"/>
    <x v="17"/>
    <x v="12"/>
    <x v="55"/>
    <x v="1"/>
    <n v="0"/>
  </r>
  <r>
    <x v="0"/>
    <x v="2"/>
    <x v="17"/>
    <x v="13"/>
    <x v="46"/>
    <x v="1"/>
    <n v="238.4747356"/>
  </r>
  <r>
    <x v="0"/>
    <x v="2"/>
    <x v="17"/>
    <x v="13"/>
    <x v="47"/>
    <x v="1"/>
    <n v="238.4747356"/>
  </r>
  <r>
    <x v="0"/>
    <x v="2"/>
    <x v="17"/>
    <x v="13"/>
    <x v="48"/>
    <x v="1"/>
    <n v="238.4747356"/>
  </r>
  <r>
    <x v="0"/>
    <x v="2"/>
    <x v="17"/>
    <x v="13"/>
    <x v="49"/>
    <x v="1"/>
    <n v="0"/>
  </r>
  <r>
    <x v="0"/>
    <x v="2"/>
    <x v="17"/>
    <x v="13"/>
    <x v="50"/>
    <x v="1"/>
    <n v="0"/>
  </r>
  <r>
    <x v="0"/>
    <x v="2"/>
    <x v="17"/>
    <x v="13"/>
    <x v="51"/>
    <x v="1"/>
    <n v="0"/>
  </r>
  <r>
    <x v="0"/>
    <x v="2"/>
    <x v="17"/>
    <x v="13"/>
    <x v="52"/>
    <x v="1"/>
    <n v="0"/>
  </r>
  <r>
    <x v="0"/>
    <x v="2"/>
    <x v="17"/>
    <x v="13"/>
    <x v="53"/>
    <x v="1"/>
    <n v="0"/>
  </r>
  <r>
    <x v="0"/>
    <x v="2"/>
    <x v="17"/>
    <x v="13"/>
    <x v="54"/>
    <x v="1"/>
    <n v="0"/>
  </r>
  <r>
    <x v="0"/>
    <x v="2"/>
    <x v="17"/>
    <x v="13"/>
    <x v="55"/>
    <x v="1"/>
    <n v="0"/>
  </r>
  <r>
    <x v="0"/>
    <x v="2"/>
    <x v="17"/>
    <x v="14"/>
    <x v="46"/>
    <x v="1"/>
    <n v="72.295517627999999"/>
  </r>
  <r>
    <x v="0"/>
    <x v="2"/>
    <x v="17"/>
    <x v="14"/>
    <x v="47"/>
    <x v="1"/>
    <n v="72.295517627999999"/>
  </r>
  <r>
    <x v="0"/>
    <x v="2"/>
    <x v="17"/>
    <x v="14"/>
    <x v="48"/>
    <x v="1"/>
    <n v="72.295517627999999"/>
  </r>
  <r>
    <x v="0"/>
    <x v="2"/>
    <x v="17"/>
    <x v="14"/>
    <x v="49"/>
    <x v="1"/>
    <n v="0"/>
  </r>
  <r>
    <x v="0"/>
    <x v="2"/>
    <x v="17"/>
    <x v="14"/>
    <x v="50"/>
    <x v="1"/>
    <n v="0"/>
  </r>
  <r>
    <x v="0"/>
    <x v="2"/>
    <x v="17"/>
    <x v="14"/>
    <x v="51"/>
    <x v="1"/>
    <n v="0"/>
  </r>
  <r>
    <x v="0"/>
    <x v="2"/>
    <x v="17"/>
    <x v="14"/>
    <x v="52"/>
    <x v="1"/>
    <n v="0"/>
  </r>
  <r>
    <x v="0"/>
    <x v="2"/>
    <x v="17"/>
    <x v="14"/>
    <x v="53"/>
    <x v="1"/>
    <n v="0"/>
  </r>
  <r>
    <x v="0"/>
    <x v="2"/>
    <x v="17"/>
    <x v="14"/>
    <x v="54"/>
    <x v="1"/>
    <n v="0"/>
  </r>
  <r>
    <x v="0"/>
    <x v="2"/>
    <x v="17"/>
    <x v="14"/>
    <x v="55"/>
    <x v="1"/>
    <n v="0"/>
  </r>
  <r>
    <x v="0"/>
    <x v="2"/>
    <x v="17"/>
    <x v="15"/>
    <x v="46"/>
    <x v="1"/>
    <n v="87.784518156000004"/>
  </r>
  <r>
    <x v="0"/>
    <x v="2"/>
    <x v="17"/>
    <x v="15"/>
    <x v="47"/>
    <x v="1"/>
    <n v="87.784518156000004"/>
  </r>
  <r>
    <x v="0"/>
    <x v="2"/>
    <x v="17"/>
    <x v="15"/>
    <x v="48"/>
    <x v="1"/>
    <n v="87.784518156000004"/>
  </r>
  <r>
    <x v="0"/>
    <x v="2"/>
    <x v="17"/>
    <x v="15"/>
    <x v="49"/>
    <x v="1"/>
    <n v="0"/>
  </r>
  <r>
    <x v="0"/>
    <x v="2"/>
    <x v="17"/>
    <x v="15"/>
    <x v="50"/>
    <x v="1"/>
    <n v="0"/>
  </r>
  <r>
    <x v="0"/>
    <x v="2"/>
    <x v="17"/>
    <x v="15"/>
    <x v="51"/>
    <x v="1"/>
    <n v="0"/>
  </r>
  <r>
    <x v="0"/>
    <x v="2"/>
    <x v="17"/>
    <x v="15"/>
    <x v="52"/>
    <x v="1"/>
    <n v="0"/>
  </r>
  <r>
    <x v="0"/>
    <x v="2"/>
    <x v="17"/>
    <x v="15"/>
    <x v="53"/>
    <x v="1"/>
    <n v="0"/>
  </r>
  <r>
    <x v="0"/>
    <x v="2"/>
    <x v="17"/>
    <x v="15"/>
    <x v="54"/>
    <x v="1"/>
    <n v="0"/>
  </r>
  <r>
    <x v="0"/>
    <x v="2"/>
    <x v="17"/>
    <x v="15"/>
    <x v="55"/>
    <x v="1"/>
    <n v="0"/>
  </r>
  <r>
    <x v="0"/>
    <x v="2"/>
    <x v="17"/>
    <x v="16"/>
    <x v="46"/>
    <x v="1"/>
    <n v="56.856000930999997"/>
  </r>
  <r>
    <x v="0"/>
    <x v="2"/>
    <x v="17"/>
    <x v="16"/>
    <x v="47"/>
    <x v="1"/>
    <n v="56.856000930999997"/>
  </r>
  <r>
    <x v="0"/>
    <x v="2"/>
    <x v="17"/>
    <x v="16"/>
    <x v="48"/>
    <x v="1"/>
    <n v="56.856000930999997"/>
  </r>
  <r>
    <x v="0"/>
    <x v="2"/>
    <x v="17"/>
    <x v="16"/>
    <x v="49"/>
    <x v="1"/>
    <n v="0"/>
  </r>
  <r>
    <x v="0"/>
    <x v="2"/>
    <x v="17"/>
    <x v="16"/>
    <x v="50"/>
    <x v="1"/>
    <n v="0"/>
  </r>
  <r>
    <x v="0"/>
    <x v="2"/>
    <x v="17"/>
    <x v="16"/>
    <x v="51"/>
    <x v="1"/>
    <n v="0"/>
  </r>
  <r>
    <x v="0"/>
    <x v="2"/>
    <x v="17"/>
    <x v="16"/>
    <x v="52"/>
    <x v="1"/>
    <n v="0"/>
  </r>
  <r>
    <x v="0"/>
    <x v="2"/>
    <x v="17"/>
    <x v="16"/>
    <x v="53"/>
    <x v="1"/>
    <n v="0"/>
  </r>
  <r>
    <x v="0"/>
    <x v="2"/>
    <x v="17"/>
    <x v="16"/>
    <x v="54"/>
    <x v="1"/>
    <n v="0"/>
  </r>
  <r>
    <x v="0"/>
    <x v="2"/>
    <x v="17"/>
    <x v="16"/>
    <x v="55"/>
    <x v="1"/>
    <n v="0"/>
  </r>
  <r>
    <x v="0"/>
    <x v="2"/>
    <x v="17"/>
    <x v="17"/>
    <x v="46"/>
    <x v="1"/>
    <n v="131.89467839899999"/>
  </r>
  <r>
    <x v="0"/>
    <x v="2"/>
    <x v="17"/>
    <x v="17"/>
    <x v="47"/>
    <x v="1"/>
    <n v="131.89467839899999"/>
  </r>
  <r>
    <x v="0"/>
    <x v="2"/>
    <x v="17"/>
    <x v="17"/>
    <x v="48"/>
    <x v="1"/>
    <n v="131.89467839899999"/>
  </r>
  <r>
    <x v="0"/>
    <x v="2"/>
    <x v="17"/>
    <x v="17"/>
    <x v="49"/>
    <x v="1"/>
    <n v="0"/>
  </r>
  <r>
    <x v="0"/>
    <x v="2"/>
    <x v="17"/>
    <x v="17"/>
    <x v="50"/>
    <x v="1"/>
    <n v="0"/>
  </r>
  <r>
    <x v="0"/>
    <x v="2"/>
    <x v="17"/>
    <x v="17"/>
    <x v="51"/>
    <x v="1"/>
    <n v="0"/>
  </r>
  <r>
    <x v="0"/>
    <x v="2"/>
    <x v="17"/>
    <x v="17"/>
    <x v="52"/>
    <x v="1"/>
    <n v="0"/>
  </r>
  <r>
    <x v="0"/>
    <x v="2"/>
    <x v="17"/>
    <x v="17"/>
    <x v="53"/>
    <x v="1"/>
    <n v="0"/>
  </r>
  <r>
    <x v="0"/>
    <x v="2"/>
    <x v="17"/>
    <x v="17"/>
    <x v="54"/>
    <x v="1"/>
    <n v="0"/>
  </r>
  <r>
    <x v="0"/>
    <x v="2"/>
    <x v="17"/>
    <x v="17"/>
    <x v="55"/>
    <x v="1"/>
    <n v="0"/>
  </r>
  <r>
    <x v="0"/>
    <x v="2"/>
    <x v="17"/>
    <x v="18"/>
    <x v="46"/>
    <x v="1"/>
    <n v="104.73998403"/>
  </r>
  <r>
    <x v="0"/>
    <x v="2"/>
    <x v="17"/>
    <x v="18"/>
    <x v="47"/>
    <x v="1"/>
    <n v="104.73998403"/>
  </r>
  <r>
    <x v="0"/>
    <x v="2"/>
    <x v="17"/>
    <x v="18"/>
    <x v="48"/>
    <x v="1"/>
    <n v="104.73998403"/>
  </r>
  <r>
    <x v="0"/>
    <x v="2"/>
    <x v="17"/>
    <x v="18"/>
    <x v="49"/>
    <x v="1"/>
    <n v="0"/>
  </r>
  <r>
    <x v="0"/>
    <x v="2"/>
    <x v="17"/>
    <x v="18"/>
    <x v="50"/>
    <x v="1"/>
    <n v="0"/>
  </r>
  <r>
    <x v="0"/>
    <x v="2"/>
    <x v="17"/>
    <x v="18"/>
    <x v="51"/>
    <x v="1"/>
    <n v="0"/>
  </r>
  <r>
    <x v="0"/>
    <x v="2"/>
    <x v="17"/>
    <x v="18"/>
    <x v="52"/>
    <x v="1"/>
    <n v="0"/>
  </r>
  <r>
    <x v="0"/>
    <x v="2"/>
    <x v="17"/>
    <x v="18"/>
    <x v="53"/>
    <x v="1"/>
    <n v="0"/>
  </r>
  <r>
    <x v="0"/>
    <x v="2"/>
    <x v="17"/>
    <x v="18"/>
    <x v="54"/>
    <x v="1"/>
    <n v="0"/>
  </r>
  <r>
    <x v="0"/>
    <x v="2"/>
    <x v="17"/>
    <x v="18"/>
    <x v="55"/>
    <x v="1"/>
    <n v="0"/>
  </r>
  <r>
    <x v="0"/>
    <x v="2"/>
    <x v="17"/>
    <x v="19"/>
    <x v="46"/>
    <x v="1"/>
    <n v="137.33262593200001"/>
  </r>
  <r>
    <x v="0"/>
    <x v="2"/>
    <x v="17"/>
    <x v="19"/>
    <x v="47"/>
    <x v="1"/>
    <n v="137.33262593200001"/>
  </r>
  <r>
    <x v="0"/>
    <x v="2"/>
    <x v="17"/>
    <x v="19"/>
    <x v="48"/>
    <x v="1"/>
    <n v="137.33262593200001"/>
  </r>
  <r>
    <x v="0"/>
    <x v="2"/>
    <x v="17"/>
    <x v="19"/>
    <x v="49"/>
    <x v="1"/>
    <n v="0"/>
  </r>
  <r>
    <x v="0"/>
    <x v="2"/>
    <x v="17"/>
    <x v="19"/>
    <x v="50"/>
    <x v="1"/>
    <n v="0"/>
  </r>
  <r>
    <x v="0"/>
    <x v="2"/>
    <x v="17"/>
    <x v="19"/>
    <x v="51"/>
    <x v="1"/>
    <n v="0"/>
  </r>
  <r>
    <x v="0"/>
    <x v="2"/>
    <x v="17"/>
    <x v="19"/>
    <x v="52"/>
    <x v="1"/>
    <n v="0"/>
  </r>
  <r>
    <x v="0"/>
    <x v="2"/>
    <x v="17"/>
    <x v="19"/>
    <x v="53"/>
    <x v="1"/>
    <n v="0"/>
  </r>
  <r>
    <x v="0"/>
    <x v="2"/>
    <x v="17"/>
    <x v="19"/>
    <x v="54"/>
    <x v="1"/>
    <n v="0"/>
  </r>
  <r>
    <x v="0"/>
    <x v="2"/>
    <x v="17"/>
    <x v="19"/>
    <x v="55"/>
    <x v="1"/>
    <n v="0"/>
  </r>
  <r>
    <x v="0"/>
    <x v="2"/>
    <x v="17"/>
    <x v="20"/>
    <x v="46"/>
    <x v="1"/>
    <n v="15.755386155"/>
  </r>
  <r>
    <x v="0"/>
    <x v="2"/>
    <x v="17"/>
    <x v="20"/>
    <x v="47"/>
    <x v="1"/>
    <n v="15.755386155"/>
  </r>
  <r>
    <x v="0"/>
    <x v="2"/>
    <x v="17"/>
    <x v="20"/>
    <x v="48"/>
    <x v="1"/>
    <n v="15.755386155"/>
  </r>
  <r>
    <x v="0"/>
    <x v="2"/>
    <x v="17"/>
    <x v="20"/>
    <x v="49"/>
    <x v="1"/>
    <n v="0"/>
  </r>
  <r>
    <x v="0"/>
    <x v="2"/>
    <x v="17"/>
    <x v="20"/>
    <x v="50"/>
    <x v="1"/>
    <n v="0"/>
  </r>
  <r>
    <x v="0"/>
    <x v="2"/>
    <x v="17"/>
    <x v="20"/>
    <x v="51"/>
    <x v="1"/>
    <n v="0"/>
  </r>
  <r>
    <x v="0"/>
    <x v="2"/>
    <x v="17"/>
    <x v="20"/>
    <x v="52"/>
    <x v="1"/>
    <n v="0"/>
  </r>
  <r>
    <x v="0"/>
    <x v="2"/>
    <x v="17"/>
    <x v="20"/>
    <x v="53"/>
    <x v="1"/>
    <n v="0"/>
  </r>
  <r>
    <x v="0"/>
    <x v="2"/>
    <x v="17"/>
    <x v="20"/>
    <x v="54"/>
    <x v="1"/>
    <n v="0"/>
  </r>
  <r>
    <x v="0"/>
    <x v="2"/>
    <x v="17"/>
    <x v="20"/>
    <x v="55"/>
    <x v="1"/>
    <n v="0"/>
  </r>
  <r>
    <x v="0"/>
    <x v="2"/>
    <x v="17"/>
    <x v="21"/>
    <x v="46"/>
    <x v="1"/>
    <n v="7.6198688519999997"/>
  </r>
  <r>
    <x v="0"/>
    <x v="2"/>
    <x v="17"/>
    <x v="21"/>
    <x v="47"/>
    <x v="1"/>
    <n v="7.6198688519999997"/>
  </r>
  <r>
    <x v="0"/>
    <x v="2"/>
    <x v="17"/>
    <x v="21"/>
    <x v="48"/>
    <x v="1"/>
    <n v="7.6198688519999997"/>
  </r>
  <r>
    <x v="0"/>
    <x v="2"/>
    <x v="17"/>
    <x v="21"/>
    <x v="49"/>
    <x v="1"/>
    <n v="0"/>
  </r>
  <r>
    <x v="0"/>
    <x v="2"/>
    <x v="17"/>
    <x v="21"/>
    <x v="50"/>
    <x v="1"/>
    <n v="0"/>
  </r>
  <r>
    <x v="0"/>
    <x v="2"/>
    <x v="17"/>
    <x v="21"/>
    <x v="51"/>
    <x v="1"/>
    <n v="0"/>
  </r>
  <r>
    <x v="0"/>
    <x v="2"/>
    <x v="17"/>
    <x v="21"/>
    <x v="52"/>
    <x v="1"/>
    <n v="0"/>
  </r>
  <r>
    <x v="0"/>
    <x v="2"/>
    <x v="17"/>
    <x v="21"/>
    <x v="53"/>
    <x v="1"/>
    <n v="0"/>
  </r>
  <r>
    <x v="0"/>
    <x v="2"/>
    <x v="17"/>
    <x v="21"/>
    <x v="54"/>
    <x v="1"/>
    <n v="0"/>
  </r>
  <r>
    <x v="0"/>
    <x v="2"/>
    <x v="17"/>
    <x v="21"/>
    <x v="55"/>
    <x v="1"/>
    <n v="0"/>
  </r>
  <r>
    <x v="0"/>
    <x v="2"/>
    <x v="17"/>
    <x v="22"/>
    <x v="46"/>
    <x v="1"/>
    <n v="8.6454430949999992"/>
  </r>
  <r>
    <x v="0"/>
    <x v="2"/>
    <x v="17"/>
    <x v="22"/>
    <x v="47"/>
    <x v="1"/>
    <n v="8.6454430949999992"/>
  </r>
  <r>
    <x v="0"/>
    <x v="2"/>
    <x v="17"/>
    <x v="22"/>
    <x v="48"/>
    <x v="1"/>
    <n v="8.6454430949999992"/>
  </r>
  <r>
    <x v="0"/>
    <x v="2"/>
    <x v="17"/>
    <x v="22"/>
    <x v="49"/>
    <x v="1"/>
    <n v="0"/>
  </r>
  <r>
    <x v="0"/>
    <x v="2"/>
    <x v="17"/>
    <x v="22"/>
    <x v="50"/>
    <x v="1"/>
    <n v="0"/>
  </r>
  <r>
    <x v="0"/>
    <x v="2"/>
    <x v="17"/>
    <x v="22"/>
    <x v="51"/>
    <x v="1"/>
    <n v="0"/>
  </r>
  <r>
    <x v="0"/>
    <x v="2"/>
    <x v="17"/>
    <x v="22"/>
    <x v="52"/>
    <x v="1"/>
    <n v="0"/>
  </r>
  <r>
    <x v="0"/>
    <x v="2"/>
    <x v="17"/>
    <x v="22"/>
    <x v="53"/>
    <x v="1"/>
    <n v="0"/>
  </r>
  <r>
    <x v="0"/>
    <x v="2"/>
    <x v="17"/>
    <x v="22"/>
    <x v="54"/>
    <x v="1"/>
    <n v="0"/>
  </r>
  <r>
    <x v="0"/>
    <x v="2"/>
    <x v="17"/>
    <x v="22"/>
    <x v="55"/>
    <x v="1"/>
    <n v="0"/>
  </r>
  <r>
    <x v="0"/>
    <x v="2"/>
    <x v="17"/>
    <x v="23"/>
    <x v="46"/>
    <x v="1"/>
    <n v="3.3698523919999999"/>
  </r>
  <r>
    <x v="0"/>
    <x v="2"/>
    <x v="17"/>
    <x v="23"/>
    <x v="47"/>
    <x v="1"/>
    <n v="3.3698523919999999"/>
  </r>
  <r>
    <x v="0"/>
    <x v="2"/>
    <x v="17"/>
    <x v="23"/>
    <x v="48"/>
    <x v="1"/>
    <n v="3.3698523919999999"/>
  </r>
  <r>
    <x v="0"/>
    <x v="2"/>
    <x v="17"/>
    <x v="23"/>
    <x v="49"/>
    <x v="1"/>
    <n v="0"/>
  </r>
  <r>
    <x v="0"/>
    <x v="2"/>
    <x v="17"/>
    <x v="23"/>
    <x v="50"/>
    <x v="1"/>
    <n v="0"/>
  </r>
  <r>
    <x v="0"/>
    <x v="2"/>
    <x v="17"/>
    <x v="23"/>
    <x v="51"/>
    <x v="1"/>
    <n v="0"/>
  </r>
  <r>
    <x v="0"/>
    <x v="2"/>
    <x v="17"/>
    <x v="23"/>
    <x v="52"/>
    <x v="1"/>
    <n v="0"/>
  </r>
  <r>
    <x v="0"/>
    <x v="2"/>
    <x v="17"/>
    <x v="23"/>
    <x v="53"/>
    <x v="1"/>
    <n v="0"/>
  </r>
  <r>
    <x v="0"/>
    <x v="2"/>
    <x v="17"/>
    <x v="23"/>
    <x v="54"/>
    <x v="1"/>
    <n v="0"/>
  </r>
  <r>
    <x v="0"/>
    <x v="2"/>
    <x v="17"/>
    <x v="23"/>
    <x v="55"/>
    <x v="1"/>
    <n v="0"/>
  </r>
  <r>
    <x v="0"/>
    <x v="2"/>
    <x v="17"/>
    <x v="24"/>
    <x v="46"/>
    <x v="1"/>
    <n v="144.22006031199999"/>
  </r>
  <r>
    <x v="0"/>
    <x v="2"/>
    <x v="17"/>
    <x v="24"/>
    <x v="47"/>
    <x v="1"/>
    <n v="144.22006031199999"/>
  </r>
  <r>
    <x v="0"/>
    <x v="2"/>
    <x v="17"/>
    <x v="24"/>
    <x v="48"/>
    <x v="1"/>
    <n v="144.22006031199999"/>
  </r>
  <r>
    <x v="0"/>
    <x v="2"/>
    <x v="17"/>
    <x v="24"/>
    <x v="49"/>
    <x v="1"/>
    <n v="0"/>
  </r>
  <r>
    <x v="0"/>
    <x v="2"/>
    <x v="17"/>
    <x v="24"/>
    <x v="50"/>
    <x v="1"/>
    <n v="0"/>
  </r>
  <r>
    <x v="0"/>
    <x v="2"/>
    <x v="17"/>
    <x v="24"/>
    <x v="51"/>
    <x v="1"/>
    <n v="0"/>
  </r>
  <r>
    <x v="0"/>
    <x v="2"/>
    <x v="17"/>
    <x v="24"/>
    <x v="52"/>
    <x v="1"/>
    <n v="0"/>
  </r>
  <r>
    <x v="0"/>
    <x v="2"/>
    <x v="17"/>
    <x v="24"/>
    <x v="53"/>
    <x v="1"/>
    <n v="0"/>
  </r>
  <r>
    <x v="0"/>
    <x v="2"/>
    <x v="17"/>
    <x v="24"/>
    <x v="54"/>
    <x v="1"/>
    <n v="0"/>
  </r>
  <r>
    <x v="0"/>
    <x v="2"/>
    <x v="17"/>
    <x v="24"/>
    <x v="55"/>
    <x v="1"/>
    <n v="0"/>
  </r>
  <r>
    <x v="0"/>
    <x v="2"/>
    <x v="17"/>
    <x v="25"/>
    <x v="46"/>
    <x v="1"/>
    <n v="8.7193212290000002"/>
  </r>
  <r>
    <x v="0"/>
    <x v="2"/>
    <x v="17"/>
    <x v="25"/>
    <x v="47"/>
    <x v="1"/>
    <n v="8.7193212290000002"/>
  </r>
  <r>
    <x v="0"/>
    <x v="2"/>
    <x v="17"/>
    <x v="25"/>
    <x v="48"/>
    <x v="1"/>
    <n v="8.7193212290000002"/>
  </r>
  <r>
    <x v="0"/>
    <x v="2"/>
    <x v="17"/>
    <x v="25"/>
    <x v="49"/>
    <x v="1"/>
    <n v="0"/>
  </r>
  <r>
    <x v="0"/>
    <x v="2"/>
    <x v="17"/>
    <x v="25"/>
    <x v="50"/>
    <x v="1"/>
    <n v="0"/>
  </r>
  <r>
    <x v="0"/>
    <x v="2"/>
    <x v="17"/>
    <x v="25"/>
    <x v="51"/>
    <x v="1"/>
    <n v="0"/>
  </r>
  <r>
    <x v="0"/>
    <x v="2"/>
    <x v="17"/>
    <x v="25"/>
    <x v="52"/>
    <x v="1"/>
    <n v="0"/>
  </r>
  <r>
    <x v="0"/>
    <x v="2"/>
    <x v="17"/>
    <x v="25"/>
    <x v="53"/>
    <x v="1"/>
    <n v="0"/>
  </r>
  <r>
    <x v="0"/>
    <x v="2"/>
    <x v="17"/>
    <x v="25"/>
    <x v="54"/>
    <x v="1"/>
    <n v="0"/>
  </r>
  <r>
    <x v="0"/>
    <x v="2"/>
    <x v="17"/>
    <x v="25"/>
    <x v="55"/>
    <x v="1"/>
    <n v="0"/>
  </r>
  <r>
    <x v="0"/>
    <x v="2"/>
    <x v="17"/>
    <x v="26"/>
    <x v="46"/>
    <x v="1"/>
    <n v="5.5219359350000001"/>
  </r>
  <r>
    <x v="0"/>
    <x v="2"/>
    <x v="17"/>
    <x v="26"/>
    <x v="47"/>
    <x v="1"/>
    <n v="5.5219359350000001"/>
  </r>
  <r>
    <x v="0"/>
    <x v="2"/>
    <x v="17"/>
    <x v="26"/>
    <x v="48"/>
    <x v="1"/>
    <n v="5.5219359350000001"/>
  </r>
  <r>
    <x v="0"/>
    <x v="2"/>
    <x v="17"/>
    <x v="26"/>
    <x v="49"/>
    <x v="1"/>
    <n v="0"/>
  </r>
  <r>
    <x v="0"/>
    <x v="2"/>
    <x v="17"/>
    <x v="26"/>
    <x v="50"/>
    <x v="1"/>
    <n v="0"/>
  </r>
  <r>
    <x v="0"/>
    <x v="2"/>
    <x v="17"/>
    <x v="26"/>
    <x v="51"/>
    <x v="1"/>
    <n v="0"/>
  </r>
  <r>
    <x v="0"/>
    <x v="2"/>
    <x v="17"/>
    <x v="26"/>
    <x v="52"/>
    <x v="1"/>
    <n v="0"/>
  </r>
  <r>
    <x v="0"/>
    <x v="2"/>
    <x v="17"/>
    <x v="26"/>
    <x v="53"/>
    <x v="1"/>
    <n v="0"/>
  </r>
  <r>
    <x v="0"/>
    <x v="2"/>
    <x v="17"/>
    <x v="26"/>
    <x v="54"/>
    <x v="1"/>
    <n v="0"/>
  </r>
  <r>
    <x v="0"/>
    <x v="2"/>
    <x v="17"/>
    <x v="26"/>
    <x v="55"/>
    <x v="1"/>
    <n v="0"/>
  </r>
  <r>
    <x v="0"/>
    <x v="2"/>
    <x v="17"/>
    <x v="27"/>
    <x v="46"/>
    <x v="1"/>
    <n v="252.29025359900001"/>
  </r>
  <r>
    <x v="0"/>
    <x v="2"/>
    <x v="17"/>
    <x v="27"/>
    <x v="47"/>
    <x v="1"/>
    <n v="252.29025359900001"/>
  </r>
  <r>
    <x v="0"/>
    <x v="2"/>
    <x v="17"/>
    <x v="27"/>
    <x v="48"/>
    <x v="1"/>
    <n v="252.29025359900001"/>
  </r>
  <r>
    <x v="0"/>
    <x v="2"/>
    <x v="17"/>
    <x v="27"/>
    <x v="49"/>
    <x v="1"/>
    <n v="0"/>
  </r>
  <r>
    <x v="0"/>
    <x v="2"/>
    <x v="17"/>
    <x v="27"/>
    <x v="50"/>
    <x v="1"/>
    <n v="0"/>
  </r>
  <r>
    <x v="0"/>
    <x v="2"/>
    <x v="17"/>
    <x v="27"/>
    <x v="51"/>
    <x v="1"/>
    <n v="0"/>
  </r>
  <r>
    <x v="0"/>
    <x v="2"/>
    <x v="17"/>
    <x v="27"/>
    <x v="52"/>
    <x v="1"/>
    <n v="0"/>
  </r>
  <r>
    <x v="0"/>
    <x v="2"/>
    <x v="17"/>
    <x v="27"/>
    <x v="53"/>
    <x v="1"/>
    <n v="0"/>
  </r>
  <r>
    <x v="0"/>
    <x v="2"/>
    <x v="17"/>
    <x v="27"/>
    <x v="54"/>
    <x v="1"/>
    <n v="0"/>
  </r>
  <r>
    <x v="0"/>
    <x v="2"/>
    <x v="17"/>
    <x v="27"/>
    <x v="55"/>
    <x v="1"/>
    <n v="0"/>
  </r>
  <r>
    <x v="0"/>
    <x v="2"/>
    <x v="17"/>
    <x v="28"/>
    <x v="46"/>
    <x v="1"/>
    <n v="232.98780898000001"/>
  </r>
  <r>
    <x v="0"/>
    <x v="2"/>
    <x v="17"/>
    <x v="28"/>
    <x v="47"/>
    <x v="1"/>
    <n v="232.98780898000001"/>
  </r>
  <r>
    <x v="0"/>
    <x v="2"/>
    <x v="17"/>
    <x v="28"/>
    <x v="48"/>
    <x v="1"/>
    <n v="232.98780898000001"/>
  </r>
  <r>
    <x v="0"/>
    <x v="2"/>
    <x v="17"/>
    <x v="28"/>
    <x v="49"/>
    <x v="1"/>
    <n v="0"/>
  </r>
  <r>
    <x v="0"/>
    <x v="2"/>
    <x v="17"/>
    <x v="28"/>
    <x v="50"/>
    <x v="1"/>
    <n v="0"/>
  </r>
  <r>
    <x v="0"/>
    <x v="2"/>
    <x v="17"/>
    <x v="28"/>
    <x v="51"/>
    <x v="1"/>
    <n v="0"/>
  </r>
  <r>
    <x v="0"/>
    <x v="2"/>
    <x v="17"/>
    <x v="28"/>
    <x v="52"/>
    <x v="1"/>
    <n v="0"/>
  </r>
  <r>
    <x v="0"/>
    <x v="2"/>
    <x v="17"/>
    <x v="28"/>
    <x v="53"/>
    <x v="1"/>
    <n v="0"/>
  </r>
  <r>
    <x v="0"/>
    <x v="2"/>
    <x v="17"/>
    <x v="28"/>
    <x v="54"/>
    <x v="1"/>
    <n v="0"/>
  </r>
  <r>
    <x v="0"/>
    <x v="2"/>
    <x v="17"/>
    <x v="28"/>
    <x v="55"/>
    <x v="1"/>
    <n v="0"/>
  </r>
  <r>
    <x v="0"/>
    <x v="2"/>
    <x v="17"/>
    <x v="29"/>
    <x v="46"/>
    <x v="1"/>
    <n v="197.897135676"/>
  </r>
  <r>
    <x v="0"/>
    <x v="2"/>
    <x v="17"/>
    <x v="29"/>
    <x v="47"/>
    <x v="1"/>
    <n v="197.897135676"/>
  </r>
  <r>
    <x v="0"/>
    <x v="2"/>
    <x v="17"/>
    <x v="29"/>
    <x v="48"/>
    <x v="1"/>
    <n v="197.897135676"/>
  </r>
  <r>
    <x v="0"/>
    <x v="2"/>
    <x v="17"/>
    <x v="29"/>
    <x v="49"/>
    <x v="1"/>
    <n v="0"/>
  </r>
  <r>
    <x v="0"/>
    <x v="2"/>
    <x v="17"/>
    <x v="29"/>
    <x v="50"/>
    <x v="1"/>
    <n v="0"/>
  </r>
  <r>
    <x v="0"/>
    <x v="2"/>
    <x v="17"/>
    <x v="29"/>
    <x v="51"/>
    <x v="1"/>
    <n v="0"/>
  </r>
  <r>
    <x v="0"/>
    <x v="2"/>
    <x v="17"/>
    <x v="29"/>
    <x v="52"/>
    <x v="1"/>
    <n v="0"/>
  </r>
  <r>
    <x v="0"/>
    <x v="2"/>
    <x v="17"/>
    <x v="29"/>
    <x v="53"/>
    <x v="1"/>
    <n v="0"/>
  </r>
  <r>
    <x v="0"/>
    <x v="2"/>
    <x v="17"/>
    <x v="29"/>
    <x v="54"/>
    <x v="1"/>
    <n v="0"/>
  </r>
  <r>
    <x v="0"/>
    <x v="2"/>
    <x v="17"/>
    <x v="29"/>
    <x v="55"/>
    <x v="1"/>
    <n v="0"/>
  </r>
  <r>
    <x v="0"/>
    <x v="2"/>
    <x v="17"/>
    <x v="30"/>
    <x v="46"/>
    <x v="1"/>
    <n v="82.357850335999998"/>
  </r>
  <r>
    <x v="0"/>
    <x v="2"/>
    <x v="17"/>
    <x v="30"/>
    <x v="47"/>
    <x v="1"/>
    <n v="82.357850335999998"/>
  </r>
  <r>
    <x v="0"/>
    <x v="2"/>
    <x v="17"/>
    <x v="30"/>
    <x v="48"/>
    <x v="1"/>
    <n v="82.357850335999998"/>
  </r>
  <r>
    <x v="0"/>
    <x v="2"/>
    <x v="17"/>
    <x v="30"/>
    <x v="49"/>
    <x v="1"/>
    <n v="0"/>
  </r>
  <r>
    <x v="0"/>
    <x v="2"/>
    <x v="17"/>
    <x v="30"/>
    <x v="50"/>
    <x v="1"/>
    <n v="0"/>
  </r>
  <r>
    <x v="0"/>
    <x v="2"/>
    <x v="17"/>
    <x v="30"/>
    <x v="51"/>
    <x v="1"/>
    <n v="0"/>
  </r>
  <r>
    <x v="0"/>
    <x v="2"/>
    <x v="17"/>
    <x v="30"/>
    <x v="52"/>
    <x v="1"/>
    <n v="0"/>
  </r>
  <r>
    <x v="0"/>
    <x v="2"/>
    <x v="17"/>
    <x v="30"/>
    <x v="53"/>
    <x v="1"/>
    <n v="0"/>
  </r>
  <r>
    <x v="0"/>
    <x v="2"/>
    <x v="17"/>
    <x v="30"/>
    <x v="54"/>
    <x v="1"/>
    <n v="0"/>
  </r>
  <r>
    <x v="0"/>
    <x v="2"/>
    <x v="17"/>
    <x v="30"/>
    <x v="55"/>
    <x v="1"/>
    <n v="0"/>
  </r>
  <r>
    <x v="0"/>
    <x v="2"/>
    <x v="17"/>
    <x v="31"/>
    <x v="46"/>
    <x v="1"/>
    <n v="66.318883145000001"/>
  </r>
  <r>
    <x v="0"/>
    <x v="2"/>
    <x v="17"/>
    <x v="31"/>
    <x v="47"/>
    <x v="1"/>
    <n v="66.318883145000001"/>
  </r>
  <r>
    <x v="0"/>
    <x v="2"/>
    <x v="17"/>
    <x v="31"/>
    <x v="48"/>
    <x v="1"/>
    <n v="66.318883145000001"/>
  </r>
  <r>
    <x v="0"/>
    <x v="2"/>
    <x v="17"/>
    <x v="31"/>
    <x v="49"/>
    <x v="1"/>
    <n v="0"/>
  </r>
  <r>
    <x v="0"/>
    <x v="2"/>
    <x v="17"/>
    <x v="31"/>
    <x v="50"/>
    <x v="1"/>
    <n v="0"/>
  </r>
  <r>
    <x v="0"/>
    <x v="2"/>
    <x v="17"/>
    <x v="31"/>
    <x v="51"/>
    <x v="1"/>
    <n v="0"/>
  </r>
  <r>
    <x v="0"/>
    <x v="2"/>
    <x v="17"/>
    <x v="31"/>
    <x v="52"/>
    <x v="1"/>
    <n v="0"/>
  </r>
  <r>
    <x v="0"/>
    <x v="2"/>
    <x v="17"/>
    <x v="31"/>
    <x v="53"/>
    <x v="1"/>
    <n v="0"/>
  </r>
  <r>
    <x v="0"/>
    <x v="2"/>
    <x v="17"/>
    <x v="31"/>
    <x v="54"/>
    <x v="1"/>
    <n v="0"/>
  </r>
  <r>
    <x v="0"/>
    <x v="2"/>
    <x v="17"/>
    <x v="31"/>
    <x v="55"/>
    <x v="1"/>
    <n v="0"/>
  </r>
  <r>
    <x v="0"/>
    <x v="2"/>
    <x v="17"/>
    <x v="32"/>
    <x v="46"/>
    <x v="1"/>
    <n v="212.79136295199999"/>
  </r>
  <r>
    <x v="0"/>
    <x v="2"/>
    <x v="17"/>
    <x v="32"/>
    <x v="47"/>
    <x v="1"/>
    <n v="212.79136295199999"/>
  </r>
  <r>
    <x v="0"/>
    <x v="2"/>
    <x v="17"/>
    <x v="32"/>
    <x v="48"/>
    <x v="1"/>
    <n v="212.79136295199999"/>
  </r>
  <r>
    <x v="0"/>
    <x v="2"/>
    <x v="17"/>
    <x v="32"/>
    <x v="49"/>
    <x v="1"/>
    <n v="0"/>
  </r>
  <r>
    <x v="0"/>
    <x v="2"/>
    <x v="17"/>
    <x v="32"/>
    <x v="50"/>
    <x v="1"/>
    <n v="0"/>
  </r>
  <r>
    <x v="0"/>
    <x v="2"/>
    <x v="17"/>
    <x v="32"/>
    <x v="51"/>
    <x v="1"/>
    <n v="0"/>
  </r>
  <r>
    <x v="0"/>
    <x v="2"/>
    <x v="17"/>
    <x v="32"/>
    <x v="52"/>
    <x v="1"/>
    <n v="0"/>
  </r>
  <r>
    <x v="0"/>
    <x v="2"/>
    <x v="17"/>
    <x v="32"/>
    <x v="53"/>
    <x v="1"/>
    <n v="0"/>
  </r>
  <r>
    <x v="0"/>
    <x v="2"/>
    <x v="17"/>
    <x v="32"/>
    <x v="54"/>
    <x v="1"/>
    <n v="0"/>
  </r>
  <r>
    <x v="0"/>
    <x v="2"/>
    <x v="17"/>
    <x v="32"/>
    <x v="55"/>
    <x v="1"/>
    <n v="0"/>
  </r>
  <r>
    <x v="0"/>
    <x v="2"/>
    <x v="17"/>
    <x v="33"/>
    <x v="46"/>
    <x v="1"/>
    <n v="141.29095969400001"/>
  </r>
  <r>
    <x v="0"/>
    <x v="2"/>
    <x v="17"/>
    <x v="33"/>
    <x v="47"/>
    <x v="1"/>
    <n v="141.29095969400001"/>
  </r>
  <r>
    <x v="0"/>
    <x v="2"/>
    <x v="17"/>
    <x v="33"/>
    <x v="48"/>
    <x v="1"/>
    <n v="141.29095969400001"/>
  </r>
  <r>
    <x v="0"/>
    <x v="2"/>
    <x v="17"/>
    <x v="33"/>
    <x v="49"/>
    <x v="1"/>
    <n v="0"/>
  </r>
  <r>
    <x v="0"/>
    <x v="2"/>
    <x v="17"/>
    <x v="33"/>
    <x v="50"/>
    <x v="1"/>
    <n v="0"/>
  </r>
  <r>
    <x v="0"/>
    <x v="2"/>
    <x v="17"/>
    <x v="33"/>
    <x v="51"/>
    <x v="1"/>
    <n v="0"/>
  </r>
  <r>
    <x v="0"/>
    <x v="2"/>
    <x v="17"/>
    <x v="33"/>
    <x v="52"/>
    <x v="1"/>
    <n v="0"/>
  </r>
  <r>
    <x v="0"/>
    <x v="2"/>
    <x v="17"/>
    <x v="33"/>
    <x v="53"/>
    <x v="1"/>
    <n v="0"/>
  </r>
  <r>
    <x v="0"/>
    <x v="2"/>
    <x v="17"/>
    <x v="33"/>
    <x v="54"/>
    <x v="1"/>
    <n v="0"/>
  </r>
  <r>
    <x v="0"/>
    <x v="2"/>
    <x v="17"/>
    <x v="33"/>
    <x v="55"/>
    <x v="1"/>
    <n v="0"/>
  </r>
  <r>
    <x v="0"/>
    <x v="2"/>
    <x v="17"/>
    <x v="34"/>
    <x v="46"/>
    <x v="1"/>
    <n v="131.46025343700001"/>
  </r>
  <r>
    <x v="0"/>
    <x v="2"/>
    <x v="17"/>
    <x v="34"/>
    <x v="47"/>
    <x v="1"/>
    <n v="131.46025343700001"/>
  </r>
  <r>
    <x v="0"/>
    <x v="2"/>
    <x v="17"/>
    <x v="34"/>
    <x v="48"/>
    <x v="1"/>
    <n v="131.46025343700001"/>
  </r>
  <r>
    <x v="0"/>
    <x v="2"/>
    <x v="17"/>
    <x v="34"/>
    <x v="49"/>
    <x v="1"/>
    <n v="0"/>
  </r>
  <r>
    <x v="0"/>
    <x v="2"/>
    <x v="17"/>
    <x v="34"/>
    <x v="50"/>
    <x v="1"/>
    <n v="0"/>
  </r>
  <r>
    <x v="0"/>
    <x v="2"/>
    <x v="17"/>
    <x v="34"/>
    <x v="51"/>
    <x v="1"/>
    <n v="0"/>
  </r>
  <r>
    <x v="0"/>
    <x v="2"/>
    <x v="17"/>
    <x v="34"/>
    <x v="52"/>
    <x v="1"/>
    <n v="0"/>
  </r>
  <r>
    <x v="0"/>
    <x v="2"/>
    <x v="17"/>
    <x v="34"/>
    <x v="53"/>
    <x v="1"/>
    <n v="0"/>
  </r>
  <r>
    <x v="0"/>
    <x v="2"/>
    <x v="17"/>
    <x v="34"/>
    <x v="54"/>
    <x v="1"/>
    <n v="0"/>
  </r>
  <r>
    <x v="0"/>
    <x v="2"/>
    <x v="17"/>
    <x v="34"/>
    <x v="55"/>
    <x v="1"/>
    <n v="0"/>
  </r>
  <r>
    <x v="0"/>
    <x v="2"/>
    <x v="17"/>
    <x v="35"/>
    <x v="46"/>
    <x v="1"/>
    <n v="82.093573294999999"/>
  </r>
  <r>
    <x v="0"/>
    <x v="2"/>
    <x v="17"/>
    <x v="35"/>
    <x v="47"/>
    <x v="1"/>
    <n v="82.093573294999999"/>
  </r>
  <r>
    <x v="0"/>
    <x v="2"/>
    <x v="17"/>
    <x v="35"/>
    <x v="48"/>
    <x v="1"/>
    <n v="82.093573294999999"/>
  </r>
  <r>
    <x v="0"/>
    <x v="2"/>
    <x v="17"/>
    <x v="35"/>
    <x v="49"/>
    <x v="1"/>
    <n v="0"/>
  </r>
  <r>
    <x v="0"/>
    <x v="2"/>
    <x v="17"/>
    <x v="35"/>
    <x v="50"/>
    <x v="1"/>
    <n v="0"/>
  </r>
  <r>
    <x v="0"/>
    <x v="2"/>
    <x v="17"/>
    <x v="35"/>
    <x v="51"/>
    <x v="1"/>
    <n v="0"/>
  </r>
  <r>
    <x v="0"/>
    <x v="2"/>
    <x v="17"/>
    <x v="35"/>
    <x v="52"/>
    <x v="1"/>
    <n v="0"/>
  </r>
  <r>
    <x v="0"/>
    <x v="2"/>
    <x v="17"/>
    <x v="35"/>
    <x v="53"/>
    <x v="1"/>
    <n v="0"/>
  </r>
  <r>
    <x v="0"/>
    <x v="2"/>
    <x v="17"/>
    <x v="35"/>
    <x v="54"/>
    <x v="1"/>
    <n v="0"/>
  </r>
  <r>
    <x v="0"/>
    <x v="2"/>
    <x v="17"/>
    <x v="35"/>
    <x v="55"/>
    <x v="1"/>
    <n v="0"/>
  </r>
  <r>
    <x v="0"/>
    <x v="2"/>
    <x v="17"/>
    <x v="36"/>
    <x v="46"/>
    <x v="1"/>
    <n v="23.284520879999999"/>
  </r>
  <r>
    <x v="0"/>
    <x v="2"/>
    <x v="17"/>
    <x v="36"/>
    <x v="47"/>
    <x v="1"/>
    <n v="23.284520879999999"/>
  </r>
  <r>
    <x v="0"/>
    <x v="2"/>
    <x v="17"/>
    <x v="36"/>
    <x v="48"/>
    <x v="1"/>
    <n v="23.284520879999999"/>
  </r>
  <r>
    <x v="0"/>
    <x v="2"/>
    <x v="17"/>
    <x v="36"/>
    <x v="49"/>
    <x v="1"/>
    <n v="0"/>
  </r>
  <r>
    <x v="0"/>
    <x v="2"/>
    <x v="17"/>
    <x v="36"/>
    <x v="50"/>
    <x v="1"/>
    <n v="0"/>
  </r>
  <r>
    <x v="0"/>
    <x v="2"/>
    <x v="17"/>
    <x v="36"/>
    <x v="51"/>
    <x v="1"/>
    <n v="0"/>
  </r>
  <r>
    <x v="0"/>
    <x v="2"/>
    <x v="17"/>
    <x v="36"/>
    <x v="52"/>
    <x v="1"/>
    <n v="0"/>
  </r>
  <r>
    <x v="0"/>
    <x v="2"/>
    <x v="17"/>
    <x v="36"/>
    <x v="53"/>
    <x v="1"/>
    <n v="0"/>
  </r>
  <r>
    <x v="0"/>
    <x v="2"/>
    <x v="17"/>
    <x v="36"/>
    <x v="54"/>
    <x v="1"/>
    <n v="0"/>
  </r>
  <r>
    <x v="0"/>
    <x v="2"/>
    <x v="17"/>
    <x v="36"/>
    <x v="55"/>
    <x v="1"/>
    <n v="0"/>
  </r>
  <r>
    <x v="0"/>
    <x v="2"/>
    <x v="17"/>
    <x v="37"/>
    <x v="46"/>
    <x v="1"/>
    <n v="55.067843085"/>
  </r>
  <r>
    <x v="0"/>
    <x v="2"/>
    <x v="17"/>
    <x v="37"/>
    <x v="47"/>
    <x v="1"/>
    <n v="55.067843085"/>
  </r>
  <r>
    <x v="0"/>
    <x v="2"/>
    <x v="17"/>
    <x v="37"/>
    <x v="48"/>
    <x v="1"/>
    <n v="55.067843085"/>
  </r>
  <r>
    <x v="0"/>
    <x v="2"/>
    <x v="17"/>
    <x v="37"/>
    <x v="49"/>
    <x v="1"/>
    <n v="0"/>
  </r>
  <r>
    <x v="0"/>
    <x v="2"/>
    <x v="17"/>
    <x v="37"/>
    <x v="50"/>
    <x v="1"/>
    <n v="0"/>
  </r>
  <r>
    <x v="0"/>
    <x v="2"/>
    <x v="17"/>
    <x v="37"/>
    <x v="51"/>
    <x v="1"/>
    <n v="0"/>
  </r>
  <r>
    <x v="0"/>
    <x v="2"/>
    <x v="17"/>
    <x v="37"/>
    <x v="52"/>
    <x v="1"/>
    <n v="0"/>
  </r>
  <r>
    <x v="0"/>
    <x v="2"/>
    <x v="17"/>
    <x v="37"/>
    <x v="53"/>
    <x v="1"/>
    <n v="0"/>
  </r>
  <r>
    <x v="0"/>
    <x v="2"/>
    <x v="17"/>
    <x v="37"/>
    <x v="54"/>
    <x v="1"/>
    <n v="0"/>
  </r>
  <r>
    <x v="0"/>
    <x v="2"/>
    <x v="17"/>
    <x v="37"/>
    <x v="55"/>
    <x v="1"/>
    <n v="0"/>
  </r>
  <r>
    <x v="0"/>
    <x v="2"/>
    <x v="17"/>
    <x v="38"/>
    <x v="46"/>
    <x v="1"/>
    <n v="110.061796872"/>
  </r>
  <r>
    <x v="0"/>
    <x v="2"/>
    <x v="17"/>
    <x v="38"/>
    <x v="47"/>
    <x v="1"/>
    <n v="110.061796872"/>
  </r>
  <r>
    <x v="0"/>
    <x v="2"/>
    <x v="17"/>
    <x v="38"/>
    <x v="48"/>
    <x v="1"/>
    <n v="110.061796872"/>
  </r>
  <r>
    <x v="0"/>
    <x v="2"/>
    <x v="17"/>
    <x v="38"/>
    <x v="49"/>
    <x v="1"/>
    <n v="0"/>
  </r>
  <r>
    <x v="0"/>
    <x v="2"/>
    <x v="17"/>
    <x v="38"/>
    <x v="50"/>
    <x v="1"/>
    <n v="0"/>
  </r>
  <r>
    <x v="0"/>
    <x v="2"/>
    <x v="17"/>
    <x v="38"/>
    <x v="51"/>
    <x v="1"/>
    <n v="0"/>
  </r>
  <r>
    <x v="0"/>
    <x v="2"/>
    <x v="17"/>
    <x v="38"/>
    <x v="52"/>
    <x v="1"/>
    <n v="0"/>
  </r>
  <r>
    <x v="0"/>
    <x v="2"/>
    <x v="17"/>
    <x v="38"/>
    <x v="53"/>
    <x v="1"/>
    <n v="0"/>
  </r>
  <r>
    <x v="0"/>
    <x v="2"/>
    <x v="17"/>
    <x v="38"/>
    <x v="54"/>
    <x v="1"/>
    <n v="0"/>
  </r>
  <r>
    <x v="0"/>
    <x v="2"/>
    <x v="17"/>
    <x v="38"/>
    <x v="55"/>
    <x v="1"/>
    <n v="0"/>
  </r>
  <r>
    <x v="0"/>
    <x v="2"/>
    <x v="17"/>
    <x v="39"/>
    <x v="46"/>
    <x v="1"/>
    <n v="56.001841249000002"/>
  </r>
  <r>
    <x v="0"/>
    <x v="2"/>
    <x v="17"/>
    <x v="39"/>
    <x v="47"/>
    <x v="1"/>
    <n v="56.001841249000002"/>
  </r>
  <r>
    <x v="0"/>
    <x v="2"/>
    <x v="17"/>
    <x v="39"/>
    <x v="48"/>
    <x v="1"/>
    <n v="56.001841249000002"/>
  </r>
  <r>
    <x v="0"/>
    <x v="2"/>
    <x v="17"/>
    <x v="39"/>
    <x v="49"/>
    <x v="1"/>
    <n v="0"/>
  </r>
  <r>
    <x v="0"/>
    <x v="2"/>
    <x v="17"/>
    <x v="39"/>
    <x v="50"/>
    <x v="1"/>
    <n v="0"/>
  </r>
  <r>
    <x v="0"/>
    <x v="2"/>
    <x v="17"/>
    <x v="39"/>
    <x v="51"/>
    <x v="1"/>
    <n v="0"/>
  </r>
  <r>
    <x v="0"/>
    <x v="2"/>
    <x v="17"/>
    <x v="39"/>
    <x v="52"/>
    <x v="1"/>
    <n v="0"/>
  </r>
  <r>
    <x v="0"/>
    <x v="2"/>
    <x v="17"/>
    <x v="39"/>
    <x v="53"/>
    <x v="1"/>
    <n v="0"/>
  </r>
  <r>
    <x v="0"/>
    <x v="2"/>
    <x v="17"/>
    <x v="39"/>
    <x v="54"/>
    <x v="1"/>
    <n v="0"/>
  </r>
  <r>
    <x v="0"/>
    <x v="2"/>
    <x v="17"/>
    <x v="39"/>
    <x v="55"/>
    <x v="1"/>
    <n v="0"/>
  </r>
  <r>
    <x v="0"/>
    <x v="2"/>
    <x v="17"/>
    <x v="40"/>
    <x v="46"/>
    <x v="1"/>
    <n v="23.928303886999998"/>
  </r>
  <r>
    <x v="0"/>
    <x v="2"/>
    <x v="17"/>
    <x v="40"/>
    <x v="47"/>
    <x v="1"/>
    <n v="23.928303886999998"/>
  </r>
  <r>
    <x v="0"/>
    <x v="2"/>
    <x v="17"/>
    <x v="40"/>
    <x v="48"/>
    <x v="1"/>
    <n v="23.928303886999998"/>
  </r>
  <r>
    <x v="0"/>
    <x v="2"/>
    <x v="17"/>
    <x v="40"/>
    <x v="49"/>
    <x v="1"/>
    <n v="0"/>
  </r>
  <r>
    <x v="0"/>
    <x v="2"/>
    <x v="17"/>
    <x v="40"/>
    <x v="50"/>
    <x v="1"/>
    <n v="0"/>
  </r>
  <r>
    <x v="0"/>
    <x v="2"/>
    <x v="17"/>
    <x v="40"/>
    <x v="51"/>
    <x v="1"/>
    <n v="0"/>
  </r>
  <r>
    <x v="0"/>
    <x v="2"/>
    <x v="17"/>
    <x v="40"/>
    <x v="52"/>
    <x v="1"/>
    <n v="0"/>
  </r>
  <r>
    <x v="0"/>
    <x v="2"/>
    <x v="17"/>
    <x v="40"/>
    <x v="53"/>
    <x v="1"/>
    <n v="0"/>
  </r>
  <r>
    <x v="0"/>
    <x v="2"/>
    <x v="17"/>
    <x v="40"/>
    <x v="54"/>
    <x v="1"/>
    <n v="0"/>
  </r>
  <r>
    <x v="0"/>
    <x v="2"/>
    <x v="17"/>
    <x v="40"/>
    <x v="55"/>
    <x v="1"/>
    <n v="0"/>
  </r>
  <r>
    <x v="0"/>
    <x v="2"/>
    <x v="17"/>
    <x v="41"/>
    <x v="46"/>
    <x v="1"/>
    <n v="210.18255909000001"/>
  </r>
  <r>
    <x v="0"/>
    <x v="2"/>
    <x v="17"/>
    <x v="41"/>
    <x v="47"/>
    <x v="1"/>
    <n v="210.18255909000001"/>
  </r>
  <r>
    <x v="0"/>
    <x v="2"/>
    <x v="17"/>
    <x v="41"/>
    <x v="48"/>
    <x v="1"/>
    <n v="210.18255909000001"/>
  </r>
  <r>
    <x v="0"/>
    <x v="2"/>
    <x v="17"/>
    <x v="41"/>
    <x v="49"/>
    <x v="1"/>
    <n v="0"/>
  </r>
  <r>
    <x v="0"/>
    <x v="2"/>
    <x v="17"/>
    <x v="41"/>
    <x v="50"/>
    <x v="1"/>
    <n v="0"/>
  </r>
  <r>
    <x v="0"/>
    <x v="2"/>
    <x v="17"/>
    <x v="41"/>
    <x v="51"/>
    <x v="1"/>
    <n v="0"/>
  </r>
  <r>
    <x v="0"/>
    <x v="2"/>
    <x v="17"/>
    <x v="41"/>
    <x v="52"/>
    <x v="1"/>
    <n v="0"/>
  </r>
  <r>
    <x v="0"/>
    <x v="2"/>
    <x v="17"/>
    <x v="41"/>
    <x v="53"/>
    <x v="1"/>
    <n v="0"/>
  </r>
  <r>
    <x v="0"/>
    <x v="2"/>
    <x v="17"/>
    <x v="41"/>
    <x v="54"/>
    <x v="1"/>
    <n v="0"/>
  </r>
  <r>
    <x v="0"/>
    <x v="2"/>
    <x v="17"/>
    <x v="41"/>
    <x v="55"/>
    <x v="1"/>
    <n v="0"/>
  </r>
  <r>
    <x v="0"/>
    <x v="2"/>
    <x v="18"/>
    <x v="42"/>
    <x v="46"/>
    <x v="1"/>
    <n v="213.19318888399999"/>
  </r>
  <r>
    <x v="0"/>
    <x v="2"/>
    <x v="18"/>
    <x v="42"/>
    <x v="47"/>
    <x v="1"/>
    <n v="213.19318888399999"/>
  </r>
  <r>
    <x v="0"/>
    <x v="2"/>
    <x v="18"/>
    <x v="42"/>
    <x v="48"/>
    <x v="1"/>
    <n v="213.19318888399999"/>
  </r>
  <r>
    <x v="0"/>
    <x v="2"/>
    <x v="18"/>
    <x v="42"/>
    <x v="49"/>
    <x v="1"/>
    <n v="0"/>
  </r>
  <r>
    <x v="0"/>
    <x v="2"/>
    <x v="18"/>
    <x v="42"/>
    <x v="50"/>
    <x v="1"/>
    <n v="0"/>
  </r>
  <r>
    <x v="0"/>
    <x v="2"/>
    <x v="18"/>
    <x v="42"/>
    <x v="51"/>
    <x v="1"/>
    <n v="0"/>
  </r>
  <r>
    <x v="0"/>
    <x v="2"/>
    <x v="18"/>
    <x v="42"/>
    <x v="52"/>
    <x v="1"/>
    <n v="0"/>
  </r>
  <r>
    <x v="0"/>
    <x v="2"/>
    <x v="18"/>
    <x v="42"/>
    <x v="53"/>
    <x v="1"/>
    <n v="0"/>
  </r>
  <r>
    <x v="0"/>
    <x v="2"/>
    <x v="18"/>
    <x v="42"/>
    <x v="54"/>
    <x v="1"/>
    <n v="0"/>
  </r>
  <r>
    <x v="0"/>
    <x v="2"/>
    <x v="18"/>
    <x v="42"/>
    <x v="55"/>
    <x v="1"/>
    <n v="0"/>
  </r>
  <r>
    <x v="0"/>
    <x v="2"/>
    <x v="18"/>
    <x v="43"/>
    <x v="46"/>
    <x v="1"/>
    <n v="639.40619242900004"/>
  </r>
  <r>
    <x v="0"/>
    <x v="2"/>
    <x v="18"/>
    <x v="43"/>
    <x v="47"/>
    <x v="1"/>
    <n v="639.40619242900004"/>
  </r>
  <r>
    <x v="0"/>
    <x v="2"/>
    <x v="18"/>
    <x v="43"/>
    <x v="48"/>
    <x v="1"/>
    <n v="639.40619242900004"/>
  </r>
  <r>
    <x v="0"/>
    <x v="2"/>
    <x v="18"/>
    <x v="43"/>
    <x v="49"/>
    <x v="1"/>
    <n v="0"/>
  </r>
  <r>
    <x v="0"/>
    <x v="2"/>
    <x v="18"/>
    <x v="43"/>
    <x v="50"/>
    <x v="1"/>
    <n v="0"/>
  </r>
  <r>
    <x v="0"/>
    <x v="2"/>
    <x v="18"/>
    <x v="43"/>
    <x v="51"/>
    <x v="1"/>
    <n v="0"/>
  </r>
  <r>
    <x v="0"/>
    <x v="2"/>
    <x v="18"/>
    <x v="43"/>
    <x v="52"/>
    <x v="1"/>
    <n v="0"/>
  </r>
  <r>
    <x v="0"/>
    <x v="2"/>
    <x v="18"/>
    <x v="43"/>
    <x v="53"/>
    <x v="1"/>
    <n v="0"/>
  </r>
  <r>
    <x v="0"/>
    <x v="2"/>
    <x v="18"/>
    <x v="43"/>
    <x v="54"/>
    <x v="1"/>
    <n v="0"/>
  </r>
  <r>
    <x v="0"/>
    <x v="2"/>
    <x v="18"/>
    <x v="43"/>
    <x v="55"/>
    <x v="1"/>
    <n v="0"/>
  </r>
  <r>
    <x v="0"/>
    <x v="2"/>
    <x v="19"/>
    <x v="44"/>
    <x v="46"/>
    <x v="5"/>
    <n v="5765.3495943549997"/>
  </r>
  <r>
    <x v="0"/>
    <x v="2"/>
    <x v="19"/>
    <x v="44"/>
    <x v="47"/>
    <x v="5"/>
    <n v="5765.3495943549997"/>
  </r>
  <r>
    <x v="0"/>
    <x v="2"/>
    <x v="19"/>
    <x v="44"/>
    <x v="48"/>
    <x v="5"/>
    <n v="5765.3495943549997"/>
  </r>
  <r>
    <x v="0"/>
    <x v="2"/>
    <x v="19"/>
    <x v="44"/>
    <x v="49"/>
    <x v="5"/>
    <n v="0"/>
  </r>
  <r>
    <x v="0"/>
    <x v="2"/>
    <x v="19"/>
    <x v="44"/>
    <x v="50"/>
    <x v="5"/>
    <n v="0"/>
  </r>
  <r>
    <x v="0"/>
    <x v="2"/>
    <x v="19"/>
    <x v="44"/>
    <x v="51"/>
    <x v="5"/>
    <n v="0"/>
  </r>
  <r>
    <x v="0"/>
    <x v="2"/>
    <x v="19"/>
    <x v="44"/>
    <x v="52"/>
    <x v="5"/>
    <n v="0"/>
  </r>
  <r>
    <x v="0"/>
    <x v="2"/>
    <x v="19"/>
    <x v="44"/>
    <x v="53"/>
    <x v="5"/>
    <n v="0"/>
  </r>
  <r>
    <x v="0"/>
    <x v="2"/>
    <x v="19"/>
    <x v="44"/>
    <x v="54"/>
    <x v="5"/>
    <n v="0"/>
  </r>
  <r>
    <x v="0"/>
    <x v="2"/>
    <x v="19"/>
    <x v="44"/>
    <x v="55"/>
    <x v="5"/>
    <n v="0"/>
  </r>
  <r>
    <x v="0"/>
    <x v="2"/>
    <x v="20"/>
    <x v="44"/>
    <x v="0"/>
    <x v="6"/>
    <n v="2013.7609325579999"/>
  </r>
  <r>
    <x v="0"/>
    <x v="2"/>
    <x v="21"/>
    <x v="44"/>
    <x v="0"/>
    <x v="6"/>
    <n v="4304.908164857"/>
  </r>
  <r>
    <x v="0"/>
    <x v="2"/>
    <x v="22"/>
    <x v="44"/>
    <x v="0"/>
    <x v="5"/>
    <n v="0.46778255299999999"/>
  </r>
  <r>
    <x v="0"/>
    <x v="2"/>
    <x v="23"/>
    <x v="44"/>
    <x v="0"/>
    <x v="5"/>
    <n v="2395.8825505149998"/>
  </r>
  <r>
    <x v="0"/>
    <x v="2"/>
    <x v="24"/>
    <x v="44"/>
    <x v="0"/>
    <x v="6"/>
    <n v="2203.1506016799999"/>
  </r>
  <r>
    <x v="0"/>
    <x v="2"/>
    <x v="25"/>
    <x v="45"/>
    <x v="0"/>
    <x v="6"/>
    <n v="909.135164777"/>
  </r>
  <r>
    <x v="0"/>
    <x v="2"/>
    <x v="26"/>
    <x v="44"/>
    <x v="0"/>
    <x v="6"/>
    <n v="1553.2505214089999"/>
  </r>
  <r>
    <x v="0"/>
    <x v="2"/>
    <x v="27"/>
    <x v="44"/>
    <x v="0"/>
    <x v="6"/>
    <n v="863.90478627100003"/>
  </r>
  <r>
    <x v="0"/>
    <x v="2"/>
    <x v="28"/>
    <x v="44"/>
    <x v="0"/>
    <x v="6"/>
    <n v="1224.532909279"/>
  </r>
  <r>
    <x v="0"/>
    <x v="2"/>
    <x v="29"/>
    <x v="44"/>
    <x v="0"/>
    <x v="6"/>
    <n v="46.347396023000002"/>
  </r>
  <r>
    <x v="0"/>
    <x v="2"/>
    <x v="30"/>
    <x v="44"/>
    <x v="0"/>
    <x v="6"/>
    <n v="1775.4658505150001"/>
  </r>
  <r>
    <x v="0"/>
    <x v="2"/>
    <x v="31"/>
    <x v="44"/>
    <x v="0"/>
    <x v="6"/>
    <n v="5754.2439140619999"/>
  </r>
  <r>
    <x v="0"/>
    <x v="2"/>
    <x v="32"/>
    <x v="44"/>
    <x v="0"/>
    <x v="5"/>
    <n v="0.30854893799999999"/>
  </r>
  <r>
    <x v="0"/>
    <x v="2"/>
    <x v="33"/>
    <x v="44"/>
    <x v="0"/>
    <x v="5"/>
    <n v="7.621493E-3"/>
  </r>
  <r>
    <x v="0"/>
    <x v="2"/>
    <x v="34"/>
    <x v="44"/>
    <x v="0"/>
    <x v="5"/>
    <n v="1"/>
  </r>
  <r>
    <x v="0"/>
    <x v="2"/>
    <x v="35"/>
    <x v="44"/>
    <x v="0"/>
    <x v="5"/>
    <n v="1.075"/>
  </r>
  <r>
    <x v="0"/>
    <x v="2"/>
    <x v="36"/>
    <x v="44"/>
    <x v="0"/>
    <x v="5"/>
    <n v="-7.6414462000000002E-2"/>
  </r>
  <r>
    <x v="0"/>
    <x v="2"/>
    <x v="37"/>
    <x v="45"/>
    <x v="0"/>
    <x v="6"/>
    <n v="0"/>
  </r>
  <r>
    <x v="0"/>
    <x v="2"/>
    <x v="38"/>
    <x v="45"/>
    <x v="0"/>
    <x v="6"/>
    <n v="0"/>
  </r>
  <r>
    <x v="0"/>
    <x v="2"/>
    <x v="39"/>
    <x v="45"/>
    <x v="0"/>
    <x v="6"/>
    <n v="1"/>
  </r>
  <r>
    <x v="0"/>
    <x v="2"/>
    <x v="40"/>
    <x v="45"/>
    <x v="0"/>
    <x v="6"/>
    <n v="822.49804541900005"/>
  </r>
  <r>
    <x v="0"/>
    <x v="2"/>
    <x v="41"/>
    <x v="45"/>
    <x v="0"/>
    <x v="6"/>
    <n v="703.88646522500005"/>
  </r>
  <r>
    <x v="0"/>
    <x v="2"/>
    <x v="42"/>
    <x v="45"/>
    <x v="0"/>
    <x v="6"/>
    <n v="118.611580194"/>
  </r>
  <r>
    <x v="0"/>
    <x v="2"/>
    <x v="43"/>
    <x v="45"/>
    <x v="0"/>
    <x v="6"/>
    <n v="293.35566010000002"/>
  </r>
  <r>
    <x v="0"/>
    <x v="2"/>
    <x v="44"/>
    <x v="45"/>
    <x v="0"/>
    <x v="6"/>
    <n v="0"/>
  </r>
  <r>
    <x v="0"/>
    <x v="2"/>
    <x v="45"/>
    <x v="44"/>
    <x v="0"/>
    <x v="5"/>
    <n v="0.40432688500000002"/>
  </r>
  <r>
    <x v="0"/>
    <x v="2"/>
    <x v="46"/>
    <x v="45"/>
    <x v="0"/>
    <x v="5"/>
    <n v="2.3633014970000001"/>
  </r>
  <r>
    <x v="0"/>
    <x v="2"/>
    <x v="47"/>
    <x v="46"/>
    <x v="0"/>
    <x v="6"/>
    <n v="62.213818531999998"/>
  </r>
  <r>
    <x v="0"/>
    <x v="2"/>
    <x v="48"/>
    <x v="47"/>
    <x v="0"/>
    <x v="6"/>
    <n v="0"/>
  </r>
  <r>
    <x v="0"/>
    <x v="2"/>
    <x v="49"/>
    <x v="47"/>
    <x v="0"/>
    <x v="6"/>
    <n v="0"/>
  </r>
  <r>
    <x v="0"/>
    <x v="2"/>
    <x v="50"/>
    <x v="48"/>
    <x v="0"/>
    <x v="7"/>
    <n v="886.29490782300002"/>
  </r>
  <r>
    <x v="0"/>
    <x v="2"/>
    <x v="50"/>
    <x v="49"/>
    <x v="0"/>
    <x v="7"/>
    <n v="826.95712416000003"/>
  </r>
  <r>
    <x v="0"/>
    <x v="2"/>
    <x v="51"/>
    <x v="42"/>
    <x v="0"/>
    <x v="4"/>
    <n v="430.07921967700003"/>
  </r>
  <r>
    <x v="0"/>
    <x v="2"/>
    <x v="51"/>
    <x v="43"/>
    <x v="0"/>
    <x v="4"/>
    <n v="1427.052935831"/>
  </r>
  <r>
    <x v="0"/>
    <x v="2"/>
    <x v="52"/>
    <x v="42"/>
    <x v="0"/>
    <x v="4"/>
    <n v="300.87876829999999"/>
  </r>
  <r>
    <x v="0"/>
    <x v="2"/>
    <x v="52"/>
    <x v="43"/>
    <x v="0"/>
    <x v="4"/>
    <n v="838.45162836700001"/>
  </r>
  <r>
    <x v="0"/>
    <x v="2"/>
    <x v="53"/>
    <x v="42"/>
    <x v="0"/>
    <x v="4"/>
    <n v="87.685579415000007"/>
  </r>
  <r>
    <x v="0"/>
    <x v="2"/>
    <x v="53"/>
    <x v="43"/>
    <x v="0"/>
    <x v="4"/>
    <n v="199.045435938"/>
  </r>
  <r>
    <x v="0"/>
    <x v="2"/>
    <x v="54"/>
    <x v="42"/>
    <x v="56"/>
    <x v="4"/>
    <n v="86.561829818000007"/>
  </r>
  <r>
    <x v="0"/>
    <x v="2"/>
    <x v="54"/>
    <x v="43"/>
    <x v="56"/>
    <x v="4"/>
    <n v="492.69030271600002"/>
  </r>
  <r>
    <x v="0"/>
    <x v="2"/>
    <x v="55"/>
    <x v="42"/>
    <x v="0"/>
    <x v="4"/>
    <n v="0.48974132300000001"/>
  </r>
  <r>
    <x v="0"/>
    <x v="2"/>
    <x v="55"/>
    <x v="43"/>
    <x v="0"/>
    <x v="4"/>
    <n v="0.45572589800000002"/>
  </r>
  <r>
    <x v="0"/>
    <x v="2"/>
    <x v="56"/>
    <x v="42"/>
    <x v="0"/>
    <x v="4"/>
    <n v="0.61533056799999997"/>
  </r>
  <r>
    <x v="0"/>
    <x v="2"/>
    <x v="56"/>
    <x v="43"/>
    <x v="0"/>
    <x v="4"/>
    <n v="0.59536232200000005"/>
  </r>
  <r>
    <x v="0"/>
    <x v="2"/>
    <x v="57"/>
    <x v="42"/>
    <x v="0"/>
    <x v="4"/>
    <n v="0.32977672299999999"/>
  </r>
  <r>
    <x v="0"/>
    <x v="2"/>
    <x v="57"/>
    <x v="43"/>
    <x v="0"/>
    <x v="4"/>
    <n v="0.31477382700000001"/>
  </r>
  <r>
    <x v="0"/>
    <x v="2"/>
    <x v="58"/>
    <x v="44"/>
    <x v="57"/>
    <x v="5"/>
    <n v="0.326535358"/>
  </r>
  <r>
    <x v="0"/>
    <x v="2"/>
    <x v="59"/>
    <x v="44"/>
    <x v="57"/>
    <x v="6"/>
    <n v="704.06799999999998"/>
  </r>
  <r>
    <x v="0"/>
    <x v="2"/>
    <x v="60"/>
    <x v="0"/>
    <x v="57"/>
    <x v="8"/>
    <n v="183.30163059500001"/>
  </r>
  <r>
    <x v="0"/>
    <x v="2"/>
    <x v="60"/>
    <x v="1"/>
    <x v="57"/>
    <x v="8"/>
    <n v="25.246160274000001"/>
  </r>
  <r>
    <x v="0"/>
    <x v="2"/>
    <x v="60"/>
    <x v="2"/>
    <x v="57"/>
    <x v="8"/>
    <n v="94.400494245000004"/>
  </r>
  <r>
    <x v="0"/>
    <x v="2"/>
    <x v="60"/>
    <x v="3"/>
    <x v="57"/>
    <x v="8"/>
    <n v="63.849346271000002"/>
  </r>
  <r>
    <x v="0"/>
    <x v="2"/>
    <x v="60"/>
    <x v="4"/>
    <x v="57"/>
    <x v="8"/>
    <n v="4.4495952860000001"/>
  </r>
  <r>
    <x v="0"/>
    <x v="2"/>
    <x v="60"/>
    <x v="5"/>
    <x v="57"/>
    <x v="8"/>
    <n v="77.071634180999993"/>
  </r>
  <r>
    <x v="0"/>
    <x v="2"/>
    <x v="60"/>
    <x v="6"/>
    <x v="57"/>
    <x v="8"/>
    <n v="11.785220173000001"/>
  </r>
  <r>
    <x v="0"/>
    <x v="2"/>
    <x v="60"/>
    <x v="7"/>
    <x v="57"/>
    <x v="8"/>
    <n v="19.489025327"/>
  </r>
  <r>
    <x v="0"/>
    <x v="2"/>
    <x v="60"/>
    <x v="8"/>
    <x v="57"/>
    <x v="8"/>
    <n v="5.9205726829999996"/>
  </r>
  <r>
    <x v="0"/>
    <x v="2"/>
    <x v="60"/>
    <x v="9"/>
    <x v="57"/>
    <x v="8"/>
    <n v="19.346546021999998"/>
  </r>
  <r>
    <x v="0"/>
    <x v="2"/>
    <x v="60"/>
    <x v="10"/>
    <x v="57"/>
    <x v="8"/>
    <n v="20.863997735000002"/>
  </r>
  <r>
    <x v="0"/>
    <x v="2"/>
    <x v="60"/>
    <x v="11"/>
    <x v="57"/>
    <x v="8"/>
    <n v="108.76223803800001"/>
  </r>
  <r>
    <x v="0"/>
    <x v="2"/>
    <x v="60"/>
    <x v="12"/>
    <x v="57"/>
    <x v="8"/>
    <n v="4.7012174739999999"/>
  </r>
  <r>
    <x v="0"/>
    <x v="2"/>
    <x v="60"/>
    <x v="13"/>
    <x v="57"/>
    <x v="8"/>
    <n v="47.854262177000003"/>
  </r>
  <r>
    <x v="0"/>
    <x v="2"/>
    <x v="60"/>
    <x v="14"/>
    <x v="57"/>
    <x v="8"/>
    <n v="5.9366010119999997"/>
  </r>
  <r>
    <x v="0"/>
    <x v="2"/>
    <x v="60"/>
    <x v="15"/>
    <x v="57"/>
    <x v="8"/>
    <n v="41.924127446"/>
  </r>
  <r>
    <x v="0"/>
    <x v="2"/>
    <x v="60"/>
    <x v="16"/>
    <x v="57"/>
    <x v="8"/>
    <n v="35.769378168000003"/>
  </r>
  <r>
    <x v="0"/>
    <x v="2"/>
    <x v="60"/>
    <x v="17"/>
    <x v="57"/>
    <x v="8"/>
    <n v="57.371025959999997"/>
  </r>
  <r>
    <x v="0"/>
    <x v="2"/>
    <x v="60"/>
    <x v="18"/>
    <x v="57"/>
    <x v="8"/>
    <n v="31.367050850999998"/>
  </r>
  <r>
    <x v="0"/>
    <x v="2"/>
    <x v="60"/>
    <x v="19"/>
    <x v="57"/>
    <x v="8"/>
    <n v="191.191743887"/>
  </r>
  <r>
    <x v="0"/>
    <x v="2"/>
    <x v="60"/>
    <x v="20"/>
    <x v="57"/>
    <x v="8"/>
    <n v="25.431322551000001"/>
  </r>
  <r>
    <x v="0"/>
    <x v="2"/>
    <x v="60"/>
    <x v="21"/>
    <x v="57"/>
    <x v="8"/>
    <n v="0.49184621699999997"/>
  </r>
  <r>
    <x v="0"/>
    <x v="2"/>
    <x v="60"/>
    <x v="22"/>
    <x v="57"/>
    <x v="8"/>
    <n v="1.7822498010000001"/>
  </r>
  <r>
    <x v="0"/>
    <x v="2"/>
    <x v="60"/>
    <x v="23"/>
    <x v="57"/>
    <x v="8"/>
    <n v="0"/>
  </r>
  <r>
    <x v="0"/>
    <x v="2"/>
    <x v="60"/>
    <x v="24"/>
    <x v="57"/>
    <x v="8"/>
    <n v="0.18025084799999999"/>
  </r>
  <r>
    <x v="0"/>
    <x v="2"/>
    <x v="60"/>
    <x v="25"/>
    <x v="57"/>
    <x v="8"/>
    <n v="1.3799999999999999E-7"/>
  </r>
  <r>
    <x v="0"/>
    <x v="2"/>
    <x v="60"/>
    <x v="26"/>
    <x v="57"/>
    <x v="8"/>
    <n v="0"/>
  </r>
  <r>
    <x v="0"/>
    <x v="2"/>
    <x v="60"/>
    <x v="27"/>
    <x v="57"/>
    <x v="8"/>
    <n v="2.996637336"/>
  </r>
  <r>
    <x v="0"/>
    <x v="2"/>
    <x v="60"/>
    <x v="28"/>
    <x v="57"/>
    <x v="8"/>
    <n v="0"/>
  </r>
  <r>
    <x v="0"/>
    <x v="2"/>
    <x v="60"/>
    <x v="29"/>
    <x v="57"/>
    <x v="8"/>
    <n v="33.470961580000001"/>
  </r>
  <r>
    <x v="0"/>
    <x v="2"/>
    <x v="60"/>
    <x v="30"/>
    <x v="57"/>
    <x v="8"/>
    <n v="23.443350514999999"/>
  </r>
  <r>
    <x v="0"/>
    <x v="2"/>
    <x v="60"/>
    <x v="31"/>
    <x v="57"/>
    <x v="8"/>
    <n v="5.8899625340000004"/>
  </r>
  <r>
    <x v="0"/>
    <x v="2"/>
    <x v="60"/>
    <x v="32"/>
    <x v="57"/>
    <x v="8"/>
    <n v="3.4739166859999999"/>
  </r>
  <r>
    <x v="0"/>
    <x v="2"/>
    <x v="60"/>
    <x v="33"/>
    <x v="57"/>
    <x v="8"/>
    <n v="0"/>
  </r>
  <r>
    <x v="0"/>
    <x v="2"/>
    <x v="60"/>
    <x v="34"/>
    <x v="57"/>
    <x v="8"/>
    <n v="35.933706583999999"/>
  </r>
  <r>
    <x v="0"/>
    <x v="2"/>
    <x v="60"/>
    <x v="35"/>
    <x v="57"/>
    <x v="8"/>
    <n v="2.8291018370000001"/>
  </r>
  <r>
    <x v="0"/>
    <x v="2"/>
    <x v="60"/>
    <x v="36"/>
    <x v="57"/>
    <x v="8"/>
    <n v="4.8074507009999996"/>
  </r>
  <r>
    <x v="0"/>
    <x v="2"/>
    <x v="60"/>
    <x v="37"/>
    <x v="57"/>
    <x v="8"/>
    <n v="2.3042893750000002"/>
  </r>
  <r>
    <x v="0"/>
    <x v="2"/>
    <x v="60"/>
    <x v="38"/>
    <x v="57"/>
    <x v="8"/>
    <n v="5.4183747980000003"/>
  </r>
  <r>
    <x v="0"/>
    <x v="2"/>
    <x v="60"/>
    <x v="39"/>
    <x v="57"/>
    <x v="8"/>
    <n v="2.0529484089999999"/>
  </r>
  <r>
    <x v="0"/>
    <x v="2"/>
    <x v="60"/>
    <x v="40"/>
    <x v="57"/>
    <x v="8"/>
    <n v="19.733705922999999"/>
  </r>
  <r>
    <x v="0"/>
    <x v="2"/>
    <x v="60"/>
    <x v="41"/>
    <x v="57"/>
    <x v="8"/>
    <n v="3.6909656380000002"/>
  </r>
  <r>
    <x v="0"/>
    <x v="2"/>
    <x v="61"/>
    <x v="0"/>
    <x v="57"/>
    <x v="8"/>
    <n v="1.588653407"/>
  </r>
  <r>
    <x v="0"/>
    <x v="2"/>
    <x v="61"/>
    <x v="1"/>
    <x v="57"/>
    <x v="8"/>
    <n v="0.53124079000000002"/>
  </r>
  <r>
    <x v="0"/>
    <x v="2"/>
    <x v="61"/>
    <x v="2"/>
    <x v="57"/>
    <x v="8"/>
    <n v="2.706594382"/>
  </r>
  <r>
    <x v="0"/>
    <x v="2"/>
    <x v="61"/>
    <x v="3"/>
    <x v="57"/>
    <x v="8"/>
    <n v="0.47797253099999998"/>
  </r>
  <r>
    <x v="0"/>
    <x v="2"/>
    <x v="61"/>
    <x v="4"/>
    <x v="57"/>
    <x v="8"/>
    <n v="0.87739097499999996"/>
  </r>
  <r>
    <x v="0"/>
    <x v="2"/>
    <x v="61"/>
    <x v="5"/>
    <x v="57"/>
    <x v="8"/>
    <n v="9.9802798189999997"/>
  </r>
  <r>
    <x v="0"/>
    <x v="2"/>
    <x v="61"/>
    <x v="6"/>
    <x v="57"/>
    <x v="8"/>
    <n v="19.244488524000001"/>
  </r>
  <r>
    <x v="0"/>
    <x v="2"/>
    <x v="61"/>
    <x v="7"/>
    <x v="57"/>
    <x v="8"/>
    <n v="39.618070281999998"/>
  </r>
  <r>
    <x v="0"/>
    <x v="2"/>
    <x v="61"/>
    <x v="8"/>
    <x v="57"/>
    <x v="8"/>
    <n v="15.54150407"/>
  </r>
  <r>
    <x v="0"/>
    <x v="2"/>
    <x v="61"/>
    <x v="9"/>
    <x v="57"/>
    <x v="8"/>
    <n v="33.751227086999997"/>
  </r>
  <r>
    <x v="0"/>
    <x v="2"/>
    <x v="61"/>
    <x v="10"/>
    <x v="57"/>
    <x v="8"/>
    <n v="12.216927192"/>
  </r>
  <r>
    <x v="0"/>
    <x v="2"/>
    <x v="61"/>
    <x v="11"/>
    <x v="57"/>
    <x v="8"/>
    <n v="71.641709937000002"/>
  </r>
  <r>
    <x v="0"/>
    <x v="2"/>
    <x v="61"/>
    <x v="12"/>
    <x v="57"/>
    <x v="8"/>
    <n v="17.005236659000001"/>
  </r>
  <r>
    <x v="0"/>
    <x v="2"/>
    <x v="61"/>
    <x v="13"/>
    <x v="57"/>
    <x v="8"/>
    <n v="41.724947776999997"/>
  </r>
  <r>
    <x v="0"/>
    <x v="2"/>
    <x v="61"/>
    <x v="14"/>
    <x v="57"/>
    <x v="8"/>
    <n v="31.404787618"/>
  </r>
  <r>
    <x v="0"/>
    <x v="2"/>
    <x v="61"/>
    <x v="15"/>
    <x v="57"/>
    <x v="8"/>
    <n v="43.520565697000002"/>
  </r>
  <r>
    <x v="0"/>
    <x v="2"/>
    <x v="61"/>
    <x v="16"/>
    <x v="57"/>
    <x v="8"/>
    <n v="20.414303965999999"/>
  </r>
  <r>
    <x v="0"/>
    <x v="2"/>
    <x v="61"/>
    <x v="17"/>
    <x v="57"/>
    <x v="8"/>
    <n v="34.090150835999999"/>
  </r>
  <r>
    <x v="0"/>
    <x v="2"/>
    <x v="61"/>
    <x v="18"/>
    <x v="57"/>
    <x v="8"/>
    <n v="76.682874874000007"/>
  </r>
  <r>
    <x v="0"/>
    <x v="2"/>
    <x v="61"/>
    <x v="19"/>
    <x v="57"/>
    <x v="8"/>
    <n v="178.048278831"/>
  </r>
  <r>
    <x v="0"/>
    <x v="2"/>
    <x v="61"/>
    <x v="20"/>
    <x v="57"/>
    <x v="8"/>
    <n v="12.600478643000001"/>
  </r>
  <r>
    <x v="0"/>
    <x v="2"/>
    <x v="61"/>
    <x v="21"/>
    <x v="57"/>
    <x v="8"/>
    <n v="2.7665168659999999"/>
  </r>
  <r>
    <x v="0"/>
    <x v="2"/>
    <x v="61"/>
    <x v="22"/>
    <x v="57"/>
    <x v="8"/>
    <n v="4.1438687070000002"/>
  </r>
  <r>
    <x v="0"/>
    <x v="2"/>
    <x v="61"/>
    <x v="23"/>
    <x v="57"/>
    <x v="8"/>
    <n v="0"/>
  </r>
  <r>
    <x v="0"/>
    <x v="2"/>
    <x v="61"/>
    <x v="24"/>
    <x v="57"/>
    <x v="8"/>
    <n v="0.71335467299999999"/>
  </r>
  <r>
    <x v="0"/>
    <x v="2"/>
    <x v="61"/>
    <x v="25"/>
    <x v="57"/>
    <x v="8"/>
    <n v="0"/>
  </r>
  <r>
    <x v="0"/>
    <x v="2"/>
    <x v="61"/>
    <x v="26"/>
    <x v="57"/>
    <x v="8"/>
    <n v="0"/>
  </r>
  <r>
    <x v="0"/>
    <x v="2"/>
    <x v="61"/>
    <x v="27"/>
    <x v="57"/>
    <x v="8"/>
    <n v="3.4403011659999998"/>
  </r>
  <r>
    <x v="0"/>
    <x v="2"/>
    <x v="61"/>
    <x v="28"/>
    <x v="57"/>
    <x v="8"/>
    <n v="99.956138495000005"/>
  </r>
  <r>
    <x v="0"/>
    <x v="2"/>
    <x v="61"/>
    <x v="29"/>
    <x v="57"/>
    <x v="8"/>
    <n v="40.619556928000002"/>
  </r>
  <r>
    <x v="0"/>
    <x v="2"/>
    <x v="61"/>
    <x v="30"/>
    <x v="57"/>
    <x v="8"/>
    <n v="1.7461285799999999"/>
  </r>
  <r>
    <x v="0"/>
    <x v="2"/>
    <x v="61"/>
    <x v="31"/>
    <x v="57"/>
    <x v="8"/>
    <n v="10.821988012"/>
  </r>
  <r>
    <x v="0"/>
    <x v="2"/>
    <x v="61"/>
    <x v="32"/>
    <x v="57"/>
    <x v="8"/>
    <n v="4.5862641990000004"/>
  </r>
  <r>
    <x v="0"/>
    <x v="2"/>
    <x v="61"/>
    <x v="33"/>
    <x v="57"/>
    <x v="8"/>
    <n v="0"/>
  </r>
  <r>
    <x v="0"/>
    <x v="2"/>
    <x v="61"/>
    <x v="34"/>
    <x v="57"/>
    <x v="8"/>
    <n v="27.213090016999999"/>
  </r>
  <r>
    <x v="0"/>
    <x v="2"/>
    <x v="61"/>
    <x v="35"/>
    <x v="57"/>
    <x v="8"/>
    <n v="0.15210367599999999"/>
  </r>
  <r>
    <x v="0"/>
    <x v="2"/>
    <x v="61"/>
    <x v="36"/>
    <x v="57"/>
    <x v="8"/>
    <n v="0.54607504299999998"/>
  </r>
  <r>
    <x v="0"/>
    <x v="2"/>
    <x v="61"/>
    <x v="37"/>
    <x v="57"/>
    <x v="8"/>
    <n v="0.45290185399999999"/>
  </r>
  <r>
    <x v="0"/>
    <x v="2"/>
    <x v="61"/>
    <x v="38"/>
    <x v="57"/>
    <x v="8"/>
    <n v="9.8026267E-2"/>
  </r>
  <r>
    <x v="0"/>
    <x v="2"/>
    <x v="61"/>
    <x v="39"/>
    <x v="57"/>
    <x v="8"/>
    <n v="0.12582412900000001"/>
  </r>
  <r>
    <x v="0"/>
    <x v="2"/>
    <x v="61"/>
    <x v="40"/>
    <x v="57"/>
    <x v="8"/>
    <n v="2.6756694909999998"/>
  </r>
  <r>
    <x v="0"/>
    <x v="2"/>
    <x v="61"/>
    <x v="41"/>
    <x v="57"/>
    <x v="8"/>
    <n v="0.17929426800000001"/>
  </r>
  <r>
    <x v="0"/>
    <x v="2"/>
    <x v="62"/>
    <x v="0"/>
    <x v="57"/>
    <x v="9"/>
    <n v="0.326535358"/>
  </r>
  <r>
    <x v="0"/>
    <x v="2"/>
    <x v="62"/>
    <x v="1"/>
    <x v="57"/>
    <x v="9"/>
    <n v="0.326535358"/>
  </r>
  <r>
    <x v="0"/>
    <x v="2"/>
    <x v="62"/>
    <x v="2"/>
    <x v="57"/>
    <x v="9"/>
    <n v="0.326535358"/>
  </r>
  <r>
    <x v="0"/>
    <x v="2"/>
    <x v="62"/>
    <x v="3"/>
    <x v="57"/>
    <x v="9"/>
    <n v="0.326535358"/>
  </r>
  <r>
    <x v="0"/>
    <x v="2"/>
    <x v="62"/>
    <x v="4"/>
    <x v="57"/>
    <x v="9"/>
    <n v="0.326535358"/>
  </r>
  <r>
    <x v="0"/>
    <x v="2"/>
    <x v="62"/>
    <x v="5"/>
    <x v="57"/>
    <x v="9"/>
    <n v="0.326535358"/>
  </r>
  <r>
    <x v="0"/>
    <x v="2"/>
    <x v="62"/>
    <x v="6"/>
    <x v="57"/>
    <x v="9"/>
    <n v="0.326535358"/>
  </r>
  <r>
    <x v="0"/>
    <x v="2"/>
    <x v="62"/>
    <x v="7"/>
    <x v="57"/>
    <x v="9"/>
    <n v="0.326535358"/>
  </r>
  <r>
    <x v="0"/>
    <x v="2"/>
    <x v="62"/>
    <x v="8"/>
    <x v="57"/>
    <x v="9"/>
    <n v="0.326535358"/>
  </r>
  <r>
    <x v="0"/>
    <x v="2"/>
    <x v="62"/>
    <x v="9"/>
    <x v="57"/>
    <x v="9"/>
    <n v="0.326535358"/>
  </r>
  <r>
    <x v="0"/>
    <x v="2"/>
    <x v="62"/>
    <x v="10"/>
    <x v="57"/>
    <x v="9"/>
    <n v="0.326535358"/>
  </r>
  <r>
    <x v="0"/>
    <x v="2"/>
    <x v="62"/>
    <x v="11"/>
    <x v="57"/>
    <x v="9"/>
    <n v="0.326535358"/>
  </r>
  <r>
    <x v="0"/>
    <x v="2"/>
    <x v="62"/>
    <x v="12"/>
    <x v="57"/>
    <x v="9"/>
    <n v="0.326535358"/>
  </r>
  <r>
    <x v="0"/>
    <x v="2"/>
    <x v="62"/>
    <x v="13"/>
    <x v="57"/>
    <x v="9"/>
    <n v="0.326535358"/>
  </r>
  <r>
    <x v="0"/>
    <x v="2"/>
    <x v="62"/>
    <x v="14"/>
    <x v="57"/>
    <x v="9"/>
    <n v="0.326535358"/>
  </r>
  <r>
    <x v="0"/>
    <x v="2"/>
    <x v="62"/>
    <x v="15"/>
    <x v="57"/>
    <x v="9"/>
    <n v="0.326535358"/>
  </r>
  <r>
    <x v="0"/>
    <x v="2"/>
    <x v="62"/>
    <x v="16"/>
    <x v="57"/>
    <x v="9"/>
    <n v="0.326535358"/>
  </r>
  <r>
    <x v="0"/>
    <x v="2"/>
    <x v="62"/>
    <x v="17"/>
    <x v="57"/>
    <x v="9"/>
    <n v="0.326535358"/>
  </r>
  <r>
    <x v="0"/>
    <x v="2"/>
    <x v="62"/>
    <x v="18"/>
    <x v="57"/>
    <x v="9"/>
    <n v="0.326535358"/>
  </r>
  <r>
    <x v="0"/>
    <x v="2"/>
    <x v="62"/>
    <x v="19"/>
    <x v="57"/>
    <x v="9"/>
    <n v="0.326535358"/>
  </r>
  <r>
    <x v="0"/>
    <x v="2"/>
    <x v="62"/>
    <x v="20"/>
    <x v="57"/>
    <x v="9"/>
    <n v="0.326535358"/>
  </r>
  <r>
    <x v="0"/>
    <x v="2"/>
    <x v="62"/>
    <x v="21"/>
    <x v="57"/>
    <x v="9"/>
    <n v="0.326535358"/>
  </r>
  <r>
    <x v="0"/>
    <x v="2"/>
    <x v="62"/>
    <x v="22"/>
    <x v="57"/>
    <x v="9"/>
    <n v="0.326535358"/>
  </r>
  <r>
    <x v="0"/>
    <x v="2"/>
    <x v="62"/>
    <x v="23"/>
    <x v="57"/>
    <x v="9"/>
    <n v="1"/>
  </r>
  <r>
    <x v="0"/>
    <x v="2"/>
    <x v="62"/>
    <x v="24"/>
    <x v="57"/>
    <x v="9"/>
    <n v="0.326535358"/>
  </r>
  <r>
    <x v="0"/>
    <x v="2"/>
    <x v="62"/>
    <x v="25"/>
    <x v="57"/>
    <x v="9"/>
    <n v="0.326535358"/>
  </r>
  <r>
    <x v="0"/>
    <x v="2"/>
    <x v="62"/>
    <x v="26"/>
    <x v="57"/>
    <x v="9"/>
    <n v="1"/>
  </r>
  <r>
    <x v="0"/>
    <x v="2"/>
    <x v="62"/>
    <x v="27"/>
    <x v="57"/>
    <x v="9"/>
    <n v="0.326535358"/>
  </r>
  <r>
    <x v="0"/>
    <x v="2"/>
    <x v="62"/>
    <x v="28"/>
    <x v="57"/>
    <x v="9"/>
    <n v="1"/>
  </r>
  <r>
    <x v="0"/>
    <x v="2"/>
    <x v="62"/>
    <x v="29"/>
    <x v="57"/>
    <x v="9"/>
    <n v="0.326535358"/>
  </r>
  <r>
    <x v="0"/>
    <x v="2"/>
    <x v="62"/>
    <x v="30"/>
    <x v="57"/>
    <x v="9"/>
    <n v="0.326535358"/>
  </r>
  <r>
    <x v="0"/>
    <x v="2"/>
    <x v="62"/>
    <x v="31"/>
    <x v="57"/>
    <x v="9"/>
    <n v="0.326535358"/>
  </r>
  <r>
    <x v="0"/>
    <x v="2"/>
    <x v="62"/>
    <x v="32"/>
    <x v="57"/>
    <x v="9"/>
    <n v="0.326535358"/>
  </r>
  <r>
    <x v="0"/>
    <x v="2"/>
    <x v="62"/>
    <x v="33"/>
    <x v="57"/>
    <x v="9"/>
    <n v="1"/>
  </r>
  <r>
    <x v="0"/>
    <x v="2"/>
    <x v="62"/>
    <x v="34"/>
    <x v="57"/>
    <x v="9"/>
    <n v="0.326535358"/>
  </r>
  <r>
    <x v="0"/>
    <x v="2"/>
    <x v="62"/>
    <x v="35"/>
    <x v="57"/>
    <x v="9"/>
    <n v="0.326535358"/>
  </r>
  <r>
    <x v="0"/>
    <x v="2"/>
    <x v="62"/>
    <x v="36"/>
    <x v="57"/>
    <x v="9"/>
    <n v="0.326535358"/>
  </r>
  <r>
    <x v="0"/>
    <x v="2"/>
    <x v="62"/>
    <x v="37"/>
    <x v="57"/>
    <x v="9"/>
    <n v="0.326535358"/>
  </r>
  <r>
    <x v="0"/>
    <x v="2"/>
    <x v="62"/>
    <x v="38"/>
    <x v="57"/>
    <x v="9"/>
    <n v="0.326535358"/>
  </r>
  <r>
    <x v="0"/>
    <x v="2"/>
    <x v="62"/>
    <x v="39"/>
    <x v="57"/>
    <x v="9"/>
    <n v="0.326535358"/>
  </r>
  <r>
    <x v="0"/>
    <x v="2"/>
    <x v="62"/>
    <x v="40"/>
    <x v="57"/>
    <x v="9"/>
    <n v="0.326535358"/>
  </r>
  <r>
    <x v="0"/>
    <x v="2"/>
    <x v="62"/>
    <x v="41"/>
    <x v="57"/>
    <x v="9"/>
    <n v="0.326535358"/>
  </r>
  <r>
    <x v="0"/>
    <x v="2"/>
    <x v="63"/>
    <x v="0"/>
    <x v="57"/>
    <x v="9"/>
    <n v="0.39896735500000002"/>
  </r>
  <r>
    <x v="0"/>
    <x v="2"/>
    <x v="63"/>
    <x v="1"/>
    <x v="57"/>
    <x v="9"/>
    <n v="0.26617897699999998"/>
  </r>
  <r>
    <x v="0"/>
    <x v="2"/>
    <x v="63"/>
    <x v="2"/>
    <x v="57"/>
    <x v="9"/>
    <n v="0.24485655000000001"/>
  </r>
  <r>
    <x v="0"/>
    <x v="2"/>
    <x v="63"/>
    <x v="3"/>
    <x v="57"/>
    <x v="9"/>
    <n v="0.25708551000000002"/>
  </r>
  <r>
    <x v="0"/>
    <x v="2"/>
    <x v="63"/>
    <x v="4"/>
    <x v="57"/>
    <x v="9"/>
    <n v="0.24290389700000001"/>
  </r>
  <r>
    <x v="0"/>
    <x v="2"/>
    <x v="63"/>
    <x v="5"/>
    <x v="57"/>
    <x v="9"/>
    <n v="0.26529566399999999"/>
  </r>
  <r>
    <x v="0"/>
    <x v="2"/>
    <x v="63"/>
    <x v="6"/>
    <x v="57"/>
    <x v="9"/>
    <n v="0.25365675599999998"/>
  </r>
  <r>
    <x v="0"/>
    <x v="2"/>
    <x v="63"/>
    <x v="7"/>
    <x v="57"/>
    <x v="9"/>
    <n v="0.25917724800000003"/>
  </r>
  <r>
    <x v="0"/>
    <x v="2"/>
    <x v="63"/>
    <x v="8"/>
    <x v="57"/>
    <x v="9"/>
    <n v="0.246892258"/>
  </r>
  <r>
    <x v="0"/>
    <x v="2"/>
    <x v="63"/>
    <x v="9"/>
    <x v="57"/>
    <x v="9"/>
    <n v="0.22389092599999999"/>
  </r>
  <r>
    <x v="0"/>
    <x v="2"/>
    <x v="63"/>
    <x v="10"/>
    <x v="57"/>
    <x v="9"/>
    <n v="0.18317688300000001"/>
  </r>
  <r>
    <x v="0"/>
    <x v="2"/>
    <x v="63"/>
    <x v="11"/>
    <x v="57"/>
    <x v="9"/>
    <n v="0.20968762799999999"/>
  </r>
  <r>
    <x v="0"/>
    <x v="2"/>
    <x v="63"/>
    <x v="12"/>
    <x v="57"/>
    <x v="9"/>
    <n v="0.21867852800000001"/>
  </r>
  <r>
    <x v="0"/>
    <x v="2"/>
    <x v="63"/>
    <x v="13"/>
    <x v="57"/>
    <x v="9"/>
    <n v="0.18986320800000001"/>
  </r>
  <r>
    <x v="0"/>
    <x v="2"/>
    <x v="63"/>
    <x v="14"/>
    <x v="57"/>
    <x v="9"/>
    <n v="0.20328404999999999"/>
  </r>
  <r>
    <x v="0"/>
    <x v="2"/>
    <x v="63"/>
    <x v="15"/>
    <x v="57"/>
    <x v="9"/>
    <n v="0.22523186100000001"/>
  </r>
  <r>
    <x v="0"/>
    <x v="2"/>
    <x v="63"/>
    <x v="16"/>
    <x v="57"/>
    <x v="9"/>
    <n v="0.23197922800000001"/>
  </r>
  <r>
    <x v="0"/>
    <x v="2"/>
    <x v="63"/>
    <x v="17"/>
    <x v="57"/>
    <x v="9"/>
    <n v="0.22550777799999999"/>
  </r>
  <r>
    <x v="0"/>
    <x v="2"/>
    <x v="63"/>
    <x v="18"/>
    <x v="57"/>
    <x v="9"/>
    <n v="0.20608676300000001"/>
  </r>
  <r>
    <x v="0"/>
    <x v="2"/>
    <x v="63"/>
    <x v="19"/>
    <x v="57"/>
    <x v="9"/>
    <n v="0.24226924"/>
  </r>
  <r>
    <x v="0"/>
    <x v="2"/>
    <x v="63"/>
    <x v="20"/>
    <x v="57"/>
    <x v="9"/>
    <n v="0.24269207800000001"/>
  </r>
  <r>
    <x v="0"/>
    <x v="2"/>
    <x v="63"/>
    <x v="21"/>
    <x v="57"/>
    <x v="9"/>
    <n v="0.22220801600000001"/>
  </r>
  <r>
    <x v="0"/>
    <x v="2"/>
    <x v="63"/>
    <x v="22"/>
    <x v="57"/>
    <x v="9"/>
    <n v="0.13870803000000001"/>
  </r>
  <r>
    <x v="0"/>
    <x v="2"/>
    <x v="63"/>
    <x v="23"/>
    <x v="57"/>
    <x v="9"/>
    <n v="1"/>
  </r>
  <r>
    <x v="0"/>
    <x v="2"/>
    <x v="63"/>
    <x v="24"/>
    <x v="57"/>
    <x v="9"/>
    <n v="0.192974586"/>
  </r>
  <r>
    <x v="0"/>
    <x v="2"/>
    <x v="63"/>
    <x v="25"/>
    <x v="57"/>
    <x v="9"/>
    <n v="1"/>
  </r>
  <r>
    <x v="0"/>
    <x v="2"/>
    <x v="63"/>
    <x v="26"/>
    <x v="57"/>
    <x v="9"/>
    <n v="1"/>
  </r>
  <r>
    <x v="0"/>
    <x v="2"/>
    <x v="63"/>
    <x v="27"/>
    <x v="57"/>
    <x v="9"/>
    <n v="0.24675335500000001"/>
  </r>
  <r>
    <x v="0"/>
    <x v="2"/>
    <x v="63"/>
    <x v="28"/>
    <x v="57"/>
    <x v="9"/>
    <n v="0.26336269499999998"/>
  </r>
  <r>
    <x v="0"/>
    <x v="2"/>
    <x v="63"/>
    <x v="29"/>
    <x v="57"/>
    <x v="9"/>
    <n v="0.22864886800000001"/>
  </r>
  <r>
    <x v="0"/>
    <x v="2"/>
    <x v="63"/>
    <x v="30"/>
    <x v="57"/>
    <x v="9"/>
    <n v="0.30900101800000002"/>
  </r>
  <r>
    <x v="0"/>
    <x v="2"/>
    <x v="63"/>
    <x v="31"/>
    <x v="57"/>
    <x v="9"/>
    <n v="0.20984934499999999"/>
  </r>
  <r>
    <x v="0"/>
    <x v="2"/>
    <x v="63"/>
    <x v="32"/>
    <x v="57"/>
    <x v="9"/>
    <n v="0.225443011"/>
  </r>
  <r>
    <x v="0"/>
    <x v="2"/>
    <x v="63"/>
    <x v="33"/>
    <x v="57"/>
    <x v="9"/>
    <n v="1"/>
  </r>
  <r>
    <x v="0"/>
    <x v="2"/>
    <x v="63"/>
    <x v="34"/>
    <x v="57"/>
    <x v="9"/>
    <n v="0.231209844"/>
  </r>
  <r>
    <x v="0"/>
    <x v="2"/>
    <x v="63"/>
    <x v="35"/>
    <x v="57"/>
    <x v="9"/>
    <n v="0.24174994999999999"/>
  </r>
  <r>
    <x v="0"/>
    <x v="2"/>
    <x v="63"/>
    <x v="36"/>
    <x v="57"/>
    <x v="9"/>
    <n v="0.26148420900000002"/>
  </r>
  <r>
    <x v="0"/>
    <x v="2"/>
    <x v="63"/>
    <x v="37"/>
    <x v="57"/>
    <x v="9"/>
    <n v="0.30343886799999997"/>
  </r>
  <r>
    <x v="0"/>
    <x v="2"/>
    <x v="63"/>
    <x v="38"/>
    <x v="57"/>
    <x v="9"/>
    <n v="0.42409956599999998"/>
  </r>
  <r>
    <x v="0"/>
    <x v="2"/>
    <x v="63"/>
    <x v="39"/>
    <x v="57"/>
    <x v="9"/>
    <n v="0.31367697700000002"/>
  </r>
  <r>
    <x v="0"/>
    <x v="2"/>
    <x v="63"/>
    <x v="40"/>
    <x v="57"/>
    <x v="9"/>
    <n v="0.29200557399999999"/>
  </r>
  <r>
    <x v="0"/>
    <x v="2"/>
    <x v="63"/>
    <x v="41"/>
    <x v="57"/>
    <x v="9"/>
    <n v="0.35323126399999999"/>
  </r>
  <r>
    <x v="0"/>
    <x v="2"/>
    <x v="64"/>
    <x v="0"/>
    <x v="57"/>
    <x v="10"/>
    <n v="0"/>
  </r>
  <r>
    <x v="0"/>
    <x v="2"/>
    <x v="64"/>
    <x v="1"/>
    <x v="57"/>
    <x v="10"/>
    <n v="0"/>
  </r>
  <r>
    <x v="0"/>
    <x v="2"/>
    <x v="64"/>
    <x v="2"/>
    <x v="57"/>
    <x v="10"/>
    <n v="0"/>
  </r>
  <r>
    <x v="0"/>
    <x v="2"/>
    <x v="64"/>
    <x v="3"/>
    <x v="57"/>
    <x v="10"/>
    <n v="0"/>
  </r>
  <r>
    <x v="0"/>
    <x v="2"/>
    <x v="64"/>
    <x v="4"/>
    <x v="57"/>
    <x v="10"/>
    <n v="0"/>
  </r>
  <r>
    <x v="0"/>
    <x v="2"/>
    <x v="64"/>
    <x v="5"/>
    <x v="57"/>
    <x v="10"/>
    <n v="0"/>
  </r>
  <r>
    <x v="0"/>
    <x v="2"/>
    <x v="64"/>
    <x v="6"/>
    <x v="57"/>
    <x v="10"/>
    <n v="0"/>
  </r>
  <r>
    <x v="0"/>
    <x v="2"/>
    <x v="64"/>
    <x v="7"/>
    <x v="57"/>
    <x v="10"/>
    <n v="0"/>
  </r>
  <r>
    <x v="0"/>
    <x v="2"/>
    <x v="64"/>
    <x v="8"/>
    <x v="57"/>
    <x v="10"/>
    <n v="0"/>
  </r>
  <r>
    <x v="0"/>
    <x v="2"/>
    <x v="64"/>
    <x v="9"/>
    <x v="57"/>
    <x v="10"/>
    <n v="0"/>
  </r>
  <r>
    <x v="0"/>
    <x v="2"/>
    <x v="64"/>
    <x v="10"/>
    <x v="57"/>
    <x v="10"/>
    <n v="0"/>
  </r>
  <r>
    <x v="0"/>
    <x v="2"/>
    <x v="64"/>
    <x v="11"/>
    <x v="57"/>
    <x v="10"/>
    <n v="0"/>
  </r>
  <r>
    <x v="0"/>
    <x v="2"/>
    <x v="64"/>
    <x v="12"/>
    <x v="57"/>
    <x v="10"/>
    <n v="0"/>
  </r>
  <r>
    <x v="0"/>
    <x v="2"/>
    <x v="64"/>
    <x v="13"/>
    <x v="57"/>
    <x v="10"/>
    <n v="0"/>
  </r>
  <r>
    <x v="0"/>
    <x v="2"/>
    <x v="64"/>
    <x v="14"/>
    <x v="57"/>
    <x v="10"/>
    <n v="0"/>
  </r>
  <r>
    <x v="0"/>
    <x v="2"/>
    <x v="64"/>
    <x v="15"/>
    <x v="57"/>
    <x v="10"/>
    <n v="0"/>
  </r>
  <r>
    <x v="0"/>
    <x v="2"/>
    <x v="64"/>
    <x v="16"/>
    <x v="57"/>
    <x v="10"/>
    <n v="0"/>
  </r>
  <r>
    <x v="0"/>
    <x v="2"/>
    <x v="64"/>
    <x v="17"/>
    <x v="57"/>
    <x v="10"/>
    <n v="0"/>
  </r>
  <r>
    <x v="0"/>
    <x v="2"/>
    <x v="64"/>
    <x v="18"/>
    <x v="57"/>
    <x v="10"/>
    <n v="0"/>
  </r>
  <r>
    <x v="0"/>
    <x v="2"/>
    <x v="64"/>
    <x v="19"/>
    <x v="57"/>
    <x v="10"/>
    <n v="0"/>
  </r>
  <r>
    <x v="0"/>
    <x v="2"/>
    <x v="64"/>
    <x v="20"/>
    <x v="57"/>
    <x v="10"/>
    <n v="0"/>
  </r>
  <r>
    <x v="0"/>
    <x v="2"/>
    <x v="64"/>
    <x v="21"/>
    <x v="57"/>
    <x v="10"/>
    <n v="0"/>
  </r>
  <r>
    <x v="0"/>
    <x v="2"/>
    <x v="64"/>
    <x v="22"/>
    <x v="57"/>
    <x v="10"/>
    <n v="0"/>
  </r>
  <r>
    <x v="0"/>
    <x v="2"/>
    <x v="64"/>
    <x v="23"/>
    <x v="57"/>
    <x v="10"/>
    <n v="0"/>
  </r>
  <r>
    <x v="0"/>
    <x v="2"/>
    <x v="64"/>
    <x v="24"/>
    <x v="57"/>
    <x v="10"/>
    <n v="0"/>
  </r>
  <r>
    <x v="0"/>
    <x v="2"/>
    <x v="64"/>
    <x v="25"/>
    <x v="57"/>
    <x v="10"/>
    <n v="0"/>
  </r>
  <r>
    <x v="0"/>
    <x v="2"/>
    <x v="64"/>
    <x v="26"/>
    <x v="57"/>
    <x v="10"/>
    <n v="0"/>
  </r>
  <r>
    <x v="0"/>
    <x v="2"/>
    <x v="64"/>
    <x v="27"/>
    <x v="57"/>
    <x v="10"/>
    <n v="0"/>
  </r>
  <r>
    <x v="0"/>
    <x v="2"/>
    <x v="64"/>
    <x v="28"/>
    <x v="57"/>
    <x v="10"/>
    <n v="0"/>
  </r>
  <r>
    <x v="0"/>
    <x v="2"/>
    <x v="64"/>
    <x v="29"/>
    <x v="57"/>
    <x v="10"/>
    <n v="0"/>
  </r>
  <r>
    <x v="0"/>
    <x v="2"/>
    <x v="64"/>
    <x v="30"/>
    <x v="57"/>
    <x v="10"/>
    <n v="0"/>
  </r>
  <r>
    <x v="0"/>
    <x v="2"/>
    <x v="64"/>
    <x v="31"/>
    <x v="57"/>
    <x v="10"/>
    <n v="0"/>
  </r>
  <r>
    <x v="0"/>
    <x v="2"/>
    <x v="64"/>
    <x v="32"/>
    <x v="57"/>
    <x v="10"/>
    <n v="0"/>
  </r>
  <r>
    <x v="0"/>
    <x v="2"/>
    <x v="64"/>
    <x v="33"/>
    <x v="57"/>
    <x v="10"/>
    <n v="0"/>
  </r>
  <r>
    <x v="0"/>
    <x v="2"/>
    <x v="64"/>
    <x v="34"/>
    <x v="57"/>
    <x v="10"/>
    <n v="0"/>
  </r>
  <r>
    <x v="0"/>
    <x v="2"/>
    <x v="64"/>
    <x v="35"/>
    <x v="57"/>
    <x v="10"/>
    <n v="0"/>
  </r>
  <r>
    <x v="0"/>
    <x v="2"/>
    <x v="64"/>
    <x v="36"/>
    <x v="57"/>
    <x v="10"/>
    <n v="0"/>
  </r>
  <r>
    <x v="0"/>
    <x v="2"/>
    <x v="64"/>
    <x v="37"/>
    <x v="57"/>
    <x v="10"/>
    <n v="0"/>
  </r>
  <r>
    <x v="0"/>
    <x v="2"/>
    <x v="64"/>
    <x v="38"/>
    <x v="57"/>
    <x v="10"/>
    <n v="0"/>
  </r>
  <r>
    <x v="0"/>
    <x v="2"/>
    <x v="64"/>
    <x v="39"/>
    <x v="57"/>
    <x v="10"/>
    <n v="0"/>
  </r>
  <r>
    <x v="0"/>
    <x v="2"/>
    <x v="64"/>
    <x v="40"/>
    <x v="57"/>
    <x v="10"/>
    <n v="0"/>
  </r>
  <r>
    <x v="0"/>
    <x v="2"/>
    <x v="64"/>
    <x v="41"/>
    <x v="57"/>
    <x v="10"/>
    <n v="0"/>
  </r>
  <r>
    <x v="0"/>
    <x v="2"/>
    <x v="65"/>
    <x v="48"/>
    <x v="58"/>
    <x v="11"/>
    <n v="1701.4534805190001"/>
  </r>
  <r>
    <x v="0"/>
    <x v="2"/>
    <x v="65"/>
    <x v="49"/>
    <x v="58"/>
    <x v="11"/>
    <n v="1643.510371115"/>
  </r>
  <r>
    <x v="0"/>
    <x v="2"/>
    <x v="66"/>
    <x v="48"/>
    <x v="58"/>
    <x v="12"/>
    <n v="0.52090457800000001"/>
  </r>
  <r>
    <x v="0"/>
    <x v="2"/>
    <x v="66"/>
    <x v="49"/>
    <x v="58"/>
    <x v="12"/>
    <n v="0.50316513900000004"/>
  </r>
  <r>
    <x v="0"/>
    <x v="3"/>
    <x v="0"/>
    <x v="0"/>
    <x v="0"/>
    <x v="0"/>
    <n v="673.34401490699997"/>
  </r>
  <r>
    <x v="0"/>
    <x v="3"/>
    <x v="1"/>
    <x v="0"/>
    <x v="0"/>
    <x v="1"/>
    <n v="0.18038644200000001"/>
  </r>
  <r>
    <x v="0"/>
    <x v="3"/>
    <x v="2"/>
    <x v="0"/>
    <x v="0"/>
    <x v="1"/>
    <n v="257.27728931399997"/>
  </r>
  <r>
    <x v="0"/>
    <x v="3"/>
    <x v="3"/>
    <x v="0"/>
    <x v="0"/>
    <x v="1"/>
    <n v="0.21870695900000001"/>
  </r>
  <r>
    <x v="0"/>
    <x v="3"/>
    <x v="0"/>
    <x v="1"/>
    <x v="0"/>
    <x v="0"/>
    <n v="220.93643615400001"/>
  </r>
  <r>
    <x v="0"/>
    <x v="3"/>
    <x v="1"/>
    <x v="1"/>
    <x v="0"/>
    <x v="1"/>
    <n v="0.102897974"/>
  </r>
  <r>
    <x v="0"/>
    <x v="3"/>
    <x v="2"/>
    <x v="1"/>
    <x v="0"/>
    <x v="1"/>
    <n v="134.64745105700001"/>
  </r>
  <r>
    <x v="0"/>
    <x v="3"/>
    <x v="3"/>
    <x v="1"/>
    <x v="0"/>
    <x v="1"/>
    <n v="0.130217099"/>
  </r>
  <r>
    <x v="0"/>
    <x v="3"/>
    <x v="0"/>
    <x v="2"/>
    <x v="0"/>
    <x v="0"/>
    <n v="241.08894685300001"/>
  </r>
  <r>
    <x v="0"/>
    <x v="3"/>
    <x v="1"/>
    <x v="2"/>
    <x v="0"/>
    <x v="1"/>
    <n v="6.8314579E-2"/>
  </r>
  <r>
    <x v="0"/>
    <x v="3"/>
    <x v="2"/>
    <x v="2"/>
    <x v="0"/>
    <x v="1"/>
    <n v="138.186759104"/>
  </r>
  <r>
    <x v="0"/>
    <x v="3"/>
    <x v="3"/>
    <x v="2"/>
    <x v="0"/>
    <x v="1"/>
    <n v="5.2065302000000001E-2"/>
  </r>
  <r>
    <x v="0"/>
    <x v="3"/>
    <x v="0"/>
    <x v="3"/>
    <x v="0"/>
    <x v="0"/>
    <n v="126.417589283"/>
  </r>
  <r>
    <x v="0"/>
    <x v="3"/>
    <x v="1"/>
    <x v="3"/>
    <x v="0"/>
    <x v="1"/>
    <n v="8.5246769E-2"/>
  </r>
  <r>
    <x v="0"/>
    <x v="3"/>
    <x v="2"/>
    <x v="3"/>
    <x v="0"/>
    <x v="1"/>
    <n v="86.102253352999995"/>
  </r>
  <r>
    <x v="0"/>
    <x v="3"/>
    <x v="3"/>
    <x v="3"/>
    <x v="0"/>
    <x v="1"/>
    <n v="9.9241895999999996E-2"/>
  </r>
  <r>
    <x v="0"/>
    <x v="3"/>
    <x v="0"/>
    <x v="4"/>
    <x v="0"/>
    <x v="0"/>
    <n v="59.541769633000001"/>
  </r>
  <r>
    <x v="0"/>
    <x v="3"/>
    <x v="1"/>
    <x v="4"/>
    <x v="0"/>
    <x v="1"/>
    <n v="9.2119768000000005E-2"/>
  </r>
  <r>
    <x v="0"/>
    <x v="3"/>
    <x v="2"/>
    <x v="4"/>
    <x v="0"/>
    <x v="1"/>
    <n v="40.063014991999999"/>
  </r>
  <r>
    <x v="0"/>
    <x v="3"/>
    <x v="3"/>
    <x v="4"/>
    <x v="0"/>
    <x v="1"/>
    <n v="0.115296807"/>
  </r>
  <r>
    <x v="0"/>
    <x v="3"/>
    <x v="0"/>
    <x v="5"/>
    <x v="0"/>
    <x v="0"/>
    <n v="579.20670195100001"/>
  </r>
  <r>
    <x v="0"/>
    <x v="3"/>
    <x v="1"/>
    <x v="5"/>
    <x v="0"/>
    <x v="1"/>
    <n v="0.12397095599999999"/>
  </r>
  <r>
    <x v="0"/>
    <x v="3"/>
    <x v="2"/>
    <x v="5"/>
    <x v="0"/>
    <x v="1"/>
    <n v="483.97117146300002"/>
  </r>
  <r>
    <x v="0"/>
    <x v="3"/>
    <x v="3"/>
    <x v="5"/>
    <x v="0"/>
    <x v="1"/>
    <n v="7.9070986999999995E-2"/>
  </r>
  <r>
    <x v="0"/>
    <x v="3"/>
    <x v="0"/>
    <x v="6"/>
    <x v="0"/>
    <x v="0"/>
    <n v="181.12677055899999"/>
  </r>
  <r>
    <x v="0"/>
    <x v="3"/>
    <x v="1"/>
    <x v="6"/>
    <x v="0"/>
    <x v="1"/>
    <n v="0.11319755500000001"/>
  </r>
  <r>
    <x v="0"/>
    <x v="3"/>
    <x v="2"/>
    <x v="6"/>
    <x v="0"/>
    <x v="1"/>
    <n v="151.60564857200001"/>
  </r>
  <r>
    <x v="0"/>
    <x v="3"/>
    <x v="3"/>
    <x v="6"/>
    <x v="0"/>
    <x v="1"/>
    <n v="0.10567506"/>
  </r>
  <r>
    <x v="0"/>
    <x v="3"/>
    <x v="0"/>
    <x v="7"/>
    <x v="0"/>
    <x v="0"/>
    <n v="125.947753392"/>
  </r>
  <r>
    <x v="0"/>
    <x v="3"/>
    <x v="1"/>
    <x v="7"/>
    <x v="0"/>
    <x v="1"/>
    <n v="0.109395477"/>
  </r>
  <r>
    <x v="0"/>
    <x v="3"/>
    <x v="2"/>
    <x v="7"/>
    <x v="0"/>
    <x v="1"/>
    <n v="102.444085125"/>
  </r>
  <r>
    <x v="0"/>
    <x v="3"/>
    <x v="3"/>
    <x v="7"/>
    <x v="0"/>
    <x v="1"/>
    <n v="0.12431587199999999"/>
  </r>
  <r>
    <x v="0"/>
    <x v="3"/>
    <x v="0"/>
    <x v="8"/>
    <x v="0"/>
    <x v="0"/>
    <n v="92.621456504999998"/>
  </r>
  <r>
    <x v="0"/>
    <x v="3"/>
    <x v="1"/>
    <x v="8"/>
    <x v="0"/>
    <x v="1"/>
    <n v="0.103932807"/>
  </r>
  <r>
    <x v="0"/>
    <x v="3"/>
    <x v="2"/>
    <x v="8"/>
    <x v="0"/>
    <x v="1"/>
    <n v="75.629038768000001"/>
  </r>
  <r>
    <x v="0"/>
    <x v="3"/>
    <x v="3"/>
    <x v="8"/>
    <x v="0"/>
    <x v="1"/>
    <n v="0.101312611"/>
  </r>
  <r>
    <x v="0"/>
    <x v="3"/>
    <x v="0"/>
    <x v="9"/>
    <x v="0"/>
    <x v="0"/>
    <n v="216.639321231"/>
  </r>
  <r>
    <x v="0"/>
    <x v="3"/>
    <x v="1"/>
    <x v="9"/>
    <x v="0"/>
    <x v="1"/>
    <n v="9.3471606999999998E-2"/>
  </r>
  <r>
    <x v="0"/>
    <x v="3"/>
    <x v="2"/>
    <x v="9"/>
    <x v="0"/>
    <x v="1"/>
    <n v="173.47592332299999"/>
  </r>
  <r>
    <x v="0"/>
    <x v="3"/>
    <x v="3"/>
    <x v="9"/>
    <x v="0"/>
    <x v="1"/>
    <n v="0.10960162"/>
  </r>
  <r>
    <x v="0"/>
    <x v="3"/>
    <x v="0"/>
    <x v="10"/>
    <x v="0"/>
    <x v="0"/>
    <n v="336.05828559600002"/>
  </r>
  <r>
    <x v="0"/>
    <x v="3"/>
    <x v="1"/>
    <x v="10"/>
    <x v="0"/>
    <x v="1"/>
    <n v="6.8186559999999993E-2"/>
  </r>
  <r>
    <x v="0"/>
    <x v="3"/>
    <x v="2"/>
    <x v="10"/>
    <x v="0"/>
    <x v="1"/>
    <n v="307.84329827900001"/>
  </r>
  <r>
    <x v="0"/>
    <x v="3"/>
    <x v="3"/>
    <x v="10"/>
    <x v="0"/>
    <x v="1"/>
    <n v="7.9498685999999999E-2"/>
  </r>
  <r>
    <x v="0"/>
    <x v="3"/>
    <x v="0"/>
    <x v="11"/>
    <x v="0"/>
    <x v="0"/>
    <n v="868.86497921299997"/>
  </r>
  <r>
    <x v="0"/>
    <x v="3"/>
    <x v="1"/>
    <x v="11"/>
    <x v="0"/>
    <x v="1"/>
    <n v="8.3026493000000007E-2"/>
  </r>
  <r>
    <x v="0"/>
    <x v="3"/>
    <x v="2"/>
    <x v="11"/>
    <x v="0"/>
    <x v="1"/>
    <n v="730.07721315200001"/>
  </r>
  <r>
    <x v="0"/>
    <x v="3"/>
    <x v="3"/>
    <x v="11"/>
    <x v="0"/>
    <x v="1"/>
    <n v="7.2112246000000005E-2"/>
  </r>
  <r>
    <x v="0"/>
    <x v="3"/>
    <x v="0"/>
    <x v="12"/>
    <x v="0"/>
    <x v="0"/>
    <n v="257.81448558099999"/>
  </r>
  <r>
    <x v="0"/>
    <x v="3"/>
    <x v="1"/>
    <x v="12"/>
    <x v="0"/>
    <x v="1"/>
    <n v="8.4221897000000004E-2"/>
  </r>
  <r>
    <x v="0"/>
    <x v="3"/>
    <x v="2"/>
    <x v="12"/>
    <x v="0"/>
    <x v="1"/>
    <n v="206.54564295200001"/>
  </r>
  <r>
    <x v="0"/>
    <x v="3"/>
    <x v="3"/>
    <x v="12"/>
    <x v="0"/>
    <x v="1"/>
    <n v="9.3346346999999996E-2"/>
  </r>
  <r>
    <x v="0"/>
    <x v="3"/>
    <x v="0"/>
    <x v="13"/>
    <x v="0"/>
    <x v="0"/>
    <n v="710.85748517900004"/>
  </r>
  <r>
    <x v="0"/>
    <x v="3"/>
    <x v="1"/>
    <x v="13"/>
    <x v="0"/>
    <x v="1"/>
    <n v="6.9244871999999999E-2"/>
  </r>
  <r>
    <x v="0"/>
    <x v="3"/>
    <x v="2"/>
    <x v="13"/>
    <x v="0"/>
    <x v="1"/>
    <n v="603.28275318099998"/>
  </r>
  <r>
    <x v="0"/>
    <x v="3"/>
    <x v="3"/>
    <x v="13"/>
    <x v="0"/>
    <x v="1"/>
    <n v="6.2402746000000002E-2"/>
  </r>
  <r>
    <x v="0"/>
    <x v="3"/>
    <x v="0"/>
    <x v="14"/>
    <x v="0"/>
    <x v="0"/>
    <n v="191.722711492"/>
  </r>
  <r>
    <x v="0"/>
    <x v="3"/>
    <x v="1"/>
    <x v="14"/>
    <x v="0"/>
    <x v="1"/>
    <n v="7.8796583000000003E-2"/>
  </r>
  <r>
    <x v="0"/>
    <x v="3"/>
    <x v="2"/>
    <x v="14"/>
    <x v="0"/>
    <x v="1"/>
    <n v="160.01598724999999"/>
  </r>
  <r>
    <x v="0"/>
    <x v="3"/>
    <x v="3"/>
    <x v="14"/>
    <x v="0"/>
    <x v="1"/>
    <n v="9.9480968000000003E-2"/>
  </r>
  <r>
    <x v="0"/>
    <x v="3"/>
    <x v="0"/>
    <x v="15"/>
    <x v="0"/>
    <x v="0"/>
    <n v="215.08726207300001"/>
  </r>
  <r>
    <x v="0"/>
    <x v="3"/>
    <x v="1"/>
    <x v="15"/>
    <x v="0"/>
    <x v="1"/>
    <n v="8.4211922999999994E-2"/>
  </r>
  <r>
    <x v="0"/>
    <x v="3"/>
    <x v="2"/>
    <x v="15"/>
    <x v="0"/>
    <x v="1"/>
    <n v="177.70256467199999"/>
  </r>
  <r>
    <x v="0"/>
    <x v="3"/>
    <x v="3"/>
    <x v="15"/>
    <x v="0"/>
    <x v="1"/>
    <n v="0.108007614"/>
  </r>
  <r>
    <x v="0"/>
    <x v="3"/>
    <x v="0"/>
    <x v="16"/>
    <x v="0"/>
    <x v="0"/>
    <n v="137.80899425800001"/>
  </r>
  <r>
    <x v="0"/>
    <x v="3"/>
    <x v="1"/>
    <x v="16"/>
    <x v="0"/>
    <x v="1"/>
    <n v="8.5267180999999997E-2"/>
  </r>
  <r>
    <x v="0"/>
    <x v="3"/>
    <x v="2"/>
    <x v="16"/>
    <x v="0"/>
    <x v="1"/>
    <n v="112.616269593"/>
  </r>
  <r>
    <x v="0"/>
    <x v="3"/>
    <x v="3"/>
    <x v="16"/>
    <x v="0"/>
    <x v="1"/>
    <n v="0.10645124"/>
  </r>
  <r>
    <x v="0"/>
    <x v="3"/>
    <x v="0"/>
    <x v="17"/>
    <x v="0"/>
    <x v="0"/>
    <n v="318.60822540499998"/>
  </r>
  <r>
    <x v="0"/>
    <x v="3"/>
    <x v="1"/>
    <x v="17"/>
    <x v="0"/>
    <x v="1"/>
    <n v="8.6148451000000001E-2"/>
  </r>
  <r>
    <x v="0"/>
    <x v="3"/>
    <x v="2"/>
    <x v="17"/>
    <x v="0"/>
    <x v="1"/>
    <n v="266.45919755699998"/>
  </r>
  <r>
    <x v="0"/>
    <x v="3"/>
    <x v="3"/>
    <x v="17"/>
    <x v="0"/>
    <x v="1"/>
    <n v="0.103316006"/>
  </r>
  <r>
    <x v="0"/>
    <x v="3"/>
    <x v="0"/>
    <x v="18"/>
    <x v="0"/>
    <x v="0"/>
    <n v="275.87010109800002"/>
  </r>
  <r>
    <x v="0"/>
    <x v="3"/>
    <x v="1"/>
    <x v="18"/>
    <x v="0"/>
    <x v="1"/>
    <n v="7.8479885999999999E-2"/>
  </r>
  <r>
    <x v="0"/>
    <x v="3"/>
    <x v="2"/>
    <x v="18"/>
    <x v="0"/>
    <x v="1"/>
    <n v="236.69096588900001"/>
  </r>
  <r>
    <x v="0"/>
    <x v="3"/>
    <x v="3"/>
    <x v="18"/>
    <x v="0"/>
    <x v="1"/>
    <n v="8.5862340999999995E-2"/>
  </r>
  <r>
    <x v="0"/>
    <x v="3"/>
    <x v="0"/>
    <x v="19"/>
    <x v="0"/>
    <x v="0"/>
    <n v="324.26628679999999"/>
  </r>
  <r>
    <x v="0"/>
    <x v="3"/>
    <x v="1"/>
    <x v="19"/>
    <x v="0"/>
    <x v="1"/>
    <n v="8.5757173000000006E-2"/>
  </r>
  <r>
    <x v="0"/>
    <x v="3"/>
    <x v="2"/>
    <x v="19"/>
    <x v="0"/>
    <x v="1"/>
    <n v="274.85999472100002"/>
  </r>
  <r>
    <x v="0"/>
    <x v="3"/>
    <x v="3"/>
    <x v="19"/>
    <x v="0"/>
    <x v="1"/>
    <n v="0.11649896899999999"/>
  </r>
  <r>
    <x v="0"/>
    <x v="3"/>
    <x v="0"/>
    <x v="20"/>
    <x v="0"/>
    <x v="0"/>
    <n v="38.776778079000003"/>
  </r>
  <r>
    <x v="0"/>
    <x v="3"/>
    <x v="1"/>
    <x v="20"/>
    <x v="0"/>
    <x v="1"/>
    <n v="8.3629423999999994E-2"/>
  </r>
  <r>
    <x v="0"/>
    <x v="3"/>
    <x v="2"/>
    <x v="20"/>
    <x v="0"/>
    <x v="1"/>
    <n v="31.089193175999998"/>
  </r>
  <r>
    <x v="0"/>
    <x v="3"/>
    <x v="3"/>
    <x v="20"/>
    <x v="0"/>
    <x v="1"/>
    <n v="9.7642456000000002E-2"/>
  </r>
  <r>
    <x v="0"/>
    <x v="3"/>
    <x v="0"/>
    <x v="21"/>
    <x v="0"/>
    <x v="0"/>
    <n v="16.791728212999999"/>
  </r>
  <r>
    <x v="0"/>
    <x v="3"/>
    <x v="1"/>
    <x v="21"/>
    <x v="0"/>
    <x v="1"/>
    <n v="9.5411222000000004E-2"/>
  </r>
  <r>
    <x v="0"/>
    <x v="3"/>
    <x v="2"/>
    <x v="21"/>
    <x v="0"/>
    <x v="1"/>
    <n v="13.752837413"/>
  </r>
  <r>
    <x v="0"/>
    <x v="3"/>
    <x v="3"/>
    <x v="21"/>
    <x v="0"/>
    <x v="1"/>
    <n v="0.111971846"/>
  </r>
  <r>
    <x v="0"/>
    <x v="3"/>
    <x v="0"/>
    <x v="22"/>
    <x v="0"/>
    <x v="0"/>
    <n v="75.700250494000002"/>
  </r>
  <r>
    <x v="0"/>
    <x v="3"/>
    <x v="1"/>
    <x v="22"/>
    <x v="0"/>
    <x v="1"/>
    <n v="2.1836747E-2"/>
  </r>
  <r>
    <x v="0"/>
    <x v="3"/>
    <x v="2"/>
    <x v="22"/>
    <x v="0"/>
    <x v="1"/>
    <n v="18.192069732"/>
  </r>
  <r>
    <x v="0"/>
    <x v="3"/>
    <x v="3"/>
    <x v="22"/>
    <x v="0"/>
    <x v="1"/>
    <n v="6.7445960000000003E-3"/>
  </r>
  <r>
    <x v="0"/>
    <x v="3"/>
    <x v="0"/>
    <x v="23"/>
    <x v="0"/>
    <x v="0"/>
    <n v="7.3822288150000004"/>
  </r>
  <r>
    <x v="0"/>
    <x v="3"/>
    <x v="1"/>
    <x v="23"/>
    <x v="0"/>
    <x v="1"/>
    <n v="9.6161370999999995E-2"/>
  </r>
  <r>
    <x v="0"/>
    <x v="3"/>
    <x v="2"/>
    <x v="23"/>
    <x v="0"/>
    <x v="1"/>
    <n v="6.0877837589999997"/>
  </r>
  <r>
    <x v="0"/>
    <x v="3"/>
    <x v="3"/>
    <x v="23"/>
    <x v="0"/>
    <x v="1"/>
    <n v="0.172235784"/>
  </r>
  <r>
    <x v="0"/>
    <x v="3"/>
    <x v="0"/>
    <x v="24"/>
    <x v="0"/>
    <x v="0"/>
    <n v="400.183901843"/>
  </r>
  <r>
    <x v="0"/>
    <x v="3"/>
    <x v="1"/>
    <x v="24"/>
    <x v="0"/>
    <x v="1"/>
    <n v="7.4709960000000006E-2"/>
  </r>
  <r>
    <x v="0"/>
    <x v="3"/>
    <x v="2"/>
    <x v="24"/>
    <x v="0"/>
    <x v="1"/>
    <n v="313.85432260499999"/>
  </r>
  <r>
    <x v="0"/>
    <x v="3"/>
    <x v="3"/>
    <x v="24"/>
    <x v="0"/>
    <x v="1"/>
    <n v="5.6935261000000001E-2"/>
  </r>
  <r>
    <x v="0"/>
    <x v="3"/>
    <x v="0"/>
    <x v="25"/>
    <x v="0"/>
    <x v="0"/>
    <n v="26.590005069"/>
  </r>
  <r>
    <x v="0"/>
    <x v="3"/>
    <x v="1"/>
    <x v="25"/>
    <x v="0"/>
    <x v="1"/>
    <n v="6.4868789999999996E-2"/>
  </r>
  <r>
    <x v="0"/>
    <x v="3"/>
    <x v="2"/>
    <x v="25"/>
    <x v="0"/>
    <x v="1"/>
    <n v="21.425157934000001"/>
  </r>
  <r>
    <x v="0"/>
    <x v="3"/>
    <x v="3"/>
    <x v="25"/>
    <x v="0"/>
    <x v="1"/>
    <n v="5.1674455000000001E-2"/>
  </r>
  <r>
    <x v="0"/>
    <x v="3"/>
    <x v="0"/>
    <x v="26"/>
    <x v="0"/>
    <x v="0"/>
    <n v="11.65812906"/>
  </r>
  <r>
    <x v="0"/>
    <x v="3"/>
    <x v="1"/>
    <x v="26"/>
    <x v="0"/>
    <x v="1"/>
    <n v="9.3647430000000004E-2"/>
  </r>
  <r>
    <x v="0"/>
    <x v="3"/>
    <x v="2"/>
    <x v="26"/>
    <x v="0"/>
    <x v="1"/>
    <n v="6.9022500249999998"/>
  </r>
  <r>
    <x v="0"/>
    <x v="3"/>
    <x v="3"/>
    <x v="26"/>
    <x v="0"/>
    <x v="1"/>
    <n v="0.107857287"/>
  </r>
  <r>
    <x v="0"/>
    <x v="3"/>
    <x v="0"/>
    <x v="27"/>
    <x v="0"/>
    <x v="0"/>
    <n v="552.74013874900004"/>
  </r>
  <r>
    <x v="0"/>
    <x v="3"/>
    <x v="1"/>
    <x v="27"/>
    <x v="0"/>
    <x v="1"/>
    <n v="9.6288113999999994E-2"/>
  </r>
  <r>
    <x v="0"/>
    <x v="3"/>
    <x v="2"/>
    <x v="27"/>
    <x v="0"/>
    <x v="1"/>
    <n v="426.3978773"/>
  </r>
  <r>
    <x v="0"/>
    <x v="3"/>
    <x v="3"/>
    <x v="27"/>
    <x v="0"/>
    <x v="1"/>
    <n v="0.146220926"/>
  </r>
  <r>
    <x v="0"/>
    <x v="3"/>
    <x v="0"/>
    <x v="28"/>
    <x v="0"/>
    <x v="0"/>
    <n v="607.92773128099998"/>
  </r>
  <r>
    <x v="0"/>
    <x v="3"/>
    <x v="1"/>
    <x v="28"/>
    <x v="0"/>
    <x v="1"/>
    <n v="7.8903294999999998E-2"/>
  </r>
  <r>
    <x v="0"/>
    <x v="3"/>
    <x v="2"/>
    <x v="28"/>
    <x v="0"/>
    <x v="1"/>
    <n v="325.48464767899998"/>
  </r>
  <r>
    <x v="0"/>
    <x v="3"/>
    <x v="3"/>
    <x v="28"/>
    <x v="0"/>
    <x v="1"/>
    <n v="7.9383980000000007E-2"/>
  </r>
  <r>
    <x v="0"/>
    <x v="3"/>
    <x v="0"/>
    <x v="29"/>
    <x v="0"/>
    <x v="0"/>
    <n v="484.61319400399998"/>
  </r>
  <r>
    <x v="0"/>
    <x v="3"/>
    <x v="1"/>
    <x v="29"/>
    <x v="0"/>
    <x v="1"/>
    <n v="8.5683404000000005E-2"/>
  </r>
  <r>
    <x v="0"/>
    <x v="3"/>
    <x v="2"/>
    <x v="29"/>
    <x v="0"/>
    <x v="1"/>
    <n v="311.043046989"/>
  </r>
  <r>
    <x v="0"/>
    <x v="3"/>
    <x v="3"/>
    <x v="29"/>
    <x v="0"/>
    <x v="1"/>
    <n v="9.2446773999999995E-2"/>
  </r>
  <r>
    <x v="0"/>
    <x v="3"/>
    <x v="0"/>
    <x v="30"/>
    <x v="0"/>
    <x v="0"/>
    <n v="126.923503888"/>
  </r>
  <r>
    <x v="0"/>
    <x v="3"/>
    <x v="1"/>
    <x v="30"/>
    <x v="0"/>
    <x v="1"/>
    <n v="0.131427078"/>
  </r>
  <r>
    <x v="0"/>
    <x v="3"/>
    <x v="2"/>
    <x v="30"/>
    <x v="0"/>
    <x v="1"/>
    <n v="79.720412850000002"/>
  </r>
  <r>
    <x v="0"/>
    <x v="3"/>
    <x v="3"/>
    <x v="30"/>
    <x v="0"/>
    <x v="1"/>
    <n v="0.15391034100000001"/>
  </r>
  <r>
    <x v="0"/>
    <x v="3"/>
    <x v="0"/>
    <x v="31"/>
    <x v="0"/>
    <x v="0"/>
    <n v="201.78741044399999"/>
  </r>
  <r>
    <x v="0"/>
    <x v="3"/>
    <x v="1"/>
    <x v="31"/>
    <x v="0"/>
    <x v="1"/>
    <n v="6.7281535000000003E-2"/>
  </r>
  <r>
    <x v="0"/>
    <x v="3"/>
    <x v="2"/>
    <x v="31"/>
    <x v="0"/>
    <x v="1"/>
    <n v="110.95364818500001"/>
  </r>
  <r>
    <x v="0"/>
    <x v="3"/>
    <x v="3"/>
    <x v="31"/>
    <x v="0"/>
    <x v="1"/>
    <n v="5.2941305000000001E-2"/>
  </r>
  <r>
    <x v="0"/>
    <x v="3"/>
    <x v="0"/>
    <x v="32"/>
    <x v="0"/>
    <x v="0"/>
    <n v="620.89933486500001"/>
  </r>
  <r>
    <x v="0"/>
    <x v="3"/>
    <x v="1"/>
    <x v="32"/>
    <x v="0"/>
    <x v="1"/>
    <n v="7.0635063999999997E-2"/>
  </r>
  <r>
    <x v="0"/>
    <x v="3"/>
    <x v="2"/>
    <x v="32"/>
    <x v="0"/>
    <x v="1"/>
    <n v="292.04457432200002"/>
  </r>
  <r>
    <x v="0"/>
    <x v="3"/>
    <x v="3"/>
    <x v="32"/>
    <x v="0"/>
    <x v="1"/>
    <n v="6.0224078E-2"/>
  </r>
  <r>
    <x v="0"/>
    <x v="3"/>
    <x v="0"/>
    <x v="33"/>
    <x v="0"/>
    <x v="0"/>
    <n v="658.95179743100005"/>
  </r>
  <r>
    <x v="0"/>
    <x v="3"/>
    <x v="1"/>
    <x v="33"/>
    <x v="0"/>
    <x v="1"/>
    <n v="4.3368226000000003E-2"/>
  </r>
  <r>
    <x v="0"/>
    <x v="3"/>
    <x v="2"/>
    <x v="33"/>
    <x v="0"/>
    <x v="1"/>
    <n v="253.88541628300001"/>
  </r>
  <r>
    <x v="0"/>
    <x v="3"/>
    <x v="3"/>
    <x v="33"/>
    <x v="0"/>
    <x v="1"/>
    <n v="2.2491777000000001E-2"/>
  </r>
  <r>
    <x v="0"/>
    <x v="3"/>
    <x v="0"/>
    <x v="34"/>
    <x v="0"/>
    <x v="0"/>
    <n v="297.01965117200001"/>
  </r>
  <r>
    <x v="0"/>
    <x v="3"/>
    <x v="1"/>
    <x v="34"/>
    <x v="0"/>
    <x v="1"/>
    <n v="9.2350043000000007E-2"/>
  </r>
  <r>
    <x v="0"/>
    <x v="3"/>
    <x v="2"/>
    <x v="34"/>
    <x v="0"/>
    <x v="1"/>
    <n v="209.94674164200001"/>
  </r>
  <r>
    <x v="0"/>
    <x v="3"/>
    <x v="3"/>
    <x v="34"/>
    <x v="0"/>
    <x v="1"/>
    <n v="0.10548885400000001"/>
  </r>
  <r>
    <x v="0"/>
    <x v="3"/>
    <x v="0"/>
    <x v="35"/>
    <x v="0"/>
    <x v="0"/>
    <n v="188.64469653399999"/>
  </r>
  <r>
    <x v="0"/>
    <x v="3"/>
    <x v="1"/>
    <x v="35"/>
    <x v="0"/>
    <x v="1"/>
    <n v="9.6086087000000001E-2"/>
  </r>
  <r>
    <x v="0"/>
    <x v="3"/>
    <x v="2"/>
    <x v="35"/>
    <x v="0"/>
    <x v="1"/>
    <n v="123.85196196699999"/>
  </r>
  <r>
    <x v="0"/>
    <x v="3"/>
    <x v="3"/>
    <x v="35"/>
    <x v="0"/>
    <x v="1"/>
    <n v="0.11297191400000001"/>
  </r>
  <r>
    <x v="0"/>
    <x v="3"/>
    <x v="0"/>
    <x v="36"/>
    <x v="0"/>
    <x v="0"/>
    <n v="51.081257966999999"/>
  </r>
  <r>
    <x v="0"/>
    <x v="3"/>
    <x v="1"/>
    <x v="36"/>
    <x v="0"/>
    <x v="1"/>
    <n v="0.10494664500000001"/>
  </r>
  <r>
    <x v="0"/>
    <x v="3"/>
    <x v="2"/>
    <x v="36"/>
    <x v="0"/>
    <x v="1"/>
    <n v="30.174902120999999"/>
  </r>
  <r>
    <x v="0"/>
    <x v="3"/>
    <x v="3"/>
    <x v="36"/>
    <x v="0"/>
    <x v="1"/>
    <n v="0.117392489"/>
  </r>
  <r>
    <x v="0"/>
    <x v="3"/>
    <x v="0"/>
    <x v="37"/>
    <x v="0"/>
    <x v="0"/>
    <n v="93.802320227999999"/>
  </r>
  <r>
    <x v="0"/>
    <x v="3"/>
    <x v="1"/>
    <x v="37"/>
    <x v="0"/>
    <x v="1"/>
    <n v="0.117771968"/>
  </r>
  <r>
    <x v="0"/>
    <x v="3"/>
    <x v="2"/>
    <x v="37"/>
    <x v="0"/>
    <x v="1"/>
    <n v="49.298753210000001"/>
  </r>
  <r>
    <x v="0"/>
    <x v="3"/>
    <x v="3"/>
    <x v="37"/>
    <x v="0"/>
    <x v="1"/>
    <n v="0.15490267299999999"/>
  </r>
  <r>
    <x v="0"/>
    <x v="3"/>
    <x v="0"/>
    <x v="38"/>
    <x v="0"/>
    <x v="0"/>
    <n v="157.07995910700001"/>
  </r>
  <r>
    <x v="0"/>
    <x v="3"/>
    <x v="1"/>
    <x v="38"/>
    <x v="0"/>
    <x v="1"/>
    <n v="0.16439003899999999"/>
  </r>
  <r>
    <x v="0"/>
    <x v="3"/>
    <x v="2"/>
    <x v="38"/>
    <x v="0"/>
    <x v="1"/>
    <n v="42.422444208000002"/>
  </r>
  <r>
    <x v="0"/>
    <x v="3"/>
    <x v="3"/>
    <x v="38"/>
    <x v="0"/>
    <x v="1"/>
    <n v="0.19040381000000001"/>
  </r>
  <r>
    <x v="0"/>
    <x v="3"/>
    <x v="0"/>
    <x v="39"/>
    <x v="0"/>
    <x v="0"/>
    <n v="95.520263764000006"/>
  </r>
  <r>
    <x v="0"/>
    <x v="3"/>
    <x v="1"/>
    <x v="39"/>
    <x v="0"/>
    <x v="1"/>
    <n v="0.127531806"/>
  </r>
  <r>
    <x v="0"/>
    <x v="3"/>
    <x v="2"/>
    <x v="39"/>
    <x v="0"/>
    <x v="1"/>
    <n v="54.669530430000002"/>
  </r>
  <r>
    <x v="0"/>
    <x v="3"/>
    <x v="3"/>
    <x v="39"/>
    <x v="0"/>
    <x v="1"/>
    <n v="0.18472122099999999"/>
  </r>
  <r>
    <x v="0"/>
    <x v="3"/>
    <x v="0"/>
    <x v="40"/>
    <x v="0"/>
    <x v="0"/>
    <n v="47.581113811999998"/>
  </r>
  <r>
    <x v="0"/>
    <x v="3"/>
    <x v="1"/>
    <x v="40"/>
    <x v="0"/>
    <x v="1"/>
    <n v="0.10487244699999999"/>
  </r>
  <r>
    <x v="0"/>
    <x v="3"/>
    <x v="2"/>
    <x v="40"/>
    <x v="0"/>
    <x v="1"/>
    <n v="25.501427451000001"/>
  </r>
  <r>
    <x v="0"/>
    <x v="3"/>
    <x v="3"/>
    <x v="40"/>
    <x v="0"/>
    <x v="1"/>
    <n v="0.115645752"/>
  </r>
  <r>
    <x v="0"/>
    <x v="3"/>
    <x v="0"/>
    <x v="41"/>
    <x v="0"/>
    <x v="0"/>
    <n v="336.917918504"/>
  </r>
  <r>
    <x v="0"/>
    <x v="3"/>
    <x v="1"/>
    <x v="41"/>
    <x v="0"/>
    <x v="1"/>
    <n v="0.15327880399999999"/>
  </r>
  <r>
    <x v="0"/>
    <x v="3"/>
    <x v="2"/>
    <x v="41"/>
    <x v="0"/>
    <x v="1"/>
    <n v="135.582734257"/>
  </r>
  <r>
    <x v="0"/>
    <x v="3"/>
    <x v="3"/>
    <x v="41"/>
    <x v="0"/>
    <x v="1"/>
    <n v="0.19315275500000001"/>
  </r>
  <r>
    <x v="0"/>
    <x v="3"/>
    <x v="4"/>
    <x v="0"/>
    <x v="1"/>
    <x v="0"/>
    <n v="114.75808222800001"/>
  </r>
  <r>
    <x v="0"/>
    <x v="3"/>
    <x v="5"/>
    <x v="0"/>
    <x v="1"/>
    <x v="1"/>
    <n v="8.8225700000000001E-4"/>
  </r>
  <r>
    <x v="0"/>
    <x v="3"/>
    <x v="6"/>
    <x v="0"/>
    <x v="1"/>
    <x v="1"/>
    <n v="0.493672948"/>
  </r>
  <r>
    <x v="0"/>
    <x v="3"/>
    <x v="4"/>
    <x v="1"/>
    <x v="1"/>
    <x v="0"/>
    <n v="173.83972391"/>
  </r>
  <r>
    <x v="0"/>
    <x v="3"/>
    <x v="5"/>
    <x v="1"/>
    <x v="1"/>
    <x v="1"/>
    <n v="1.1628669999999999E-3"/>
  </r>
  <r>
    <x v="0"/>
    <x v="3"/>
    <x v="6"/>
    <x v="1"/>
    <x v="1"/>
    <x v="1"/>
    <n v="0.493672948"/>
  </r>
  <r>
    <x v="0"/>
    <x v="3"/>
    <x v="4"/>
    <x v="2"/>
    <x v="1"/>
    <x v="0"/>
    <n v="266.02121580400001"/>
  </r>
  <r>
    <x v="0"/>
    <x v="3"/>
    <x v="5"/>
    <x v="2"/>
    <x v="1"/>
    <x v="1"/>
    <n v="2.7484789999999999E-3"/>
  </r>
  <r>
    <x v="0"/>
    <x v="3"/>
    <x v="6"/>
    <x v="2"/>
    <x v="1"/>
    <x v="1"/>
    <n v="0.493672948"/>
  </r>
  <r>
    <x v="0"/>
    <x v="3"/>
    <x v="4"/>
    <x v="3"/>
    <x v="1"/>
    <x v="0"/>
    <n v="103.671943297"/>
  </r>
  <r>
    <x v="0"/>
    <x v="3"/>
    <x v="5"/>
    <x v="3"/>
    <x v="1"/>
    <x v="1"/>
    <n v="1.097722E-3"/>
  </r>
  <r>
    <x v="0"/>
    <x v="3"/>
    <x v="6"/>
    <x v="3"/>
    <x v="1"/>
    <x v="1"/>
    <n v="0.493672948"/>
  </r>
  <r>
    <x v="0"/>
    <x v="3"/>
    <x v="4"/>
    <x v="4"/>
    <x v="1"/>
    <x v="0"/>
    <n v="45.683241051000003"/>
  </r>
  <r>
    <x v="0"/>
    <x v="3"/>
    <x v="5"/>
    <x v="4"/>
    <x v="1"/>
    <x v="1"/>
    <n v="1.0186049999999999E-3"/>
  </r>
  <r>
    <x v="0"/>
    <x v="3"/>
    <x v="6"/>
    <x v="4"/>
    <x v="1"/>
    <x v="1"/>
    <n v="0.493672948"/>
  </r>
  <r>
    <x v="0"/>
    <x v="3"/>
    <x v="4"/>
    <x v="5"/>
    <x v="1"/>
    <x v="0"/>
    <n v="335.281012627"/>
  </r>
  <r>
    <x v="0"/>
    <x v="3"/>
    <x v="5"/>
    <x v="5"/>
    <x v="1"/>
    <x v="1"/>
    <n v="4.5553E-4"/>
  </r>
  <r>
    <x v="0"/>
    <x v="3"/>
    <x v="6"/>
    <x v="5"/>
    <x v="1"/>
    <x v="1"/>
    <n v="0.493672948"/>
  </r>
  <r>
    <x v="0"/>
    <x v="3"/>
    <x v="4"/>
    <x v="6"/>
    <x v="1"/>
    <x v="0"/>
    <n v="98.277706160999998"/>
  </r>
  <r>
    <x v="0"/>
    <x v="3"/>
    <x v="5"/>
    <x v="6"/>
    <x v="1"/>
    <x v="1"/>
    <n v="3.0724799999999998E-4"/>
  </r>
  <r>
    <x v="0"/>
    <x v="3"/>
    <x v="6"/>
    <x v="6"/>
    <x v="1"/>
    <x v="1"/>
    <n v="0.493672948"/>
  </r>
  <r>
    <x v="0"/>
    <x v="3"/>
    <x v="4"/>
    <x v="7"/>
    <x v="1"/>
    <x v="0"/>
    <n v="71.691191821000004"/>
  </r>
  <r>
    <x v="0"/>
    <x v="3"/>
    <x v="5"/>
    <x v="7"/>
    <x v="1"/>
    <x v="1"/>
    <n v="2.4815500000000001E-4"/>
  </r>
  <r>
    <x v="0"/>
    <x v="3"/>
    <x v="6"/>
    <x v="7"/>
    <x v="1"/>
    <x v="1"/>
    <n v="0.493672948"/>
  </r>
  <r>
    <x v="0"/>
    <x v="3"/>
    <x v="4"/>
    <x v="8"/>
    <x v="1"/>
    <x v="0"/>
    <n v="58.504560634999997"/>
  </r>
  <r>
    <x v="0"/>
    <x v="3"/>
    <x v="5"/>
    <x v="8"/>
    <x v="1"/>
    <x v="1"/>
    <n v="3.0055099999999998E-4"/>
  </r>
  <r>
    <x v="0"/>
    <x v="3"/>
    <x v="6"/>
    <x v="8"/>
    <x v="1"/>
    <x v="1"/>
    <n v="0.493672948"/>
  </r>
  <r>
    <x v="0"/>
    <x v="3"/>
    <x v="4"/>
    <x v="9"/>
    <x v="1"/>
    <x v="0"/>
    <n v="117.26992369600001"/>
  </r>
  <r>
    <x v="0"/>
    <x v="3"/>
    <x v="5"/>
    <x v="9"/>
    <x v="1"/>
    <x v="1"/>
    <n v="6.4442700000000004E-4"/>
  </r>
  <r>
    <x v="0"/>
    <x v="3"/>
    <x v="6"/>
    <x v="9"/>
    <x v="1"/>
    <x v="1"/>
    <n v="0.493672948"/>
  </r>
  <r>
    <x v="0"/>
    <x v="3"/>
    <x v="4"/>
    <x v="10"/>
    <x v="1"/>
    <x v="0"/>
    <n v="89.265997549999994"/>
  </r>
  <r>
    <x v="0"/>
    <x v="3"/>
    <x v="5"/>
    <x v="10"/>
    <x v="1"/>
    <x v="1"/>
    <n v="7.1019799999999999E-4"/>
  </r>
  <r>
    <x v="0"/>
    <x v="3"/>
    <x v="6"/>
    <x v="10"/>
    <x v="1"/>
    <x v="1"/>
    <n v="0.493672948"/>
  </r>
  <r>
    <x v="0"/>
    <x v="3"/>
    <x v="4"/>
    <x v="11"/>
    <x v="1"/>
    <x v="0"/>
    <n v="489.98753677000002"/>
  </r>
  <r>
    <x v="0"/>
    <x v="3"/>
    <x v="5"/>
    <x v="11"/>
    <x v="1"/>
    <x v="1"/>
    <n v="5.1203299999999995E-4"/>
  </r>
  <r>
    <x v="0"/>
    <x v="3"/>
    <x v="6"/>
    <x v="11"/>
    <x v="1"/>
    <x v="1"/>
    <n v="0.493672948"/>
  </r>
  <r>
    <x v="0"/>
    <x v="3"/>
    <x v="4"/>
    <x v="12"/>
    <x v="1"/>
    <x v="0"/>
    <n v="177.72816066999999"/>
  </r>
  <r>
    <x v="0"/>
    <x v="3"/>
    <x v="5"/>
    <x v="12"/>
    <x v="1"/>
    <x v="1"/>
    <n v="3.5650299999999998E-4"/>
  </r>
  <r>
    <x v="0"/>
    <x v="3"/>
    <x v="6"/>
    <x v="12"/>
    <x v="1"/>
    <x v="1"/>
    <n v="0.493672948"/>
  </r>
  <r>
    <x v="0"/>
    <x v="3"/>
    <x v="4"/>
    <x v="13"/>
    <x v="1"/>
    <x v="0"/>
    <n v="418.673967232"/>
  </r>
  <r>
    <x v="0"/>
    <x v="3"/>
    <x v="5"/>
    <x v="13"/>
    <x v="1"/>
    <x v="1"/>
    <n v="3.9637800000000002E-4"/>
  </r>
  <r>
    <x v="0"/>
    <x v="3"/>
    <x v="6"/>
    <x v="13"/>
    <x v="1"/>
    <x v="1"/>
    <n v="0.493672948"/>
  </r>
  <r>
    <x v="0"/>
    <x v="3"/>
    <x v="4"/>
    <x v="14"/>
    <x v="1"/>
    <x v="0"/>
    <n v="102.00844872499999"/>
  </r>
  <r>
    <x v="0"/>
    <x v="3"/>
    <x v="5"/>
    <x v="14"/>
    <x v="1"/>
    <x v="1"/>
    <n v="4.1805599999999998E-4"/>
  </r>
  <r>
    <x v="0"/>
    <x v="3"/>
    <x v="6"/>
    <x v="14"/>
    <x v="1"/>
    <x v="1"/>
    <n v="0.493672948"/>
  </r>
  <r>
    <x v="0"/>
    <x v="3"/>
    <x v="4"/>
    <x v="15"/>
    <x v="1"/>
    <x v="0"/>
    <n v="120.717687582"/>
  </r>
  <r>
    <x v="0"/>
    <x v="3"/>
    <x v="5"/>
    <x v="15"/>
    <x v="1"/>
    <x v="1"/>
    <n v="3.2661099999999998E-4"/>
  </r>
  <r>
    <x v="0"/>
    <x v="3"/>
    <x v="6"/>
    <x v="15"/>
    <x v="1"/>
    <x v="1"/>
    <n v="0.493672948"/>
  </r>
  <r>
    <x v="0"/>
    <x v="3"/>
    <x v="4"/>
    <x v="16"/>
    <x v="1"/>
    <x v="0"/>
    <n v="87.654490600000003"/>
  </r>
  <r>
    <x v="0"/>
    <x v="3"/>
    <x v="5"/>
    <x v="16"/>
    <x v="1"/>
    <x v="1"/>
    <n v="2.5052899999999999E-4"/>
  </r>
  <r>
    <x v="0"/>
    <x v="3"/>
    <x v="6"/>
    <x v="16"/>
    <x v="1"/>
    <x v="1"/>
    <n v="0.493672948"/>
  </r>
  <r>
    <x v="0"/>
    <x v="3"/>
    <x v="4"/>
    <x v="17"/>
    <x v="1"/>
    <x v="0"/>
    <n v="177.10045735200001"/>
  </r>
  <r>
    <x v="0"/>
    <x v="3"/>
    <x v="5"/>
    <x v="17"/>
    <x v="1"/>
    <x v="1"/>
    <n v="3.0167699999999998E-4"/>
  </r>
  <r>
    <x v="0"/>
    <x v="3"/>
    <x v="6"/>
    <x v="17"/>
    <x v="1"/>
    <x v="1"/>
    <n v="0.493672948"/>
  </r>
  <r>
    <x v="0"/>
    <x v="3"/>
    <x v="4"/>
    <x v="18"/>
    <x v="1"/>
    <x v="0"/>
    <n v="142.857150598"/>
  </r>
  <r>
    <x v="0"/>
    <x v="3"/>
    <x v="5"/>
    <x v="18"/>
    <x v="1"/>
    <x v="1"/>
    <n v="3.4225599999999998E-4"/>
  </r>
  <r>
    <x v="0"/>
    <x v="3"/>
    <x v="6"/>
    <x v="18"/>
    <x v="1"/>
    <x v="1"/>
    <n v="0.493672948"/>
  </r>
  <r>
    <x v="0"/>
    <x v="3"/>
    <x v="4"/>
    <x v="19"/>
    <x v="1"/>
    <x v="0"/>
    <n v="150.089250241"/>
  </r>
  <r>
    <x v="0"/>
    <x v="3"/>
    <x v="5"/>
    <x v="19"/>
    <x v="1"/>
    <x v="1"/>
    <n v="3.2632400000000002E-4"/>
  </r>
  <r>
    <x v="0"/>
    <x v="3"/>
    <x v="6"/>
    <x v="19"/>
    <x v="1"/>
    <x v="1"/>
    <n v="0.493672948"/>
  </r>
  <r>
    <x v="0"/>
    <x v="3"/>
    <x v="4"/>
    <x v="20"/>
    <x v="1"/>
    <x v="0"/>
    <n v="23.238509053000001"/>
  </r>
  <r>
    <x v="0"/>
    <x v="3"/>
    <x v="5"/>
    <x v="20"/>
    <x v="1"/>
    <x v="1"/>
    <n v="5.6981899999999995E-4"/>
  </r>
  <r>
    <x v="0"/>
    <x v="3"/>
    <x v="6"/>
    <x v="20"/>
    <x v="1"/>
    <x v="1"/>
    <n v="0.493672948"/>
  </r>
  <r>
    <x v="0"/>
    <x v="3"/>
    <x v="4"/>
    <x v="21"/>
    <x v="1"/>
    <x v="0"/>
    <n v="8.4537630509999993"/>
  </r>
  <r>
    <x v="0"/>
    <x v="3"/>
    <x v="5"/>
    <x v="21"/>
    <x v="1"/>
    <x v="1"/>
    <n v="5.4276900000000002E-4"/>
  </r>
  <r>
    <x v="0"/>
    <x v="3"/>
    <x v="6"/>
    <x v="21"/>
    <x v="1"/>
    <x v="1"/>
    <n v="0.493672948"/>
  </r>
  <r>
    <x v="0"/>
    <x v="3"/>
    <x v="4"/>
    <x v="22"/>
    <x v="1"/>
    <x v="0"/>
    <n v="156.71970724900001"/>
  </r>
  <r>
    <x v="0"/>
    <x v="3"/>
    <x v="5"/>
    <x v="22"/>
    <x v="1"/>
    <x v="1"/>
    <n v="9.1122299999999996E-4"/>
  </r>
  <r>
    <x v="0"/>
    <x v="3"/>
    <x v="6"/>
    <x v="22"/>
    <x v="1"/>
    <x v="1"/>
    <n v="0.493672948"/>
  </r>
  <r>
    <x v="0"/>
    <x v="3"/>
    <x v="4"/>
    <x v="23"/>
    <x v="1"/>
    <x v="0"/>
    <n v="1.683158836"/>
  </r>
  <r>
    <x v="0"/>
    <x v="3"/>
    <x v="5"/>
    <x v="23"/>
    <x v="1"/>
    <x v="1"/>
    <n v="8.6368399999999998E-4"/>
  </r>
  <r>
    <x v="0"/>
    <x v="3"/>
    <x v="6"/>
    <x v="23"/>
    <x v="1"/>
    <x v="1"/>
    <n v="0.493672948"/>
  </r>
  <r>
    <x v="0"/>
    <x v="3"/>
    <x v="4"/>
    <x v="24"/>
    <x v="1"/>
    <x v="0"/>
    <n v="310.856585112"/>
  </r>
  <r>
    <x v="0"/>
    <x v="3"/>
    <x v="5"/>
    <x v="24"/>
    <x v="1"/>
    <x v="1"/>
    <n v="5.9004399999999996E-4"/>
  </r>
  <r>
    <x v="0"/>
    <x v="3"/>
    <x v="6"/>
    <x v="24"/>
    <x v="1"/>
    <x v="1"/>
    <n v="0.493672948"/>
  </r>
  <r>
    <x v="0"/>
    <x v="3"/>
    <x v="4"/>
    <x v="25"/>
    <x v="1"/>
    <x v="0"/>
    <n v="18.756643427"/>
  </r>
  <r>
    <x v="0"/>
    <x v="3"/>
    <x v="5"/>
    <x v="25"/>
    <x v="1"/>
    <x v="1"/>
    <n v="6.0280700000000002E-4"/>
  </r>
  <r>
    <x v="0"/>
    <x v="3"/>
    <x v="6"/>
    <x v="25"/>
    <x v="1"/>
    <x v="1"/>
    <n v="0.493672948"/>
  </r>
  <r>
    <x v="0"/>
    <x v="3"/>
    <x v="4"/>
    <x v="26"/>
    <x v="1"/>
    <x v="0"/>
    <n v="13.520394896000001"/>
  </r>
  <r>
    <x v="0"/>
    <x v="3"/>
    <x v="5"/>
    <x v="26"/>
    <x v="1"/>
    <x v="1"/>
    <n v="5.5944700000000003E-4"/>
  </r>
  <r>
    <x v="0"/>
    <x v="3"/>
    <x v="6"/>
    <x v="26"/>
    <x v="1"/>
    <x v="1"/>
    <n v="0.493672948"/>
  </r>
  <r>
    <x v="0"/>
    <x v="3"/>
    <x v="4"/>
    <x v="27"/>
    <x v="1"/>
    <x v="0"/>
    <n v="316.02528188100001"/>
  </r>
  <r>
    <x v="0"/>
    <x v="3"/>
    <x v="5"/>
    <x v="27"/>
    <x v="1"/>
    <x v="1"/>
    <n v="2.37254E-4"/>
  </r>
  <r>
    <x v="0"/>
    <x v="3"/>
    <x v="6"/>
    <x v="27"/>
    <x v="1"/>
    <x v="1"/>
    <n v="0.493672948"/>
  </r>
  <r>
    <x v="0"/>
    <x v="3"/>
    <x v="4"/>
    <x v="28"/>
    <x v="1"/>
    <x v="0"/>
    <n v="893.00225657199996"/>
  </r>
  <r>
    <x v="0"/>
    <x v="3"/>
    <x v="5"/>
    <x v="28"/>
    <x v="1"/>
    <x v="1"/>
    <n v="7.13834E-4"/>
  </r>
  <r>
    <x v="0"/>
    <x v="3"/>
    <x v="6"/>
    <x v="28"/>
    <x v="1"/>
    <x v="1"/>
    <n v="0.493672948"/>
  </r>
  <r>
    <x v="0"/>
    <x v="3"/>
    <x v="4"/>
    <x v="29"/>
    <x v="1"/>
    <x v="0"/>
    <n v="521.394829168"/>
  </r>
  <r>
    <x v="0"/>
    <x v="3"/>
    <x v="5"/>
    <x v="29"/>
    <x v="1"/>
    <x v="1"/>
    <n v="6.6587299999999999E-4"/>
  </r>
  <r>
    <x v="0"/>
    <x v="3"/>
    <x v="6"/>
    <x v="29"/>
    <x v="1"/>
    <x v="1"/>
    <n v="0.493672948"/>
  </r>
  <r>
    <x v="0"/>
    <x v="3"/>
    <x v="4"/>
    <x v="30"/>
    <x v="1"/>
    <x v="0"/>
    <n v="93.832210743000005"/>
  </r>
  <r>
    <x v="0"/>
    <x v="3"/>
    <x v="5"/>
    <x v="30"/>
    <x v="1"/>
    <x v="1"/>
    <n v="4.2592900000000002E-4"/>
  </r>
  <r>
    <x v="0"/>
    <x v="3"/>
    <x v="6"/>
    <x v="30"/>
    <x v="1"/>
    <x v="1"/>
    <n v="0.493672948"/>
  </r>
  <r>
    <x v="0"/>
    <x v="3"/>
    <x v="4"/>
    <x v="31"/>
    <x v="1"/>
    <x v="0"/>
    <n v="336.14758124600002"/>
  </r>
  <r>
    <x v="0"/>
    <x v="3"/>
    <x v="5"/>
    <x v="31"/>
    <x v="1"/>
    <x v="1"/>
    <n v="5.4960899999999995E-4"/>
  </r>
  <r>
    <x v="0"/>
    <x v="3"/>
    <x v="6"/>
    <x v="31"/>
    <x v="1"/>
    <x v="1"/>
    <n v="0.493672948"/>
  </r>
  <r>
    <x v="0"/>
    <x v="3"/>
    <x v="4"/>
    <x v="32"/>
    <x v="1"/>
    <x v="0"/>
    <n v="1050.1397883520001"/>
  </r>
  <r>
    <x v="0"/>
    <x v="3"/>
    <x v="5"/>
    <x v="32"/>
    <x v="1"/>
    <x v="1"/>
    <n v="9.4659200000000001E-4"/>
  </r>
  <r>
    <x v="0"/>
    <x v="3"/>
    <x v="6"/>
    <x v="32"/>
    <x v="1"/>
    <x v="1"/>
    <n v="0.493672948"/>
  </r>
  <r>
    <x v="0"/>
    <x v="3"/>
    <x v="4"/>
    <x v="33"/>
    <x v="1"/>
    <x v="0"/>
    <n v="1236.510766182"/>
  </r>
  <r>
    <x v="0"/>
    <x v="3"/>
    <x v="5"/>
    <x v="33"/>
    <x v="1"/>
    <x v="1"/>
    <n v="1.256301E-3"/>
  </r>
  <r>
    <x v="0"/>
    <x v="3"/>
    <x v="6"/>
    <x v="33"/>
    <x v="1"/>
    <x v="1"/>
    <n v="0.493672948"/>
  </r>
  <r>
    <x v="0"/>
    <x v="3"/>
    <x v="4"/>
    <x v="34"/>
    <x v="1"/>
    <x v="0"/>
    <n v="228.54628432300001"/>
  </r>
  <r>
    <x v="0"/>
    <x v="3"/>
    <x v="5"/>
    <x v="34"/>
    <x v="1"/>
    <x v="1"/>
    <n v="8.4294800000000005E-4"/>
  </r>
  <r>
    <x v="0"/>
    <x v="3"/>
    <x v="6"/>
    <x v="34"/>
    <x v="1"/>
    <x v="1"/>
    <n v="0.493672948"/>
  </r>
  <r>
    <x v="0"/>
    <x v="3"/>
    <x v="4"/>
    <x v="35"/>
    <x v="1"/>
    <x v="0"/>
    <n v="169.54549373699999"/>
  </r>
  <r>
    <x v="0"/>
    <x v="3"/>
    <x v="5"/>
    <x v="35"/>
    <x v="1"/>
    <x v="1"/>
    <n v="6.8280299999999995E-4"/>
  </r>
  <r>
    <x v="0"/>
    <x v="3"/>
    <x v="6"/>
    <x v="35"/>
    <x v="1"/>
    <x v="1"/>
    <n v="0.493672948"/>
  </r>
  <r>
    <x v="0"/>
    <x v="3"/>
    <x v="4"/>
    <x v="36"/>
    <x v="1"/>
    <x v="0"/>
    <n v="50.737502135"/>
  </r>
  <r>
    <x v="0"/>
    <x v="3"/>
    <x v="5"/>
    <x v="36"/>
    <x v="1"/>
    <x v="1"/>
    <n v="8.1911400000000002E-4"/>
  </r>
  <r>
    <x v="0"/>
    <x v="3"/>
    <x v="6"/>
    <x v="36"/>
    <x v="1"/>
    <x v="1"/>
    <n v="0.493672948"/>
  </r>
  <r>
    <x v="0"/>
    <x v="3"/>
    <x v="4"/>
    <x v="37"/>
    <x v="1"/>
    <x v="0"/>
    <n v="83.918853919"/>
  </r>
  <r>
    <x v="0"/>
    <x v="3"/>
    <x v="5"/>
    <x v="37"/>
    <x v="1"/>
    <x v="1"/>
    <n v="5.0518399999999999E-4"/>
  </r>
  <r>
    <x v="0"/>
    <x v="3"/>
    <x v="6"/>
    <x v="37"/>
    <x v="1"/>
    <x v="1"/>
    <n v="0.493672948"/>
  </r>
  <r>
    <x v="0"/>
    <x v="3"/>
    <x v="4"/>
    <x v="38"/>
    <x v="1"/>
    <x v="0"/>
    <n v="107.276758841"/>
  </r>
  <r>
    <x v="0"/>
    <x v="3"/>
    <x v="5"/>
    <x v="38"/>
    <x v="1"/>
    <x v="1"/>
    <n v="7.5799500000000002E-4"/>
  </r>
  <r>
    <x v="0"/>
    <x v="3"/>
    <x v="6"/>
    <x v="38"/>
    <x v="1"/>
    <x v="1"/>
    <n v="0.493672948"/>
  </r>
  <r>
    <x v="0"/>
    <x v="3"/>
    <x v="4"/>
    <x v="39"/>
    <x v="1"/>
    <x v="0"/>
    <n v="52.605975921000002"/>
  </r>
  <r>
    <x v="0"/>
    <x v="3"/>
    <x v="5"/>
    <x v="39"/>
    <x v="1"/>
    <x v="1"/>
    <n v="3.3754100000000001E-4"/>
  </r>
  <r>
    <x v="0"/>
    <x v="3"/>
    <x v="6"/>
    <x v="39"/>
    <x v="1"/>
    <x v="1"/>
    <n v="0.493672948"/>
  </r>
  <r>
    <x v="0"/>
    <x v="3"/>
    <x v="4"/>
    <x v="40"/>
    <x v="1"/>
    <x v="0"/>
    <n v="59.172808697000001"/>
  </r>
  <r>
    <x v="0"/>
    <x v="3"/>
    <x v="5"/>
    <x v="40"/>
    <x v="1"/>
    <x v="1"/>
    <n v="5.6705700000000004E-4"/>
  </r>
  <r>
    <x v="0"/>
    <x v="3"/>
    <x v="6"/>
    <x v="40"/>
    <x v="1"/>
    <x v="1"/>
    <n v="0.493672948"/>
  </r>
  <r>
    <x v="0"/>
    <x v="3"/>
    <x v="4"/>
    <x v="41"/>
    <x v="1"/>
    <x v="0"/>
    <n v="152.65060376599999"/>
  </r>
  <r>
    <x v="0"/>
    <x v="3"/>
    <x v="5"/>
    <x v="41"/>
    <x v="1"/>
    <x v="1"/>
    <n v="1.4138309999999999E-3"/>
  </r>
  <r>
    <x v="0"/>
    <x v="3"/>
    <x v="6"/>
    <x v="41"/>
    <x v="1"/>
    <x v="1"/>
    <n v="0.493672948"/>
  </r>
  <r>
    <x v="0"/>
    <x v="3"/>
    <x v="7"/>
    <x v="0"/>
    <x v="2"/>
    <x v="2"/>
    <n v="397.68064245099998"/>
  </r>
  <r>
    <x v="0"/>
    <x v="3"/>
    <x v="7"/>
    <x v="1"/>
    <x v="2"/>
    <x v="2"/>
    <n v="49.282458640000002"/>
  </r>
  <r>
    <x v="0"/>
    <x v="3"/>
    <x v="7"/>
    <x v="2"/>
    <x v="2"/>
    <x v="2"/>
    <n v="21.196503995"/>
  </r>
  <r>
    <x v="0"/>
    <x v="3"/>
    <x v="7"/>
    <x v="3"/>
    <x v="2"/>
    <x v="2"/>
    <n v="17.515700852999998"/>
  </r>
  <r>
    <x v="0"/>
    <x v="3"/>
    <x v="7"/>
    <x v="4"/>
    <x v="2"/>
    <x v="2"/>
    <n v="9.8633201049999997"/>
  </r>
  <r>
    <x v="0"/>
    <x v="3"/>
    <x v="7"/>
    <x v="5"/>
    <x v="2"/>
    <x v="2"/>
    <n v="33.481484977000001"/>
  </r>
  <r>
    <x v="0"/>
    <x v="3"/>
    <x v="7"/>
    <x v="6"/>
    <x v="2"/>
    <x v="2"/>
    <n v="13.897750481999999"/>
  </r>
  <r>
    <x v="0"/>
    <x v="3"/>
    <x v="7"/>
    <x v="7"/>
    <x v="2"/>
    <x v="2"/>
    <n v="12.993928874"/>
  </r>
  <r>
    <x v="0"/>
    <x v="3"/>
    <x v="7"/>
    <x v="8"/>
    <x v="2"/>
    <x v="2"/>
    <n v="7.6755501480000001"/>
  </r>
  <r>
    <x v="0"/>
    <x v="3"/>
    <x v="7"/>
    <x v="9"/>
    <x v="2"/>
    <x v="2"/>
    <n v="20.914049590000001"/>
  </r>
  <r>
    <x v="0"/>
    <x v="3"/>
    <x v="7"/>
    <x v="10"/>
    <x v="2"/>
    <x v="2"/>
    <n v="9.8886811810000008"/>
  </r>
  <r>
    <x v="0"/>
    <x v="3"/>
    <x v="7"/>
    <x v="11"/>
    <x v="2"/>
    <x v="2"/>
    <n v="44.397476183999999"/>
  </r>
  <r>
    <x v="0"/>
    <x v="3"/>
    <x v="7"/>
    <x v="12"/>
    <x v="2"/>
    <x v="2"/>
    <n v="21.326141359000001"/>
  </r>
  <r>
    <x v="0"/>
    <x v="3"/>
    <x v="7"/>
    <x v="13"/>
    <x v="2"/>
    <x v="2"/>
    <n v="29.913575839"/>
  </r>
  <r>
    <x v="0"/>
    <x v="3"/>
    <x v="7"/>
    <x v="14"/>
    <x v="2"/>
    <x v="2"/>
    <n v="14.023494319999999"/>
  </r>
  <r>
    <x v="0"/>
    <x v="3"/>
    <x v="7"/>
    <x v="15"/>
    <x v="2"/>
    <x v="2"/>
    <n v="17.973817404999998"/>
  </r>
  <r>
    <x v="0"/>
    <x v="3"/>
    <x v="7"/>
    <x v="16"/>
    <x v="2"/>
    <x v="2"/>
    <n v="11.962616304999999"/>
  </r>
  <r>
    <x v="0"/>
    <x v="3"/>
    <x v="7"/>
    <x v="17"/>
    <x v="2"/>
    <x v="2"/>
    <n v="24.013990237000002"/>
  </r>
  <r>
    <x v="0"/>
    <x v="3"/>
    <x v="7"/>
    <x v="18"/>
    <x v="2"/>
    <x v="2"/>
    <n v="15.009184165000001"/>
  </r>
  <r>
    <x v="0"/>
    <x v="3"/>
    <x v="7"/>
    <x v="19"/>
    <x v="2"/>
    <x v="2"/>
    <n v="25.589772653000001"/>
  </r>
  <r>
    <x v="0"/>
    <x v="3"/>
    <x v="7"/>
    <x v="20"/>
    <x v="2"/>
    <x v="2"/>
    <n v="3.3250650639999999"/>
  </r>
  <r>
    <x v="0"/>
    <x v="3"/>
    <x v="7"/>
    <x v="21"/>
    <x v="2"/>
    <x v="2"/>
    <n v="1.507089876"/>
  </r>
  <r>
    <x v="0"/>
    <x v="3"/>
    <x v="7"/>
    <x v="22"/>
    <x v="2"/>
    <x v="2"/>
    <n v="1.174174469"/>
  </r>
  <r>
    <x v="0"/>
    <x v="3"/>
    <x v="7"/>
    <x v="23"/>
    <x v="2"/>
    <x v="2"/>
    <n v="0.97914423100000003"/>
  </r>
  <r>
    <x v="0"/>
    <x v="3"/>
    <x v="7"/>
    <x v="24"/>
    <x v="2"/>
    <x v="2"/>
    <n v="21.669439329999999"/>
  </r>
  <r>
    <x v="0"/>
    <x v="3"/>
    <x v="7"/>
    <x v="25"/>
    <x v="2"/>
    <x v="2"/>
    <n v="1.1734489560000001"/>
  </r>
  <r>
    <x v="0"/>
    <x v="3"/>
    <x v="7"/>
    <x v="26"/>
    <x v="2"/>
    <x v="2"/>
    <n v="2.2717724690000001"/>
  </r>
  <r>
    <x v="0"/>
    <x v="3"/>
    <x v="7"/>
    <x v="27"/>
    <x v="2"/>
    <x v="2"/>
    <n v="81.850559094999994"/>
  </r>
  <r>
    <x v="0"/>
    <x v="3"/>
    <x v="7"/>
    <x v="28"/>
    <x v="2"/>
    <x v="2"/>
    <n v="98.833675212000003"/>
  </r>
  <r>
    <x v="0"/>
    <x v="3"/>
    <x v="7"/>
    <x v="29"/>
    <x v="2"/>
    <x v="2"/>
    <n v="70.905523747000004"/>
  </r>
  <r>
    <x v="0"/>
    <x v="3"/>
    <x v="7"/>
    <x v="30"/>
    <x v="2"/>
    <x v="2"/>
    <n v="32.079807045999999"/>
  </r>
  <r>
    <x v="0"/>
    <x v="3"/>
    <x v="7"/>
    <x v="31"/>
    <x v="2"/>
    <x v="2"/>
    <n v="21.218199992999999"/>
  </r>
  <r>
    <x v="0"/>
    <x v="3"/>
    <x v="7"/>
    <x v="32"/>
    <x v="2"/>
    <x v="2"/>
    <n v="85.988517419999994"/>
  </r>
  <r>
    <x v="0"/>
    <x v="3"/>
    <x v="7"/>
    <x v="33"/>
    <x v="2"/>
    <x v="2"/>
    <n v="35.345801090000002"/>
  </r>
  <r>
    <x v="0"/>
    <x v="3"/>
    <x v="7"/>
    <x v="34"/>
    <x v="2"/>
    <x v="2"/>
    <n v="40.447041222999999"/>
  </r>
  <r>
    <x v="0"/>
    <x v="3"/>
    <x v="7"/>
    <x v="35"/>
    <x v="2"/>
    <x v="2"/>
    <n v="32.332549671999999"/>
  </r>
  <r>
    <x v="0"/>
    <x v="3"/>
    <x v="7"/>
    <x v="36"/>
    <x v="2"/>
    <x v="2"/>
    <n v="10.814437892000001"/>
  </r>
  <r>
    <x v="0"/>
    <x v="3"/>
    <x v="7"/>
    <x v="37"/>
    <x v="2"/>
    <x v="2"/>
    <n v="30.412681831"/>
  </r>
  <r>
    <x v="0"/>
    <x v="3"/>
    <x v="7"/>
    <x v="38"/>
    <x v="2"/>
    <x v="2"/>
    <n v="95.751452631000006"/>
  </r>
  <r>
    <x v="0"/>
    <x v="3"/>
    <x v="7"/>
    <x v="39"/>
    <x v="2"/>
    <x v="2"/>
    <n v="33.185068711"/>
  </r>
  <r>
    <x v="0"/>
    <x v="3"/>
    <x v="7"/>
    <x v="40"/>
    <x v="2"/>
    <x v="2"/>
    <n v="11.301217978"/>
  </r>
  <r>
    <x v="0"/>
    <x v="3"/>
    <x v="7"/>
    <x v="41"/>
    <x v="2"/>
    <x v="2"/>
    <n v="170.14505727700001"/>
  </r>
  <r>
    <x v="0"/>
    <x v="3"/>
    <x v="8"/>
    <x v="0"/>
    <x v="2"/>
    <x v="3"/>
    <n v="0.115995578"/>
  </r>
  <r>
    <x v="0"/>
    <x v="3"/>
    <x v="8"/>
    <x v="1"/>
    <x v="2"/>
    <x v="3"/>
    <n v="0.115995578"/>
  </r>
  <r>
    <x v="0"/>
    <x v="3"/>
    <x v="8"/>
    <x v="2"/>
    <x v="2"/>
    <x v="3"/>
    <n v="0.115995578"/>
  </r>
  <r>
    <x v="0"/>
    <x v="3"/>
    <x v="8"/>
    <x v="3"/>
    <x v="2"/>
    <x v="3"/>
    <n v="0.115995578"/>
  </r>
  <r>
    <x v="0"/>
    <x v="3"/>
    <x v="8"/>
    <x v="4"/>
    <x v="2"/>
    <x v="3"/>
    <n v="0.115995578"/>
  </r>
  <r>
    <x v="0"/>
    <x v="3"/>
    <x v="8"/>
    <x v="5"/>
    <x v="2"/>
    <x v="3"/>
    <n v="0.115995578"/>
  </r>
  <r>
    <x v="0"/>
    <x v="3"/>
    <x v="8"/>
    <x v="6"/>
    <x v="2"/>
    <x v="3"/>
    <n v="0.115995578"/>
  </r>
  <r>
    <x v="0"/>
    <x v="3"/>
    <x v="8"/>
    <x v="7"/>
    <x v="2"/>
    <x v="3"/>
    <n v="0.115995578"/>
  </r>
  <r>
    <x v="0"/>
    <x v="3"/>
    <x v="8"/>
    <x v="8"/>
    <x v="2"/>
    <x v="3"/>
    <n v="0.115995578"/>
  </r>
  <r>
    <x v="0"/>
    <x v="3"/>
    <x v="8"/>
    <x v="9"/>
    <x v="2"/>
    <x v="3"/>
    <n v="0.115995578"/>
  </r>
  <r>
    <x v="0"/>
    <x v="3"/>
    <x v="8"/>
    <x v="10"/>
    <x v="2"/>
    <x v="3"/>
    <n v="0.115995578"/>
  </r>
  <r>
    <x v="0"/>
    <x v="3"/>
    <x v="8"/>
    <x v="11"/>
    <x v="2"/>
    <x v="3"/>
    <n v="0.115995578"/>
  </r>
  <r>
    <x v="0"/>
    <x v="3"/>
    <x v="8"/>
    <x v="12"/>
    <x v="2"/>
    <x v="3"/>
    <n v="0.115995578"/>
  </r>
  <r>
    <x v="0"/>
    <x v="3"/>
    <x v="8"/>
    <x v="13"/>
    <x v="2"/>
    <x v="3"/>
    <n v="0.115995578"/>
  </r>
  <r>
    <x v="0"/>
    <x v="3"/>
    <x v="8"/>
    <x v="14"/>
    <x v="2"/>
    <x v="3"/>
    <n v="0.115995578"/>
  </r>
  <r>
    <x v="0"/>
    <x v="3"/>
    <x v="8"/>
    <x v="15"/>
    <x v="2"/>
    <x v="3"/>
    <n v="0.115995578"/>
  </r>
  <r>
    <x v="0"/>
    <x v="3"/>
    <x v="8"/>
    <x v="16"/>
    <x v="2"/>
    <x v="3"/>
    <n v="0.115995578"/>
  </r>
  <r>
    <x v="0"/>
    <x v="3"/>
    <x v="8"/>
    <x v="17"/>
    <x v="2"/>
    <x v="3"/>
    <n v="0.115995578"/>
  </r>
  <r>
    <x v="0"/>
    <x v="3"/>
    <x v="8"/>
    <x v="18"/>
    <x v="2"/>
    <x v="3"/>
    <n v="0.115995578"/>
  </r>
  <r>
    <x v="0"/>
    <x v="3"/>
    <x v="8"/>
    <x v="19"/>
    <x v="2"/>
    <x v="3"/>
    <n v="0.115995578"/>
  </r>
  <r>
    <x v="0"/>
    <x v="3"/>
    <x v="8"/>
    <x v="20"/>
    <x v="2"/>
    <x v="3"/>
    <n v="0.115995578"/>
  </r>
  <r>
    <x v="0"/>
    <x v="3"/>
    <x v="8"/>
    <x v="21"/>
    <x v="2"/>
    <x v="3"/>
    <n v="0.115995578"/>
  </r>
  <r>
    <x v="0"/>
    <x v="3"/>
    <x v="8"/>
    <x v="22"/>
    <x v="2"/>
    <x v="3"/>
    <n v="0.115995578"/>
  </r>
  <r>
    <x v="0"/>
    <x v="3"/>
    <x v="8"/>
    <x v="23"/>
    <x v="2"/>
    <x v="3"/>
    <n v="0.115995578"/>
  </r>
  <r>
    <x v="0"/>
    <x v="3"/>
    <x v="8"/>
    <x v="24"/>
    <x v="2"/>
    <x v="3"/>
    <n v="0.115995578"/>
  </r>
  <r>
    <x v="0"/>
    <x v="3"/>
    <x v="8"/>
    <x v="25"/>
    <x v="2"/>
    <x v="3"/>
    <n v="0.115995578"/>
  </r>
  <r>
    <x v="0"/>
    <x v="3"/>
    <x v="8"/>
    <x v="26"/>
    <x v="2"/>
    <x v="3"/>
    <n v="0.115995578"/>
  </r>
  <r>
    <x v="0"/>
    <x v="3"/>
    <x v="8"/>
    <x v="27"/>
    <x v="2"/>
    <x v="3"/>
    <n v="0.115995578"/>
  </r>
  <r>
    <x v="0"/>
    <x v="3"/>
    <x v="8"/>
    <x v="28"/>
    <x v="2"/>
    <x v="3"/>
    <n v="0.115995578"/>
  </r>
  <r>
    <x v="0"/>
    <x v="3"/>
    <x v="8"/>
    <x v="29"/>
    <x v="2"/>
    <x v="3"/>
    <n v="0.115995578"/>
  </r>
  <r>
    <x v="0"/>
    <x v="3"/>
    <x v="8"/>
    <x v="30"/>
    <x v="2"/>
    <x v="3"/>
    <n v="0.115995578"/>
  </r>
  <r>
    <x v="0"/>
    <x v="3"/>
    <x v="8"/>
    <x v="31"/>
    <x v="2"/>
    <x v="3"/>
    <n v="0.115995578"/>
  </r>
  <r>
    <x v="0"/>
    <x v="3"/>
    <x v="8"/>
    <x v="32"/>
    <x v="2"/>
    <x v="3"/>
    <n v="0.115995578"/>
  </r>
  <r>
    <x v="0"/>
    <x v="3"/>
    <x v="8"/>
    <x v="33"/>
    <x v="2"/>
    <x v="3"/>
    <n v="0.115995578"/>
  </r>
  <r>
    <x v="0"/>
    <x v="3"/>
    <x v="8"/>
    <x v="34"/>
    <x v="2"/>
    <x v="3"/>
    <n v="0.115995578"/>
  </r>
  <r>
    <x v="0"/>
    <x v="3"/>
    <x v="8"/>
    <x v="35"/>
    <x v="2"/>
    <x v="3"/>
    <n v="0.115995578"/>
  </r>
  <r>
    <x v="0"/>
    <x v="3"/>
    <x v="8"/>
    <x v="36"/>
    <x v="2"/>
    <x v="3"/>
    <n v="0.115995578"/>
  </r>
  <r>
    <x v="0"/>
    <x v="3"/>
    <x v="8"/>
    <x v="37"/>
    <x v="2"/>
    <x v="3"/>
    <n v="0.115995578"/>
  </r>
  <r>
    <x v="0"/>
    <x v="3"/>
    <x v="8"/>
    <x v="38"/>
    <x v="2"/>
    <x v="3"/>
    <n v="0.115995578"/>
  </r>
  <r>
    <x v="0"/>
    <x v="3"/>
    <x v="8"/>
    <x v="39"/>
    <x v="2"/>
    <x v="3"/>
    <n v="0.115995578"/>
  </r>
  <r>
    <x v="0"/>
    <x v="3"/>
    <x v="8"/>
    <x v="40"/>
    <x v="2"/>
    <x v="3"/>
    <n v="0.115995578"/>
  </r>
  <r>
    <x v="0"/>
    <x v="3"/>
    <x v="8"/>
    <x v="41"/>
    <x v="2"/>
    <x v="3"/>
    <n v="0.115995578"/>
  </r>
  <r>
    <x v="0"/>
    <x v="3"/>
    <x v="7"/>
    <x v="0"/>
    <x v="3"/>
    <x v="2"/>
    <n v="399.78339298499998"/>
  </r>
  <r>
    <x v="0"/>
    <x v="3"/>
    <x v="7"/>
    <x v="1"/>
    <x v="3"/>
    <x v="2"/>
    <n v="47.488654844000003"/>
  </r>
  <r>
    <x v="0"/>
    <x v="3"/>
    <x v="7"/>
    <x v="2"/>
    <x v="3"/>
    <x v="2"/>
    <n v="19.359274517999999"/>
  </r>
  <r>
    <x v="0"/>
    <x v="3"/>
    <x v="7"/>
    <x v="3"/>
    <x v="3"/>
    <x v="2"/>
    <n v="16.569795274000001"/>
  </r>
  <r>
    <x v="0"/>
    <x v="3"/>
    <x v="7"/>
    <x v="4"/>
    <x v="3"/>
    <x v="2"/>
    <n v="9.423457956"/>
  </r>
  <r>
    <x v="0"/>
    <x v="3"/>
    <x v="7"/>
    <x v="5"/>
    <x v="3"/>
    <x v="2"/>
    <n v="31.202441678"/>
  </r>
  <r>
    <x v="0"/>
    <x v="3"/>
    <x v="7"/>
    <x v="6"/>
    <x v="3"/>
    <x v="2"/>
    <n v="13.193629025"/>
  </r>
  <r>
    <x v="0"/>
    <x v="3"/>
    <x v="7"/>
    <x v="7"/>
    <x v="3"/>
    <x v="2"/>
    <n v="12.474521424000001"/>
  </r>
  <r>
    <x v="0"/>
    <x v="3"/>
    <x v="7"/>
    <x v="8"/>
    <x v="3"/>
    <x v="2"/>
    <n v="7.2661183239999998"/>
  </r>
  <r>
    <x v="0"/>
    <x v="3"/>
    <x v="7"/>
    <x v="9"/>
    <x v="3"/>
    <x v="2"/>
    <n v="19.908409535000001"/>
  </r>
  <r>
    <x v="0"/>
    <x v="3"/>
    <x v="7"/>
    <x v="10"/>
    <x v="3"/>
    <x v="2"/>
    <n v="9.2217281500000006"/>
  </r>
  <r>
    <x v="0"/>
    <x v="3"/>
    <x v="7"/>
    <x v="11"/>
    <x v="3"/>
    <x v="2"/>
    <n v="41.147088930000002"/>
  </r>
  <r>
    <x v="0"/>
    <x v="3"/>
    <x v="7"/>
    <x v="12"/>
    <x v="3"/>
    <x v="2"/>
    <n v="20.081583072000001"/>
  </r>
  <r>
    <x v="0"/>
    <x v="3"/>
    <x v="7"/>
    <x v="13"/>
    <x v="3"/>
    <x v="2"/>
    <n v="27.480494844999999"/>
  </r>
  <r>
    <x v="0"/>
    <x v="3"/>
    <x v="7"/>
    <x v="14"/>
    <x v="3"/>
    <x v="2"/>
    <n v="13.260910353"/>
  </r>
  <r>
    <x v="0"/>
    <x v="3"/>
    <x v="7"/>
    <x v="15"/>
    <x v="3"/>
    <x v="2"/>
    <n v="17.088631322000001"/>
  </r>
  <r>
    <x v="0"/>
    <x v="3"/>
    <x v="7"/>
    <x v="16"/>
    <x v="3"/>
    <x v="2"/>
    <n v="11.361571761"/>
  </r>
  <r>
    <x v="0"/>
    <x v="3"/>
    <x v="7"/>
    <x v="17"/>
    <x v="3"/>
    <x v="2"/>
    <n v="22.762732373999999"/>
  </r>
  <r>
    <x v="0"/>
    <x v="3"/>
    <x v="7"/>
    <x v="18"/>
    <x v="3"/>
    <x v="2"/>
    <n v="14.057619052"/>
  </r>
  <r>
    <x v="0"/>
    <x v="3"/>
    <x v="7"/>
    <x v="19"/>
    <x v="3"/>
    <x v="2"/>
    <n v="24.456112477000001"/>
  </r>
  <r>
    <x v="0"/>
    <x v="3"/>
    <x v="7"/>
    <x v="20"/>
    <x v="3"/>
    <x v="2"/>
    <n v="3.1408452630000001"/>
  </r>
  <r>
    <x v="0"/>
    <x v="3"/>
    <x v="7"/>
    <x v="21"/>
    <x v="3"/>
    <x v="2"/>
    <n v="1.4366082950000001"/>
  </r>
  <r>
    <x v="0"/>
    <x v="3"/>
    <x v="7"/>
    <x v="22"/>
    <x v="3"/>
    <x v="2"/>
    <n v="0.97220491200000003"/>
  </r>
  <r>
    <x v="0"/>
    <x v="3"/>
    <x v="7"/>
    <x v="23"/>
    <x v="3"/>
    <x v="2"/>
    <n v="0.96377255900000003"/>
  </r>
  <r>
    <x v="0"/>
    <x v="3"/>
    <x v="7"/>
    <x v="24"/>
    <x v="3"/>
    <x v="2"/>
    <n v="19.809727420000002"/>
  </r>
  <r>
    <x v="0"/>
    <x v="3"/>
    <x v="7"/>
    <x v="25"/>
    <x v="3"/>
    <x v="2"/>
    <n v="1.0669148230000001"/>
  </r>
  <r>
    <x v="0"/>
    <x v="3"/>
    <x v="7"/>
    <x v="26"/>
    <x v="3"/>
    <x v="2"/>
    <n v="2.1600714700000001"/>
  </r>
  <r>
    <x v="0"/>
    <x v="3"/>
    <x v="7"/>
    <x v="27"/>
    <x v="3"/>
    <x v="2"/>
    <n v="79.522229863000007"/>
  </r>
  <r>
    <x v="0"/>
    <x v="3"/>
    <x v="7"/>
    <x v="28"/>
    <x v="3"/>
    <x v="2"/>
    <n v="92.159999158999995"/>
  </r>
  <r>
    <x v="0"/>
    <x v="3"/>
    <x v="7"/>
    <x v="29"/>
    <x v="3"/>
    <x v="2"/>
    <n v="66.747099367000004"/>
  </r>
  <r>
    <x v="0"/>
    <x v="3"/>
    <x v="7"/>
    <x v="30"/>
    <x v="3"/>
    <x v="2"/>
    <n v="31.292011531"/>
  </r>
  <r>
    <x v="0"/>
    <x v="3"/>
    <x v="7"/>
    <x v="31"/>
    <x v="3"/>
    <x v="2"/>
    <n v="19.315620221"/>
  </r>
  <r>
    <x v="0"/>
    <x v="3"/>
    <x v="7"/>
    <x v="32"/>
    <x v="3"/>
    <x v="2"/>
    <n v="78.915238587999994"/>
  </r>
  <r>
    <x v="0"/>
    <x v="3"/>
    <x v="7"/>
    <x v="33"/>
    <x v="3"/>
    <x v="2"/>
    <n v="30.875081167000001"/>
  </r>
  <r>
    <x v="0"/>
    <x v="3"/>
    <x v="7"/>
    <x v="34"/>
    <x v="3"/>
    <x v="2"/>
    <n v="38.408955282000001"/>
  </r>
  <r>
    <x v="0"/>
    <x v="3"/>
    <x v="7"/>
    <x v="35"/>
    <x v="3"/>
    <x v="2"/>
    <n v="30.841898666999999"/>
  </r>
  <r>
    <x v="0"/>
    <x v="3"/>
    <x v="7"/>
    <x v="36"/>
    <x v="3"/>
    <x v="2"/>
    <n v="10.343821610999999"/>
  </r>
  <r>
    <x v="0"/>
    <x v="3"/>
    <x v="7"/>
    <x v="37"/>
    <x v="3"/>
    <x v="2"/>
    <n v="29.681207873000002"/>
  </r>
  <r>
    <x v="0"/>
    <x v="3"/>
    <x v="7"/>
    <x v="38"/>
    <x v="3"/>
    <x v="2"/>
    <n v="95.048432625999993"/>
  </r>
  <r>
    <x v="0"/>
    <x v="3"/>
    <x v="7"/>
    <x v="39"/>
    <x v="3"/>
    <x v="2"/>
    <n v="32.854460936000002"/>
  </r>
  <r>
    <x v="0"/>
    <x v="3"/>
    <x v="7"/>
    <x v="40"/>
    <x v="3"/>
    <x v="2"/>
    <n v="10.796720011"/>
  </r>
  <r>
    <x v="0"/>
    <x v="3"/>
    <x v="7"/>
    <x v="41"/>
    <x v="3"/>
    <x v="2"/>
    <n v="169.11218858999999"/>
  </r>
  <r>
    <x v="0"/>
    <x v="3"/>
    <x v="8"/>
    <x v="0"/>
    <x v="3"/>
    <x v="3"/>
    <n v="0.111976253"/>
  </r>
  <r>
    <x v="0"/>
    <x v="3"/>
    <x v="8"/>
    <x v="1"/>
    <x v="3"/>
    <x v="3"/>
    <n v="0.111976253"/>
  </r>
  <r>
    <x v="0"/>
    <x v="3"/>
    <x v="8"/>
    <x v="2"/>
    <x v="3"/>
    <x v="3"/>
    <n v="0.111976253"/>
  </r>
  <r>
    <x v="0"/>
    <x v="3"/>
    <x v="8"/>
    <x v="3"/>
    <x v="3"/>
    <x v="3"/>
    <n v="0.111976253"/>
  </r>
  <r>
    <x v="0"/>
    <x v="3"/>
    <x v="8"/>
    <x v="4"/>
    <x v="3"/>
    <x v="3"/>
    <n v="0.111976253"/>
  </r>
  <r>
    <x v="0"/>
    <x v="3"/>
    <x v="8"/>
    <x v="5"/>
    <x v="3"/>
    <x v="3"/>
    <n v="0.111976253"/>
  </r>
  <r>
    <x v="0"/>
    <x v="3"/>
    <x v="8"/>
    <x v="6"/>
    <x v="3"/>
    <x v="3"/>
    <n v="0.111976253"/>
  </r>
  <r>
    <x v="0"/>
    <x v="3"/>
    <x v="8"/>
    <x v="7"/>
    <x v="3"/>
    <x v="3"/>
    <n v="0.111976253"/>
  </r>
  <r>
    <x v="0"/>
    <x v="3"/>
    <x v="8"/>
    <x v="8"/>
    <x v="3"/>
    <x v="3"/>
    <n v="0.111976253"/>
  </r>
  <r>
    <x v="0"/>
    <x v="3"/>
    <x v="8"/>
    <x v="9"/>
    <x v="3"/>
    <x v="3"/>
    <n v="0.111976253"/>
  </r>
  <r>
    <x v="0"/>
    <x v="3"/>
    <x v="8"/>
    <x v="10"/>
    <x v="3"/>
    <x v="3"/>
    <n v="0.111976253"/>
  </r>
  <r>
    <x v="0"/>
    <x v="3"/>
    <x v="8"/>
    <x v="11"/>
    <x v="3"/>
    <x v="3"/>
    <n v="0.111976253"/>
  </r>
  <r>
    <x v="0"/>
    <x v="3"/>
    <x v="8"/>
    <x v="12"/>
    <x v="3"/>
    <x v="3"/>
    <n v="0.111976253"/>
  </r>
  <r>
    <x v="0"/>
    <x v="3"/>
    <x v="8"/>
    <x v="13"/>
    <x v="3"/>
    <x v="3"/>
    <n v="0.111976253"/>
  </r>
  <r>
    <x v="0"/>
    <x v="3"/>
    <x v="8"/>
    <x v="14"/>
    <x v="3"/>
    <x v="3"/>
    <n v="0.111976253"/>
  </r>
  <r>
    <x v="0"/>
    <x v="3"/>
    <x v="8"/>
    <x v="15"/>
    <x v="3"/>
    <x v="3"/>
    <n v="0.111976253"/>
  </r>
  <r>
    <x v="0"/>
    <x v="3"/>
    <x v="8"/>
    <x v="16"/>
    <x v="3"/>
    <x v="3"/>
    <n v="0.111976253"/>
  </r>
  <r>
    <x v="0"/>
    <x v="3"/>
    <x v="8"/>
    <x v="17"/>
    <x v="3"/>
    <x v="3"/>
    <n v="0.111976253"/>
  </r>
  <r>
    <x v="0"/>
    <x v="3"/>
    <x v="8"/>
    <x v="18"/>
    <x v="3"/>
    <x v="3"/>
    <n v="0.111976253"/>
  </r>
  <r>
    <x v="0"/>
    <x v="3"/>
    <x v="8"/>
    <x v="19"/>
    <x v="3"/>
    <x v="3"/>
    <n v="0.111976253"/>
  </r>
  <r>
    <x v="0"/>
    <x v="3"/>
    <x v="8"/>
    <x v="20"/>
    <x v="3"/>
    <x v="3"/>
    <n v="0.111976253"/>
  </r>
  <r>
    <x v="0"/>
    <x v="3"/>
    <x v="8"/>
    <x v="21"/>
    <x v="3"/>
    <x v="3"/>
    <n v="0.111976253"/>
  </r>
  <r>
    <x v="0"/>
    <x v="3"/>
    <x v="8"/>
    <x v="22"/>
    <x v="3"/>
    <x v="3"/>
    <n v="0.111976253"/>
  </r>
  <r>
    <x v="0"/>
    <x v="3"/>
    <x v="8"/>
    <x v="23"/>
    <x v="3"/>
    <x v="3"/>
    <n v="0.111976253"/>
  </r>
  <r>
    <x v="0"/>
    <x v="3"/>
    <x v="8"/>
    <x v="24"/>
    <x v="3"/>
    <x v="3"/>
    <n v="0.111976253"/>
  </r>
  <r>
    <x v="0"/>
    <x v="3"/>
    <x v="8"/>
    <x v="25"/>
    <x v="3"/>
    <x v="3"/>
    <n v="0.111976253"/>
  </r>
  <r>
    <x v="0"/>
    <x v="3"/>
    <x v="8"/>
    <x v="26"/>
    <x v="3"/>
    <x v="3"/>
    <n v="0.111976253"/>
  </r>
  <r>
    <x v="0"/>
    <x v="3"/>
    <x v="8"/>
    <x v="27"/>
    <x v="3"/>
    <x v="3"/>
    <n v="0.111976253"/>
  </r>
  <r>
    <x v="0"/>
    <x v="3"/>
    <x v="8"/>
    <x v="28"/>
    <x v="3"/>
    <x v="3"/>
    <n v="0.111976253"/>
  </r>
  <r>
    <x v="0"/>
    <x v="3"/>
    <x v="8"/>
    <x v="29"/>
    <x v="3"/>
    <x v="3"/>
    <n v="0.111976253"/>
  </r>
  <r>
    <x v="0"/>
    <x v="3"/>
    <x v="8"/>
    <x v="30"/>
    <x v="3"/>
    <x v="3"/>
    <n v="0.111976253"/>
  </r>
  <r>
    <x v="0"/>
    <x v="3"/>
    <x v="8"/>
    <x v="31"/>
    <x v="3"/>
    <x v="3"/>
    <n v="0.111976253"/>
  </r>
  <r>
    <x v="0"/>
    <x v="3"/>
    <x v="8"/>
    <x v="32"/>
    <x v="3"/>
    <x v="3"/>
    <n v="0.111976253"/>
  </r>
  <r>
    <x v="0"/>
    <x v="3"/>
    <x v="8"/>
    <x v="33"/>
    <x v="3"/>
    <x v="3"/>
    <n v="0.111976253"/>
  </r>
  <r>
    <x v="0"/>
    <x v="3"/>
    <x v="8"/>
    <x v="34"/>
    <x v="3"/>
    <x v="3"/>
    <n v="0.111976253"/>
  </r>
  <r>
    <x v="0"/>
    <x v="3"/>
    <x v="8"/>
    <x v="35"/>
    <x v="3"/>
    <x v="3"/>
    <n v="0.111976253"/>
  </r>
  <r>
    <x v="0"/>
    <x v="3"/>
    <x v="8"/>
    <x v="36"/>
    <x v="3"/>
    <x v="3"/>
    <n v="0.111976253"/>
  </r>
  <r>
    <x v="0"/>
    <x v="3"/>
    <x v="8"/>
    <x v="37"/>
    <x v="3"/>
    <x v="3"/>
    <n v="0.111976253"/>
  </r>
  <r>
    <x v="0"/>
    <x v="3"/>
    <x v="8"/>
    <x v="38"/>
    <x v="3"/>
    <x v="3"/>
    <n v="0.111976253"/>
  </r>
  <r>
    <x v="0"/>
    <x v="3"/>
    <x v="8"/>
    <x v="39"/>
    <x v="3"/>
    <x v="3"/>
    <n v="0.111976253"/>
  </r>
  <r>
    <x v="0"/>
    <x v="3"/>
    <x v="8"/>
    <x v="40"/>
    <x v="3"/>
    <x v="3"/>
    <n v="0.111976253"/>
  </r>
  <r>
    <x v="0"/>
    <x v="3"/>
    <x v="8"/>
    <x v="41"/>
    <x v="3"/>
    <x v="3"/>
    <n v="0.111976253"/>
  </r>
  <r>
    <x v="0"/>
    <x v="3"/>
    <x v="9"/>
    <x v="42"/>
    <x v="4"/>
    <x v="4"/>
    <n v="72.700731711000003"/>
  </r>
  <r>
    <x v="0"/>
    <x v="3"/>
    <x v="9"/>
    <x v="42"/>
    <x v="5"/>
    <x v="4"/>
    <n v="1.026650099"/>
  </r>
  <r>
    <x v="0"/>
    <x v="3"/>
    <x v="9"/>
    <x v="42"/>
    <x v="6"/>
    <x v="4"/>
    <n v="0"/>
  </r>
  <r>
    <x v="0"/>
    <x v="3"/>
    <x v="9"/>
    <x v="42"/>
    <x v="7"/>
    <x v="4"/>
    <n v="0"/>
  </r>
  <r>
    <x v="0"/>
    <x v="3"/>
    <x v="9"/>
    <x v="42"/>
    <x v="8"/>
    <x v="4"/>
    <n v="0"/>
  </r>
  <r>
    <x v="0"/>
    <x v="3"/>
    <x v="9"/>
    <x v="42"/>
    <x v="9"/>
    <x v="4"/>
    <n v="84.920016454000006"/>
  </r>
  <r>
    <x v="0"/>
    <x v="3"/>
    <x v="9"/>
    <x v="42"/>
    <x v="10"/>
    <x v="4"/>
    <n v="2.509887151"/>
  </r>
  <r>
    <x v="0"/>
    <x v="3"/>
    <x v="9"/>
    <x v="42"/>
    <x v="11"/>
    <x v="4"/>
    <n v="15.147726817000001"/>
  </r>
  <r>
    <x v="0"/>
    <x v="3"/>
    <x v="9"/>
    <x v="42"/>
    <x v="12"/>
    <x v="4"/>
    <n v="2.1615994029999999"/>
  </r>
  <r>
    <x v="0"/>
    <x v="3"/>
    <x v="9"/>
    <x v="42"/>
    <x v="13"/>
    <x v="4"/>
    <n v="3.4529265279999999"/>
  </r>
  <r>
    <x v="0"/>
    <x v="3"/>
    <x v="9"/>
    <x v="42"/>
    <x v="14"/>
    <x v="4"/>
    <n v="2.6653441340000001"/>
  </r>
  <r>
    <x v="0"/>
    <x v="3"/>
    <x v="9"/>
    <x v="42"/>
    <x v="15"/>
    <x v="4"/>
    <n v="11.971669756000001"/>
  </r>
  <r>
    <x v="0"/>
    <x v="3"/>
    <x v="9"/>
    <x v="42"/>
    <x v="16"/>
    <x v="4"/>
    <n v="1.6214700280000001"/>
  </r>
  <r>
    <x v="0"/>
    <x v="3"/>
    <x v="9"/>
    <x v="42"/>
    <x v="17"/>
    <x v="4"/>
    <n v="0"/>
  </r>
  <r>
    <x v="0"/>
    <x v="3"/>
    <x v="9"/>
    <x v="42"/>
    <x v="18"/>
    <x v="4"/>
    <n v="0.994906234"/>
  </r>
  <r>
    <x v="0"/>
    <x v="3"/>
    <x v="9"/>
    <x v="42"/>
    <x v="19"/>
    <x v="4"/>
    <n v="0.51883895400000002"/>
  </r>
  <r>
    <x v="0"/>
    <x v="3"/>
    <x v="9"/>
    <x v="42"/>
    <x v="20"/>
    <x v="4"/>
    <n v="0.132300377"/>
  </r>
  <r>
    <x v="0"/>
    <x v="3"/>
    <x v="9"/>
    <x v="42"/>
    <x v="21"/>
    <x v="4"/>
    <n v="8.9358166870000009"/>
  </r>
  <r>
    <x v="0"/>
    <x v="3"/>
    <x v="9"/>
    <x v="42"/>
    <x v="22"/>
    <x v="4"/>
    <n v="9.5028568779999993"/>
  </r>
  <r>
    <x v="0"/>
    <x v="3"/>
    <x v="9"/>
    <x v="42"/>
    <x v="23"/>
    <x v="4"/>
    <n v="8.8544253679999994"/>
  </r>
  <r>
    <x v="0"/>
    <x v="3"/>
    <x v="9"/>
    <x v="42"/>
    <x v="24"/>
    <x v="4"/>
    <n v="0.636430932"/>
  </r>
  <r>
    <x v="0"/>
    <x v="3"/>
    <x v="9"/>
    <x v="42"/>
    <x v="25"/>
    <x v="4"/>
    <n v="0.67100558600000004"/>
  </r>
  <r>
    <x v="0"/>
    <x v="3"/>
    <x v="9"/>
    <x v="42"/>
    <x v="26"/>
    <x v="4"/>
    <n v="0"/>
  </r>
  <r>
    <x v="0"/>
    <x v="3"/>
    <x v="9"/>
    <x v="42"/>
    <x v="27"/>
    <x v="4"/>
    <n v="0"/>
  </r>
  <r>
    <x v="0"/>
    <x v="3"/>
    <x v="9"/>
    <x v="42"/>
    <x v="28"/>
    <x v="4"/>
    <n v="9.6350006350000008"/>
  </r>
  <r>
    <x v="0"/>
    <x v="3"/>
    <x v="9"/>
    <x v="42"/>
    <x v="29"/>
    <x v="4"/>
    <n v="1.2595437700000001"/>
  </r>
  <r>
    <x v="0"/>
    <x v="3"/>
    <x v="9"/>
    <x v="42"/>
    <x v="30"/>
    <x v="4"/>
    <n v="0.63622983899999996"/>
  </r>
  <r>
    <x v="0"/>
    <x v="3"/>
    <x v="9"/>
    <x v="42"/>
    <x v="31"/>
    <x v="4"/>
    <n v="0"/>
  </r>
  <r>
    <x v="0"/>
    <x v="3"/>
    <x v="9"/>
    <x v="42"/>
    <x v="32"/>
    <x v="4"/>
    <n v="40.341819975999996"/>
  </r>
  <r>
    <x v="0"/>
    <x v="3"/>
    <x v="9"/>
    <x v="42"/>
    <x v="33"/>
    <x v="4"/>
    <n v="13.849616004"/>
  </r>
  <r>
    <x v="0"/>
    <x v="3"/>
    <x v="9"/>
    <x v="42"/>
    <x v="34"/>
    <x v="4"/>
    <n v="3.6041968770000001"/>
  </r>
  <r>
    <x v="0"/>
    <x v="3"/>
    <x v="9"/>
    <x v="42"/>
    <x v="35"/>
    <x v="4"/>
    <n v="19.635752932999999"/>
  </r>
  <r>
    <x v="0"/>
    <x v="3"/>
    <x v="9"/>
    <x v="42"/>
    <x v="36"/>
    <x v="4"/>
    <n v="25.040581785000001"/>
  </r>
  <r>
    <x v="0"/>
    <x v="3"/>
    <x v="9"/>
    <x v="42"/>
    <x v="37"/>
    <x v="4"/>
    <n v="161.41258591900001"/>
  </r>
  <r>
    <x v="0"/>
    <x v="3"/>
    <x v="9"/>
    <x v="42"/>
    <x v="38"/>
    <x v="4"/>
    <n v="0.526083305"/>
  </r>
  <r>
    <x v="0"/>
    <x v="3"/>
    <x v="9"/>
    <x v="42"/>
    <x v="39"/>
    <x v="4"/>
    <n v="0.245103395"/>
  </r>
  <r>
    <x v="0"/>
    <x v="3"/>
    <x v="9"/>
    <x v="42"/>
    <x v="40"/>
    <x v="4"/>
    <n v="0.368221301"/>
  </r>
  <r>
    <x v="0"/>
    <x v="3"/>
    <x v="9"/>
    <x v="42"/>
    <x v="41"/>
    <x v="4"/>
    <n v="4.6804035239999999"/>
  </r>
  <r>
    <x v="0"/>
    <x v="3"/>
    <x v="9"/>
    <x v="42"/>
    <x v="42"/>
    <x v="4"/>
    <n v="-3.1522857339999999"/>
  </r>
  <r>
    <x v="0"/>
    <x v="3"/>
    <x v="9"/>
    <x v="42"/>
    <x v="43"/>
    <x v="4"/>
    <n v="2.0832559110000002"/>
  </r>
  <r>
    <x v="0"/>
    <x v="3"/>
    <x v="9"/>
    <x v="42"/>
    <x v="44"/>
    <x v="4"/>
    <n v="2.6177145570000002"/>
  </r>
  <r>
    <x v="0"/>
    <x v="3"/>
    <x v="9"/>
    <x v="42"/>
    <x v="45"/>
    <x v="4"/>
    <n v="-6.5908959000000003E-2"/>
  </r>
  <r>
    <x v="0"/>
    <x v="3"/>
    <x v="10"/>
    <x v="42"/>
    <x v="0"/>
    <x v="4"/>
    <n v="1.064664818"/>
  </r>
  <r>
    <x v="0"/>
    <x v="3"/>
    <x v="11"/>
    <x v="42"/>
    <x v="0"/>
    <x v="4"/>
    <n v="14.586538638"/>
  </r>
  <r>
    <x v="0"/>
    <x v="3"/>
    <x v="9"/>
    <x v="43"/>
    <x v="4"/>
    <x v="4"/>
    <n v="129.155644612"/>
  </r>
  <r>
    <x v="0"/>
    <x v="3"/>
    <x v="9"/>
    <x v="43"/>
    <x v="5"/>
    <x v="4"/>
    <n v="0.66080389399999995"/>
  </r>
  <r>
    <x v="0"/>
    <x v="3"/>
    <x v="9"/>
    <x v="43"/>
    <x v="6"/>
    <x v="4"/>
    <n v="0"/>
  </r>
  <r>
    <x v="0"/>
    <x v="3"/>
    <x v="9"/>
    <x v="43"/>
    <x v="7"/>
    <x v="4"/>
    <n v="0"/>
  </r>
  <r>
    <x v="0"/>
    <x v="3"/>
    <x v="9"/>
    <x v="43"/>
    <x v="8"/>
    <x v="4"/>
    <n v="0"/>
  </r>
  <r>
    <x v="0"/>
    <x v="3"/>
    <x v="9"/>
    <x v="43"/>
    <x v="9"/>
    <x v="4"/>
    <n v="288.59628960700002"/>
  </r>
  <r>
    <x v="0"/>
    <x v="3"/>
    <x v="9"/>
    <x v="43"/>
    <x v="10"/>
    <x v="4"/>
    <n v="3.7665147650000002"/>
  </r>
  <r>
    <x v="0"/>
    <x v="3"/>
    <x v="9"/>
    <x v="43"/>
    <x v="11"/>
    <x v="4"/>
    <n v="66.084971654"/>
  </r>
  <r>
    <x v="0"/>
    <x v="3"/>
    <x v="9"/>
    <x v="43"/>
    <x v="12"/>
    <x v="4"/>
    <n v="6.8737063650000003"/>
  </r>
  <r>
    <x v="0"/>
    <x v="3"/>
    <x v="9"/>
    <x v="43"/>
    <x v="13"/>
    <x v="4"/>
    <n v="12.785221173"/>
  </r>
  <r>
    <x v="0"/>
    <x v="3"/>
    <x v="9"/>
    <x v="43"/>
    <x v="14"/>
    <x v="4"/>
    <n v="24.405459474000001"/>
  </r>
  <r>
    <x v="0"/>
    <x v="3"/>
    <x v="9"/>
    <x v="43"/>
    <x v="15"/>
    <x v="4"/>
    <n v="47.932542542999997"/>
  </r>
  <r>
    <x v="0"/>
    <x v="3"/>
    <x v="9"/>
    <x v="43"/>
    <x v="16"/>
    <x v="4"/>
    <n v="3.4037082619999999"/>
  </r>
  <r>
    <x v="0"/>
    <x v="3"/>
    <x v="9"/>
    <x v="43"/>
    <x v="17"/>
    <x v="4"/>
    <n v="0"/>
  </r>
  <r>
    <x v="0"/>
    <x v="3"/>
    <x v="9"/>
    <x v="43"/>
    <x v="18"/>
    <x v="4"/>
    <n v="4.0176093679999996"/>
  </r>
  <r>
    <x v="0"/>
    <x v="3"/>
    <x v="9"/>
    <x v="43"/>
    <x v="19"/>
    <x v="4"/>
    <n v="1.0817663850000001"/>
  </r>
  <r>
    <x v="0"/>
    <x v="3"/>
    <x v="9"/>
    <x v="43"/>
    <x v="20"/>
    <x v="4"/>
    <n v="1.072938567"/>
  </r>
  <r>
    <x v="0"/>
    <x v="3"/>
    <x v="9"/>
    <x v="43"/>
    <x v="21"/>
    <x v="4"/>
    <n v="56.595510169999997"/>
  </r>
  <r>
    <x v="0"/>
    <x v="3"/>
    <x v="9"/>
    <x v="43"/>
    <x v="22"/>
    <x v="4"/>
    <n v="26.011172785999999"/>
  </r>
  <r>
    <x v="0"/>
    <x v="3"/>
    <x v="9"/>
    <x v="43"/>
    <x v="23"/>
    <x v="4"/>
    <n v="28.434612788999999"/>
  </r>
  <r>
    <x v="0"/>
    <x v="3"/>
    <x v="9"/>
    <x v="43"/>
    <x v="24"/>
    <x v="4"/>
    <n v="1.4284061109999999"/>
  </r>
  <r>
    <x v="0"/>
    <x v="3"/>
    <x v="9"/>
    <x v="43"/>
    <x v="25"/>
    <x v="4"/>
    <n v="1.3561580010000001"/>
  </r>
  <r>
    <x v="0"/>
    <x v="3"/>
    <x v="9"/>
    <x v="43"/>
    <x v="26"/>
    <x v="4"/>
    <n v="0"/>
  </r>
  <r>
    <x v="0"/>
    <x v="3"/>
    <x v="9"/>
    <x v="43"/>
    <x v="27"/>
    <x v="4"/>
    <n v="0"/>
  </r>
  <r>
    <x v="0"/>
    <x v="3"/>
    <x v="9"/>
    <x v="43"/>
    <x v="28"/>
    <x v="4"/>
    <n v="24.714652895"/>
  </r>
  <r>
    <x v="0"/>
    <x v="3"/>
    <x v="9"/>
    <x v="43"/>
    <x v="29"/>
    <x v="4"/>
    <n v="17.779365168999998"/>
  </r>
  <r>
    <x v="0"/>
    <x v="3"/>
    <x v="9"/>
    <x v="43"/>
    <x v="30"/>
    <x v="4"/>
    <n v="3.657430121"/>
  </r>
  <r>
    <x v="0"/>
    <x v="3"/>
    <x v="9"/>
    <x v="43"/>
    <x v="31"/>
    <x v="4"/>
    <n v="0"/>
  </r>
  <r>
    <x v="0"/>
    <x v="3"/>
    <x v="9"/>
    <x v="43"/>
    <x v="32"/>
    <x v="4"/>
    <n v="98.849932217000003"/>
  </r>
  <r>
    <x v="0"/>
    <x v="3"/>
    <x v="9"/>
    <x v="43"/>
    <x v="33"/>
    <x v="4"/>
    <n v="42.125284419000003"/>
  </r>
  <r>
    <x v="0"/>
    <x v="3"/>
    <x v="9"/>
    <x v="43"/>
    <x v="34"/>
    <x v="4"/>
    <n v="14.903684839"/>
  </r>
  <r>
    <x v="0"/>
    <x v="3"/>
    <x v="9"/>
    <x v="43"/>
    <x v="35"/>
    <x v="4"/>
    <n v="61.644047825999998"/>
  </r>
  <r>
    <x v="0"/>
    <x v="3"/>
    <x v="9"/>
    <x v="43"/>
    <x v="36"/>
    <x v="4"/>
    <n v="107.974864865"/>
  </r>
  <r>
    <x v="0"/>
    <x v="3"/>
    <x v="9"/>
    <x v="43"/>
    <x v="37"/>
    <x v="4"/>
    <n v="398.11168742000001"/>
  </r>
  <r>
    <x v="0"/>
    <x v="3"/>
    <x v="9"/>
    <x v="43"/>
    <x v="38"/>
    <x v="4"/>
    <n v="6.862075344"/>
  </r>
  <r>
    <x v="0"/>
    <x v="3"/>
    <x v="9"/>
    <x v="43"/>
    <x v="39"/>
    <x v="4"/>
    <n v="1.0270122770000001"/>
  </r>
  <r>
    <x v="0"/>
    <x v="3"/>
    <x v="9"/>
    <x v="43"/>
    <x v="40"/>
    <x v="4"/>
    <n v="1.140783847"/>
  </r>
  <r>
    <x v="0"/>
    <x v="3"/>
    <x v="9"/>
    <x v="43"/>
    <x v="41"/>
    <x v="4"/>
    <n v="13.672754721"/>
  </r>
  <r>
    <x v="0"/>
    <x v="3"/>
    <x v="9"/>
    <x v="43"/>
    <x v="42"/>
    <x v="4"/>
    <n v="-14.219911908"/>
  </r>
  <r>
    <x v="0"/>
    <x v="3"/>
    <x v="9"/>
    <x v="43"/>
    <x v="43"/>
    <x v="4"/>
    <n v="1.5455276920000001"/>
  </r>
  <r>
    <x v="0"/>
    <x v="3"/>
    <x v="9"/>
    <x v="43"/>
    <x v="44"/>
    <x v="4"/>
    <n v="11.218511156"/>
  </r>
  <r>
    <x v="0"/>
    <x v="3"/>
    <x v="9"/>
    <x v="43"/>
    <x v="45"/>
    <x v="4"/>
    <n v="-0.95553376099999998"/>
  </r>
  <r>
    <x v="0"/>
    <x v="3"/>
    <x v="10"/>
    <x v="43"/>
    <x v="0"/>
    <x v="4"/>
    <n v="4.6980122919999996"/>
  </r>
  <r>
    <x v="0"/>
    <x v="3"/>
    <x v="11"/>
    <x v="43"/>
    <x v="0"/>
    <x v="4"/>
    <n v="67.560281433"/>
  </r>
  <r>
    <x v="0"/>
    <x v="3"/>
    <x v="12"/>
    <x v="0"/>
    <x v="0"/>
    <x v="0"/>
    <n v="699.52015440900004"/>
  </r>
  <r>
    <x v="0"/>
    <x v="3"/>
    <x v="13"/>
    <x v="0"/>
    <x v="0"/>
    <x v="0"/>
    <n v="272.75239397500002"/>
  </r>
  <r>
    <x v="0"/>
    <x v="3"/>
    <x v="14"/>
    <x v="0"/>
    <x v="0"/>
    <x v="0"/>
    <n v="1.0086469309999999"/>
  </r>
  <r>
    <x v="0"/>
    <x v="3"/>
    <x v="15"/>
    <x v="0"/>
    <x v="0"/>
    <x v="1"/>
    <n v="0.16291199100000001"/>
  </r>
  <r>
    <x v="0"/>
    <x v="3"/>
    <x v="16"/>
    <x v="0"/>
    <x v="0"/>
    <x v="1"/>
    <n v="0.173454578"/>
  </r>
  <r>
    <x v="0"/>
    <x v="3"/>
    <x v="12"/>
    <x v="1"/>
    <x v="0"/>
    <x v="0"/>
    <n v="235.465140367"/>
  </r>
  <r>
    <x v="0"/>
    <x v="3"/>
    <x v="13"/>
    <x v="1"/>
    <x v="0"/>
    <x v="0"/>
    <n v="37.055636087000003"/>
  </r>
  <r>
    <x v="0"/>
    <x v="3"/>
    <x v="14"/>
    <x v="1"/>
    <x v="0"/>
    <x v="0"/>
    <n v="0.327258985"/>
  </r>
  <r>
    <x v="0"/>
    <x v="3"/>
    <x v="15"/>
    <x v="1"/>
    <x v="0"/>
    <x v="1"/>
    <n v="9.4574315000000006E-2"/>
  </r>
  <r>
    <x v="0"/>
    <x v="3"/>
    <x v="16"/>
    <x v="1"/>
    <x v="0"/>
    <x v="1"/>
    <n v="9.6426541000000004E-2"/>
  </r>
  <r>
    <x v="0"/>
    <x v="3"/>
    <x v="12"/>
    <x v="2"/>
    <x v="0"/>
    <x v="0"/>
    <n v="286.57429007299999"/>
  </r>
  <r>
    <x v="0"/>
    <x v="3"/>
    <x v="13"/>
    <x v="2"/>
    <x v="0"/>
    <x v="0"/>
    <n v="102.798630684"/>
  </r>
  <r>
    <x v="0"/>
    <x v="3"/>
    <x v="14"/>
    <x v="2"/>
    <x v="0"/>
    <x v="0"/>
    <n v="2.2741459229999998"/>
  </r>
  <r>
    <x v="0"/>
    <x v="3"/>
    <x v="15"/>
    <x v="2"/>
    <x v="0"/>
    <x v="1"/>
    <n v="6.0867751999999997E-2"/>
  </r>
  <r>
    <x v="0"/>
    <x v="3"/>
    <x v="16"/>
    <x v="2"/>
    <x v="0"/>
    <x v="1"/>
    <n v="5.6970804E-2"/>
  </r>
  <r>
    <x v="0"/>
    <x v="3"/>
    <x v="12"/>
    <x v="3"/>
    <x v="0"/>
    <x v="0"/>
    <n v="141.40829229900001"/>
  </r>
  <r>
    <x v="0"/>
    <x v="3"/>
    <x v="13"/>
    <x v="3"/>
    <x v="0"/>
    <x v="0"/>
    <n v="83.972843931"/>
  </r>
  <r>
    <x v="0"/>
    <x v="3"/>
    <x v="14"/>
    <x v="3"/>
    <x v="0"/>
    <x v="0"/>
    <n v="0.32030471799999999"/>
  </r>
  <r>
    <x v="0"/>
    <x v="3"/>
    <x v="15"/>
    <x v="3"/>
    <x v="0"/>
    <x v="1"/>
    <n v="7.4614019000000004E-2"/>
  </r>
  <r>
    <x v="0"/>
    <x v="3"/>
    <x v="16"/>
    <x v="3"/>
    <x v="0"/>
    <x v="1"/>
    <n v="7.6031398E-2"/>
  </r>
  <r>
    <x v="0"/>
    <x v="3"/>
    <x v="12"/>
    <x v="4"/>
    <x v="0"/>
    <x v="0"/>
    <n v="62.491145815000003"/>
  </r>
  <r>
    <x v="0"/>
    <x v="3"/>
    <x v="13"/>
    <x v="4"/>
    <x v="0"/>
    <x v="0"/>
    <n v="6.7498464990000002"/>
  </r>
  <r>
    <x v="0"/>
    <x v="3"/>
    <x v="14"/>
    <x v="4"/>
    <x v="0"/>
    <x v="0"/>
    <n v="0.52522066300000003"/>
  </r>
  <r>
    <x v="0"/>
    <x v="3"/>
    <x v="15"/>
    <x v="4"/>
    <x v="0"/>
    <x v="1"/>
    <n v="8.6201164999999996E-2"/>
  </r>
  <r>
    <x v="0"/>
    <x v="3"/>
    <x v="16"/>
    <x v="4"/>
    <x v="0"/>
    <x v="1"/>
    <n v="8.7072673000000003E-2"/>
  </r>
  <r>
    <x v="0"/>
    <x v="3"/>
    <x v="12"/>
    <x v="5"/>
    <x v="0"/>
    <x v="0"/>
    <n v="557.50604346900002"/>
  </r>
  <r>
    <x v="0"/>
    <x v="3"/>
    <x v="13"/>
    <x v="5"/>
    <x v="0"/>
    <x v="0"/>
    <n v="141.11644189800001"/>
  </r>
  <r>
    <x v="0"/>
    <x v="3"/>
    <x v="14"/>
    <x v="5"/>
    <x v="0"/>
    <x v="0"/>
    <n v="5.2057535899999996"/>
  </r>
  <r>
    <x v="0"/>
    <x v="3"/>
    <x v="15"/>
    <x v="5"/>
    <x v="0"/>
    <x v="1"/>
    <n v="0.123573945"/>
  </r>
  <r>
    <x v="0"/>
    <x v="3"/>
    <x v="16"/>
    <x v="5"/>
    <x v="0"/>
    <x v="1"/>
    <n v="0.12782800899999999"/>
  </r>
  <r>
    <x v="0"/>
    <x v="3"/>
    <x v="12"/>
    <x v="6"/>
    <x v="0"/>
    <x v="0"/>
    <n v="171.62494866200001"/>
  </r>
  <r>
    <x v="0"/>
    <x v="3"/>
    <x v="13"/>
    <x v="6"/>
    <x v="0"/>
    <x v="0"/>
    <n v="21.663798515"/>
  </r>
  <r>
    <x v="0"/>
    <x v="3"/>
    <x v="14"/>
    <x v="6"/>
    <x v="0"/>
    <x v="0"/>
    <n v="9.6457936550000003"/>
  </r>
  <r>
    <x v="0"/>
    <x v="3"/>
    <x v="15"/>
    <x v="6"/>
    <x v="0"/>
    <x v="1"/>
    <n v="0.11190208"/>
  </r>
  <r>
    <x v="0"/>
    <x v="3"/>
    <x v="16"/>
    <x v="6"/>
    <x v="0"/>
    <x v="1"/>
    <n v="0.113700517"/>
  </r>
  <r>
    <x v="0"/>
    <x v="3"/>
    <x v="12"/>
    <x v="7"/>
    <x v="0"/>
    <x v="0"/>
    <n v="96.911892768000001"/>
  </r>
  <r>
    <x v="0"/>
    <x v="3"/>
    <x v="13"/>
    <x v="7"/>
    <x v="0"/>
    <x v="0"/>
    <n v="35.398371767999997"/>
  </r>
  <r>
    <x v="0"/>
    <x v="3"/>
    <x v="14"/>
    <x v="7"/>
    <x v="0"/>
    <x v="0"/>
    <n v="20.263906212999999"/>
  </r>
  <r>
    <x v="0"/>
    <x v="3"/>
    <x v="15"/>
    <x v="7"/>
    <x v="0"/>
    <x v="1"/>
    <n v="0.11526491799999999"/>
  </r>
  <r>
    <x v="0"/>
    <x v="3"/>
    <x v="16"/>
    <x v="7"/>
    <x v="0"/>
    <x v="1"/>
    <n v="0.12067056800000001"/>
  </r>
  <r>
    <x v="0"/>
    <x v="3"/>
    <x v="12"/>
    <x v="8"/>
    <x v="0"/>
    <x v="0"/>
    <n v="83.504794603999997"/>
  </r>
  <r>
    <x v="0"/>
    <x v="3"/>
    <x v="13"/>
    <x v="8"/>
    <x v="0"/>
    <x v="0"/>
    <n v="10.523986943000001"/>
  </r>
  <r>
    <x v="0"/>
    <x v="3"/>
    <x v="14"/>
    <x v="8"/>
    <x v="0"/>
    <x v="0"/>
    <n v="7.9624412080000004"/>
  </r>
  <r>
    <x v="0"/>
    <x v="3"/>
    <x v="15"/>
    <x v="8"/>
    <x v="0"/>
    <x v="1"/>
    <n v="0.104359172"/>
  </r>
  <r>
    <x v="0"/>
    <x v="3"/>
    <x v="16"/>
    <x v="8"/>
    <x v="0"/>
    <x v="1"/>
    <n v="0.105963056"/>
  </r>
  <r>
    <x v="0"/>
    <x v="3"/>
    <x v="12"/>
    <x v="9"/>
    <x v="0"/>
    <x v="0"/>
    <n v="198.70510917199999"/>
  </r>
  <r>
    <x v="0"/>
    <x v="3"/>
    <x v="13"/>
    <x v="9"/>
    <x v="0"/>
    <x v="0"/>
    <n v="33.748522027999996"/>
  </r>
  <r>
    <x v="0"/>
    <x v="3"/>
    <x v="14"/>
    <x v="9"/>
    <x v="0"/>
    <x v="0"/>
    <n v="17.810183873"/>
  </r>
  <r>
    <x v="0"/>
    <x v="3"/>
    <x v="15"/>
    <x v="9"/>
    <x v="0"/>
    <x v="1"/>
    <n v="9.2533132000000004E-2"/>
  </r>
  <r>
    <x v="0"/>
    <x v="3"/>
    <x v="16"/>
    <x v="9"/>
    <x v="0"/>
    <x v="1"/>
    <n v="9.4124878999999995E-2"/>
  </r>
  <r>
    <x v="0"/>
    <x v="3"/>
    <x v="12"/>
    <x v="10"/>
    <x v="0"/>
    <x v="0"/>
    <n v="335.31807149299999"/>
  </r>
  <r>
    <x v="0"/>
    <x v="3"/>
    <x v="13"/>
    <x v="10"/>
    <x v="0"/>
    <x v="0"/>
    <n v="34.973312067000002"/>
  </r>
  <r>
    <x v="0"/>
    <x v="3"/>
    <x v="14"/>
    <x v="10"/>
    <x v="0"/>
    <x v="0"/>
    <n v="6.6602170479999998"/>
  </r>
  <r>
    <x v="0"/>
    <x v="3"/>
    <x v="15"/>
    <x v="10"/>
    <x v="0"/>
    <x v="1"/>
    <n v="6.7172649000000001E-2"/>
  </r>
  <r>
    <x v="0"/>
    <x v="3"/>
    <x v="16"/>
    <x v="10"/>
    <x v="0"/>
    <x v="1"/>
    <n v="6.6923149000000001E-2"/>
  </r>
  <r>
    <x v="0"/>
    <x v="3"/>
    <x v="12"/>
    <x v="11"/>
    <x v="0"/>
    <x v="0"/>
    <n v="846.77044962100001"/>
  </r>
  <r>
    <x v="0"/>
    <x v="3"/>
    <x v="13"/>
    <x v="11"/>
    <x v="0"/>
    <x v="0"/>
    <n v="187.266218092"/>
  </r>
  <r>
    <x v="0"/>
    <x v="3"/>
    <x v="14"/>
    <x v="11"/>
    <x v="0"/>
    <x v="0"/>
    <n v="37.952426330000002"/>
  </r>
  <r>
    <x v="0"/>
    <x v="3"/>
    <x v="15"/>
    <x v="11"/>
    <x v="0"/>
    <x v="1"/>
    <n v="8.0499046000000005E-2"/>
  </r>
  <r>
    <x v="0"/>
    <x v="3"/>
    <x v="16"/>
    <x v="11"/>
    <x v="0"/>
    <x v="1"/>
    <n v="8.1541372000000001E-2"/>
  </r>
  <r>
    <x v="0"/>
    <x v="3"/>
    <x v="12"/>
    <x v="12"/>
    <x v="0"/>
    <x v="0"/>
    <n v="254.86665925299999"/>
  </r>
  <r>
    <x v="0"/>
    <x v="3"/>
    <x v="13"/>
    <x v="12"/>
    <x v="0"/>
    <x v="0"/>
    <n v="8.1801363879999993"/>
  </r>
  <r>
    <x v="0"/>
    <x v="3"/>
    <x v="14"/>
    <x v="12"/>
    <x v="0"/>
    <x v="0"/>
    <n v="8.9431898239999992"/>
  </r>
  <r>
    <x v="0"/>
    <x v="3"/>
    <x v="15"/>
    <x v="12"/>
    <x v="0"/>
    <x v="1"/>
    <n v="8.2030148999999997E-2"/>
  </r>
  <r>
    <x v="0"/>
    <x v="3"/>
    <x v="16"/>
    <x v="12"/>
    <x v="0"/>
    <x v="1"/>
    <n v="8.2204467000000003E-2"/>
  </r>
  <r>
    <x v="0"/>
    <x v="3"/>
    <x v="12"/>
    <x v="13"/>
    <x v="0"/>
    <x v="0"/>
    <n v="706.27162858199995"/>
  </r>
  <r>
    <x v="0"/>
    <x v="3"/>
    <x v="13"/>
    <x v="13"/>
    <x v="0"/>
    <x v="0"/>
    <n v="81.677120971999997"/>
  </r>
  <r>
    <x v="0"/>
    <x v="3"/>
    <x v="14"/>
    <x v="13"/>
    <x v="0"/>
    <x v="0"/>
    <n v="22.008450156999999"/>
  </r>
  <r>
    <x v="0"/>
    <x v="3"/>
    <x v="15"/>
    <x v="13"/>
    <x v="0"/>
    <x v="1"/>
    <n v="6.7615145000000001E-2"/>
  </r>
  <r>
    <x v="0"/>
    <x v="3"/>
    <x v="16"/>
    <x v="13"/>
    <x v="0"/>
    <x v="1"/>
    <n v="6.7370880999999994E-2"/>
  </r>
  <r>
    <x v="0"/>
    <x v="3"/>
    <x v="12"/>
    <x v="14"/>
    <x v="0"/>
    <x v="0"/>
    <n v="175.24957103899999"/>
  </r>
  <r>
    <x v="0"/>
    <x v="3"/>
    <x v="13"/>
    <x v="14"/>
    <x v="0"/>
    <x v="0"/>
    <n v="10.498149385"/>
  </r>
  <r>
    <x v="0"/>
    <x v="3"/>
    <x v="14"/>
    <x v="14"/>
    <x v="0"/>
    <x v="0"/>
    <n v="16.162492288999999"/>
  </r>
  <r>
    <x v="0"/>
    <x v="3"/>
    <x v="15"/>
    <x v="14"/>
    <x v="0"/>
    <x v="1"/>
    <n v="7.8488960999999996E-2"/>
  </r>
  <r>
    <x v="0"/>
    <x v="3"/>
    <x v="16"/>
    <x v="14"/>
    <x v="0"/>
    <x v="1"/>
    <n v="7.8712444000000006E-2"/>
  </r>
  <r>
    <x v="0"/>
    <x v="3"/>
    <x v="12"/>
    <x v="15"/>
    <x v="0"/>
    <x v="0"/>
    <n v="187.53062757199999"/>
  </r>
  <r>
    <x v="0"/>
    <x v="3"/>
    <x v="13"/>
    <x v="15"/>
    <x v="0"/>
    <x v="0"/>
    <n v="70.032664668999999"/>
  </r>
  <r>
    <x v="0"/>
    <x v="3"/>
    <x v="14"/>
    <x v="15"/>
    <x v="0"/>
    <x v="0"/>
    <n v="23.236702822000002"/>
  </r>
  <r>
    <x v="0"/>
    <x v="3"/>
    <x v="15"/>
    <x v="15"/>
    <x v="0"/>
    <x v="1"/>
    <n v="8.3629395999999995E-2"/>
  </r>
  <r>
    <x v="0"/>
    <x v="3"/>
    <x v="16"/>
    <x v="15"/>
    <x v="0"/>
    <x v="1"/>
    <n v="8.5898419000000004E-2"/>
  </r>
  <r>
    <x v="0"/>
    <x v="3"/>
    <x v="12"/>
    <x v="16"/>
    <x v="0"/>
    <x v="0"/>
    <n v="118.859574974"/>
  </r>
  <r>
    <x v="0"/>
    <x v="3"/>
    <x v="13"/>
    <x v="16"/>
    <x v="0"/>
    <x v="0"/>
    <n v="59.751226508000002"/>
  </r>
  <r>
    <x v="0"/>
    <x v="3"/>
    <x v="14"/>
    <x v="16"/>
    <x v="0"/>
    <x v="0"/>
    <n v="10.91257719"/>
  </r>
  <r>
    <x v="0"/>
    <x v="3"/>
    <x v="15"/>
    <x v="16"/>
    <x v="0"/>
    <x v="1"/>
    <n v="8.7032497E-2"/>
  </r>
  <r>
    <x v="0"/>
    <x v="3"/>
    <x v="16"/>
    <x v="16"/>
    <x v="0"/>
    <x v="1"/>
    <n v="9.0721114000000005E-2"/>
  </r>
  <r>
    <x v="0"/>
    <x v="3"/>
    <x v="12"/>
    <x v="17"/>
    <x v="0"/>
    <x v="0"/>
    <n v="287.30718735699998"/>
  </r>
  <r>
    <x v="0"/>
    <x v="3"/>
    <x v="13"/>
    <x v="17"/>
    <x v="0"/>
    <x v="0"/>
    <n v="98.392263284999999"/>
  </r>
  <r>
    <x v="0"/>
    <x v="3"/>
    <x v="14"/>
    <x v="17"/>
    <x v="0"/>
    <x v="0"/>
    <n v="17.928714171999999"/>
  </r>
  <r>
    <x v="0"/>
    <x v="3"/>
    <x v="15"/>
    <x v="17"/>
    <x v="0"/>
    <x v="1"/>
    <n v="8.7499921999999994E-2"/>
  </r>
  <r>
    <x v="0"/>
    <x v="3"/>
    <x v="16"/>
    <x v="17"/>
    <x v="0"/>
    <x v="1"/>
    <n v="9.0054904000000005E-2"/>
  </r>
  <r>
    <x v="0"/>
    <x v="3"/>
    <x v="12"/>
    <x v="18"/>
    <x v="0"/>
    <x v="0"/>
    <n v="229.192479066"/>
  </r>
  <r>
    <x v="0"/>
    <x v="3"/>
    <x v="13"/>
    <x v="18"/>
    <x v="0"/>
    <x v="0"/>
    <n v="54.444486851000001"/>
  </r>
  <r>
    <x v="0"/>
    <x v="3"/>
    <x v="14"/>
    <x v="18"/>
    <x v="0"/>
    <x v="0"/>
    <n v="39.636436834999998"/>
  </r>
  <r>
    <x v="0"/>
    <x v="3"/>
    <x v="15"/>
    <x v="18"/>
    <x v="0"/>
    <x v="1"/>
    <n v="7.9324046999999995E-2"/>
  </r>
  <r>
    <x v="0"/>
    <x v="3"/>
    <x v="16"/>
    <x v="18"/>
    <x v="0"/>
    <x v="1"/>
    <n v="8.0296881000000001E-2"/>
  </r>
  <r>
    <x v="0"/>
    <x v="3"/>
    <x v="12"/>
    <x v="19"/>
    <x v="0"/>
    <x v="0"/>
    <n v="219.78761530700001"/>
  </r>
  <r>
    <x v="0"/>
    <x v="3"/>
    <x v="13"/>
    <x v="19"/>
    <x v="0"/>
    <x v="0"/>
    <n v="291.739553994"/>
  </r>
  <r>
    <x v="0"/>
    <x v="3"/>
    <x v="14"/>
    <x v="19"/>
    <x v="0"/>
    <x v="0"/>
    <n v="101.099908571"/>
  </r>
  <r>
    <x v="0"/>
    <x v="3"/>
    <x v="15"/>
    <x v="19"/>
    <x v="0"/>
    <x v="1"/>
    <n v="8.0170509000000001E-2"/>
  </r>
  <r>
    <x v="0"/>
    <x v="3"/>
    <x v="16"/>
    <x v="19"/>
    <x v="0"/>
    <x v="1"/>
    <n v="8.6327987999999994E-2"/>
  </r>
  <r>
    <x v="0"/>
    <x v="3"/>
    <x v="12"/>
    <x v="20"/>
    <x v="0"/>
    <x v="0"/>
    <n v="31.993187540000001"/>
  </r>
  <r>
    <x v="0"/>
    <x v="3"/>
    <x v="13"/>
    <x v="20"/>
    <x v="0"/>
    <x v="0"/>
    <n v="37.278269625"/>
  </r>
  <r>
    <x v="0"/>
    <x v="3"/>
    <x v="14"/>
    <x v="20"/>
    <x v="0"/>
    <x v="0"/>
    <n v="7.6684857769999999"/>
  </r>
  <r>
    <x v="0"/>
    <x v="3"/>
    <x v="15"/>
    <x v="20"/>
    <x v="0"/>
    <x v="1"/>
    <n v="7.7456537000000006E-2"/>
  </r>
  <r>
    <x v="0"/>
    <x v="3"/>
    <x v="16"/>
    <x v="20"/>
    <x v="0"/>
    <x v="1"/>
    <n v="8.1716312999999999E-2"/>
  </r>
  <r>
    <x v="0"/>
    <x v="3"/>
    <x v="12"/>
    <x v="21"/>
    <x v="0"/>
    <x v="0"/>
    <n v="15.02648381"/>
  </r>
  <r>
    <x v="0"/>
    <x v="3"/>
    <x v="13"/>
    <x v="21"/>
    <x v="0"/>
    <x v="0"/>
    <n v="0.88192703699999997"/>
  </r>
  <r>
    <x v="0"/>
    <x v="3"/>
    <x v="14"/>
    <x v="21"/>
    <x v="0"/>
    <x v="0"/>
    <n v="1.4077900999999999"/>
  </r>
  <r>
    <x v="0"/>
    <x v="3"/>
    <x v="15"/>
    <x v="21"/>
    <x v="0"/>
    <x v="1"/>
    <n v="9.7638691999999999E-2"/>
  </r>
  <r>
    <x v="0"/>
    <x v="3"/>
    <x v="16"/>
    <x v="21"/>
    <x v="0"/>
    <x v="1"/>
    <n v="9.8270629999999998E-2"/>
  </r>
  <r>
    <x v="0"/>
    <x v="3"/>
    <x v="12"/>
    <x v="22"/>
    <x v="0"/>
    <x v="0"/>
    <n v="82.250084563000001"/>
  </r>
  <r>
    <x v="0"/>
    <x v="3"/>
    <x v="13"/>
    <x v="22"/>
    <x v="0"/>
    <x v="0"/>
    <n v="1.6221938060000001"/>
  </r>
  <r>
    <x v="0"/>
    <x v="3"/>
    <x v="14"/>
    <x v="22"/>
    <x v="0"/>
    <x v="0"/>
    <n v="4.0615612700000003"/>
  </r>
  <r>
    <x v="0"/>
    <x v="3"/>
    <x v="15"/>
    <x v="22"/>
    <x v="0"/>
    <x v="1"/>
    <n v="2.1727781000000002E-2"/>
  </r>
  <r>
    <x v="0"/>
    <x v="3"/>
    <x v="16"/>
    <x v="22"/>
    <x v="0"/>
    <x v="1"/>
    <n v="1.8452098E-2"/>
  </r>
  <r>
    <x v="0"/>
    <x v="3"/>
    <x v="12"/>
    <x v="23"/>
    <x v="0"/>
    <x v="0"/>
    <n v="7.5794784709999998"/>
  </r>
  <r>
    <x v="0"/>
    <x v="3"/>
    <x v="13"/>
    <x v="23"/>
    <x v="0"/>
    <x v="0"/>
    <n v="0"/>
  </r>
  <r>
    <x v="0"/>
    <x v="3"/>
    <x v="14"/>
    <x v="23"/>
    <x v="0"/>
    <x v="0"/>
    <n v="0"/>
  </r>
  <r>
    <x v="0"/>
    <x v="3"/>
    <x v="15"/>
    <x v="23"/>
    <x v="0"/>
    <x v="1"/>
    <n v="9.3658849000000002E-2"/>
  </r>
  <r>
    <x v="0"/>
    <x v="3"/>
    <x v="16"/>
    <x v="23"/>
    <x v="0"/>
    <x v="1"/>
    <n v="9.3658849000000002E-2"/>
  </r>
  <r>
    <x v="0"/>
    <x v="3"/>
    <x v="12"/>
    <x v="24"/>
    <x v="0"/>
    <x v="0"/>
    <n v="408.64284066099998"/>
  </r>
  <r>
    <x v="0"/>
    <x v="3"/>
    <x v="13"/>
    <x v="24"/>
    <x v="0"/>
    <x v="0"/>
    <n v="0.30728526299999998"/>
  </r>
  <r>
    <x v="0"/>
    <x v="3"/>
    <x v="14"/>
    <x v="24"/>
    <x v="0"/>
    <x v="0"/>
    <n v="0.37755271400000001"/>
  </r>
  <r>
    <x v="0"/>
    <x v="3"/>
    <x v="15"/>
    <x v="24"/>
    <x v="0"/>
    <x v="1"/>
    <n v="7.3093123999999995E-2"/>
  </r>
  <r>
    <x v="0"/>
    <x v="3"/>
    <x v="16"/>
    <x v="24"/>
    <x v="0"/>
    <x v="1"/>
    <n v="7.3093948000000006E-2"/>
  </r>
  <r>
    <x v="0"/>
    <x v="3"/>
    <x v="12"/>
    <x v="25"/>
    <x v="0"/>
    <x v="0"/>
    <n v="25.777759583000002"/>
  </r>
  <r>
    <x v="0"/>
    <x v="3"/>
    <x v="13"/>
    <x v="25"/>
    <x v="0"/>
    <x v="0"/>
    <n v="2.2600000000000001E-7"/>
  </r>
  <r>
    <x v="0"/>
    <x v="3"/>
    <x v="14"/>
    <x v="25"/>
    <x v="0"/>
    <x v="0"/>
    <n v="0"/>
  </r>
  <r>
    <x v="0"/>
    <x v="3"/>
    <x v="15"/>
    <x v="25"/>
    <x v="0"/>
    <x v="1"/>
    <n v="6.6912775999999993E-2"/>
  </r>
  <r>
    <x v="0"/>
    <x v="3"/>
    <x v="16"/>
    <x v="25"/>
    <x v="0"/>
    <x v="1"/>
    <n v="6.6912775999999993E-2"/>
  </r>
  <r>
    <x v="0"/>
    <x v="3"/>
    <x v="12"/>
    <x v="26"/>
    <x v="0"/>
    <x v="0"/>
    <n v="11.703761079"/>
  </r>
  <r>
    <x v="0"/>
    <x v="3"/>
    <x v="13"/>
    <x v="26"/>
    <x v="0"/>
    <x v="0"/>
    <n v="0"/>
  </r>
  <r>
    <x v="0"/>
    <x v="3"/>
    <x v="14"/>
    <x v="26"/>
    <x v="0"/>
    <x v="0"/>
    <n v="0"/>
  </r>
  <r>
    <x v="0"/>
    <x v="3"/>
    <x v="15"/>
    <x v="26"/>
    <x v="0"/>
    <x v="1"/>
    <n v="9.3282305999999995E-2"/>
  </r>
  <r>
    <x v="0"/>
    <x v="3"/>
    <x v="16"/>
    <x v="26"/>
    <x v="0"/>
    <x v="1"/>
    <n v="9.3282305999999995E-2"/>
  </r>
  <r>
    <x v="0"/>
    <x v="3"/>
    <x v="12"/>
    <x v="27"/>
    <x v="0"/>
    <x v="0"/>
    <n v="498.92255049099998"/>
  </r>
  <r>
    <x v="0"/>
    <x v="3"/>
    <x v="13"/>
    <x v="27"/>
    <x v="0"/>
    <x v="0"/>
    <n v="5.2458424900000002"/>
  </r>
  <r>
    <x v="0"/>
    <x v="3"/>
    <x v="14"/>
    <x v="27"/>
    <x v="0"/>
    <x v="0"/>
    <n v="1.7896456140000001"/>
  </r>
  <r>
    <x v="0"/>
    <x v="3"/>
    <x v="15"/>
    <x v="27"/>
    <x v="0"/>
    <x v="1"/>
    <n v="0.106186298"/>
  </r>
  <r>
    <x v="0"/>
    <x v="3"/>
    <x v="16"/>
    <x v="27"/>
    <x v="0"/>
    <x v="1"/>
    <n v="0.10632855500000001"/>
  </r>
  <r>
    <x v="0"/>
    <x v="3"/>
    <x v="12"/>
    <x v="28"/>
    <x v="0"/>
    <x v="0"/>
    <n v="561.788922759"/>
  </r>
  <r>
    <x v="0"/>
    <x v="3"/>
    <x v="13"/>
    <x v="28"/>
    <x v="0"/>
    <x v="0"/>
    <n v="0"/>
  </r>
  <r>
    <x v="0"/>
    <x v="3"/>
    <x v="14"/>
    <x v="28"/>
    <x v="0"/>
    <x v="0"/>
    <n v="69.941687625"/>
  </r>
  <r>
    <x v="0"/>
    <x v="3"/>
    <x v="15"/>
    <x v="28"/>
    <x v="0"/>
    <x v="1"/>
    <n v="7.5754274999999996E-2"/>
  </r>
  <r>
    <x v="0"/>
    <x v="3"/>
    <x v="16"/>
    <x v="28"/>
    <x v="0"/>
    <x v="1"/>
    <n v="7.5754274999999996E-2"/>
  </r>
  <r>
    <x v="0"/>
    <x v="3"/>
    <x v="12"/>
    <x v="29"/>
    <x v="0"/>
    <x v="0"/>
    <n v="470.51513138500002"/>
  </r>
  <r>
    <x v="0"/>
    <x v="3"/>
    <x v="13"/>
    <x v="29"/>
    <x v="0"/>
    <x v="0"/>
    <n v="53.315652458999999"/>
  </r>
  <r>
    <x v="0"/>
    <x v="3"/>
    <x v="14"/>
    <x v="29"/>
    <x v="0"/>
    <x v="0"/>
    <n v="23.306258026999998"/>
  </r>
  <r>
    <x v="0"/>
    <x v="3"/>
    <x v="15"/>
    <x v="29"/>
    <x v="0"/>
    <x v="1"/>
    <n v="8.3453833000000005E-2"/>
  </r>
  <r>
    <x v="0"/>
    <x v="3"/>
    <x v="16"/>
    <x v="29"/>
    <x v="0"/>
    <x v="1"/>
    <n v="8.4191861000000007E-2"/>
  </r>
  <r>
    <x v="0"/>
    <x v="3"/>
    <x v="12"/>
    <x v="30"/>
    <x v="0"/>
    <x v="0"/>
    <n v="124.67981240100001"/>
  </r>
  <r>
    <x v="0"/>
    <x v="3"/>
    <x v="13"/>
    <x v="30"/>
    <x v="0"/>
    <x v="0"/>
    <n v="35.830925405999999"/>
  </r>
  <r>
    <x v="0"/>
    <x v="3"/>
    <x v="14"/>
    <x v="30"/>
    <x v="0"/>
    <x v="0"/>
    <n v="0.97261488799999996"/>
  </r>
  <r>
    <x v="0"/>
    <x v="3"/>
    <x v="15"/>
    <x v="30"/>
    <x v="0"/>
    <x v="1"/>
    <n v="0.127398276"/>
  </r>
  <r>
    <x v="0"/>
    <x v="3"/>
    <x v="16"/>
    <x v="30"/>
    <x v="0"/>
    <x v="1"/>
    <n v="0.13293249700000001"/>
  </r>
  <r>
    <x v="0"/>
    <x v="3"/>
    <x v="12"/>
    <x v="31"/>
    <x v="0"/>
    <x v="0"/>
    <n v="192.741964763"/>
  </r>
  <r>
    <x v="0"/>
    <x v="3"/>
    <x v="13"/>
    <x v="31"/>
    <x v="0"/>
    <x v="0"/>
    <n v="8.5872464080000004"/>
  </r>
  <r>
    <x v="0"/>
    <x v="3"/>
    <x v="14"/>
    <x v="31"/>
    <x v="0"/>
    <x v="0"/>
    <n v="6.6021284170000003"/>
  </r>
  <r>
    <x v="0"/>
    <x v="3"/>
    <x v="15"/>
    <x v="31"/>
    <x v="0"/>
    <x v="1"/>
    <n v="6.8097646999999997E-2"/>
  </r>
  <r>
    <x v="0"/>
    <x v="3"/>
    <x v="16"/>
    <x v="31"/>
    <x v="0"/>
    <x v="1"/>
    <n v="6.8004268000000007E-2"/>
  </r>
  <r>
    <x v="0"/>
    <x v="3"/>
    <x v="12"/>
    <x v="32"/>
    <x v="0"/>
    <x v="0"/>
    <n v="651.27541269699998"/>
  </r>
  <r>
    <x v="0"/>
    <x v="3"/>
    <x v="13"/>
    <x v="32"/>
    <x v="0"/>
    <x v="0"/>
    <n v="4.6966920859999997"/>
  </r>
  <r>
    <x v="0"/>
    <x v="3"/>
    <x v="14"/>
    <x v="32"/>
    <x v="0"/>
    <x v="0"/>
    <n v="3.0631306970000001"/>
  </r>
  <r>
    <x v="0"/>
    <x v="3"/>
    <x v="15"/>
    <x v="32"/>
    <x v="0"/>
    <x v="1"/>
    <n v="6.7032180999999996E-2"/>
  </r>
  <r>
    <x v="0"/>
    <x v="3"/>
    <x v="16"/>
    <x v="32"/>
    <x v="0"/>
    <x v="1"/>
    <n v="6.7009773999999994E-2"/>
  </r>
  <r>
    <x v="0"/>
    <x v="3"/>
    <x v="12"/>
    <x v="33"/>
    <x v="0"/>
    <x v="0"/>
    <n v="661.609956109"/>
  </r>
  <r>
    <x v="0"/>
    <x v="3"/>
    <x v="13"/>
    <x v="33"/>
    <x v="0"/>
    <x v="0"/>
    <n v="0"/>
  </r>
  <r>
    <x v="0"/>
    <x v="3"/>
    <x v="14"/>
    <x v="33"/>
    <x v="0"/>
    <x v="0"/>
    <n v="0"/>
  </r>
  <r>
    <x v="0"/>
    <x v="3"/>
    <x v="15"/>
    <x v="33"/>
    <x v="0"/>
    <x v="1"/>
    <n v="4.3194006E-2"/>
  </r>
  <r>
    <x v="0"/>
    <x v="3"/>
    <x v="16"/>
    <x v="33"/>
    <x v="0"/>
    <x v="1"/>
    <n v="4.3194006E-2"/>
  </r>
  <r>
    <x v="0"/>
    <x v="3"/>
    <x v="12"/>
    <x v="34"/>
    <x v="0"/>
    <x v="0"/>
    <n v="289.330815062"/>
  </r>
  <r>
    <x v="0"/>
    <x v="3"/>
    <x v="13"/>
    <x v="34"/>
    <x v="0"/>
    <x v="0"/>
    <n v="57.906492700000001"/>
  </r>
  <r>
    <x v="0"/>
    <x v="3"/>
    <x v="14"/>
    <x v="34"/>
    <x v="0"/>
    <x v="0"/>
    <n v="15.280287599999999"/>
  </r>
  <r>
    <x v="0"/>
    <x v="3"/>
    <x v="15"/>
    <x v="34"/>
    <x v="0"/>
    <x v="1"/>
    <n v="8.8650308999999997E-2"/>
  </r>
  <r>
    <x v="0"/>
    <x v="3"/>
    <x v="16"/>
    <x v="34"/>
    <x v="0"/>
    <x v="1"/>
    <n v="9.0350653000000003E-2"/>
  </r>
  <r>
    <x v="0"/>
    <x v="3"/>
    <x v="12"/>
    <x v="35"/>
    <x v="0"/>
    <x v="0"/>
    <n v="189.79068943600001"/>
  </r>
  <r>
    <x v="0"/>
    <x v="3"/>
    <x v="13"/>
    <x v="35"/>
    <x v="0"/>
    <x v="0"/>
    <n v="4.8495862729999999"/>
  </r>
  <r>
    <x v="0"/>
    <x v="3"/>
    <x v="14"/>
    <x v="35"/>
    <x v="0"/>
    <x v="0"/>
    <n v="8.6510851E-2"/>
  </r>
  <r>
    <x v="0"/>
    <x v="3"/>
    <x v="15"/>
    <x v="35"/>
    <x v="0"/>
    <x v="1"/>
    <n v="9.5184260000000007E-2"/>
  </r>
  <r>
    <x v="0"/>
    <x v="3"/>
    <x v="16"/>
    <x v="35"/>
    <x v="0"/>
    <x v="1"/>
    <n v="9.5465833E-2"/>
  </r>
  <r>
    <x v="0"/>
    <x v="3"/>
    <x v="12"/>
    <x v="36"/>
    <x v="0"/>
    <x v="0"/>
    <n v="48.363746958"/>
  </r>
  <r>
    <x v="0"/>
    <x v="3"/>
    <x v="13"/>
    <x v="36"/>
    <x v="0"/>
    <x v="0"/>
    <n v="8.3122933139999997"/>
  </r>
  <r>
    <x v="0"/>
    <x v="3"/>
    <x v="14"/>
    <x v="36"/>
    <x v="0"/>
    <x v="0"/>
    <n v="0.325462582"/>
  </r>
  <r>
    <x v="0"/>
    <x v="3"/>
    <x v="15"/>
    <x v="36"/>
    <x v="0"/>
    <x v="1"/>
    <n v="0.10764243599999999"/>
  </r>
  <r>
    <x v="0"/>
    <x v="3"/>
    <x v="16"/>
    <x v="36"/>
    <x v="0"/>
    <x v="1"/>
    <n v="0.110229442"/>
  </r>
  <r>
    <x v="0"/>
    <x v="3"/>
    <x v="12"/>
    <x v="37"/>
    <x v="0"/>
    <x v="0"/>
    <n v="93.622427305000002"/>
  </r>
  <r>
    <x v="0"/>
    <x v="3"/>
    <x v="13"/>
    <x v="37"/>
    <x v="0"/>
    <x v="0"/>
    <n v="3.2847186860000002"/>
  </r>
  <r>
    <x v="0"/>
    <x v="3"/>
    <x v="14"/>
    <x v="37"/>
    <x v="0"/>
    <x v="0"/>
    <n v="0.26773451500000001"/>
  </r>
  <r>
    <x v="0"/>
    <x v="3"/>
    <x v="15"/>
    <x v="37"/>
    <x v="0"/>
    <x v="1"/>
    <n v="0.117047058"/>
  </r>
  <r>
    <x v="0"/>
    <x v="3"/>
    <x v="16"/>
    <x v="37"/>
    <x v="0"/>
    <x v="1"/>
    <n v="0.117706142"/>
  </r>
  <r>
    <x v="0"/>
    <x v="3"/>
    <x v="12"/>
    <x v="38"/>
    <x v="0"/>
    <x v="0"/>
    <n v="151.60815237599999"/>
  </r>
  <r>
    <x v="0"/>
    <x v="3"/>
    <x v="13"/>
    <x v="38"/>
    <x v="0"/>
    <x v="0"/>
    <n v="7.8215285039999998"/>
  </r>
  <r>
    <x v="0"/>
    <x v="3"/>
    <x v="14"/>
    <x v="38"/>
    <x v="0"/>
    <x v="0"/>
    <n v="7.0640101999999996E-2"/>
  </r>
  <r>
    <x v="0"/>
    <x v="3"/>
    <x v="15"/>
    <x v="38"/>
    <x v="0"/>
    <x v="1"/>
    <n v="0.168605423"/>
  </r>
  <r>
    <x v="0"/>
    <x v="3"/>
    <x v="16"/>
    <x v="38"/>
    <x v="0"/>
    <x v="1"/>
    <n v="0.17026702699999999"/>
  </r>
  <r>
    <x v="0"/>
    <x v="3"/>
    <x v="12"/>
    <x v="39"/>
    <x v="0"/>
    <x v="0"/>
    <n v="87.614573328000006"/>
  </r>
  <r>
    <x v="0"/>
    <x v="3"/>
    <x v="13"/>
    <x v="39"/>
    <x v="0"/>
    <x v="0"/>
    <n v="3.3769538909999999"/>
  </r>
  <r>
    <x v="0"/>
    <x v="3"/>
    <x v="14"/>
    <x v="39"/>
    <x v="0"/>
    <x v="0"/>
    <n v="7.2029468999999999E-2"/>
  </r>
  <r>
    <x v="0"/>
    <x v="3"/>
    <x v="15"/>
    <x v="39"/>
    <x v="0"/>
    <x v="1"/>
    <n v="0.138104016"/>
  </r>
  <r>
    <x v="0"/>
    <x v="3"/>
    <x v="16"/>
    <x v="39"/>
    <x v="0"/>
    <x v="1"/>
    <n v="0.13894811500000001"/>
  </r>
  <r>
    <x v="0"/>
    <x v="3"/>
    <x v="12"/>
    <x v="40"/>
    <x v="0"/>
    <x v="0"/>
    <n v="45.505704985000001"/>
  </r>
  <r>
    <x v="0"/>
    <x v="3"/>
    <x v="13"/>
    <x v="40"/>
    <x v="0"/>
    <x v="0"/>
    <n v="28.075526426"/>
  </r>
  <r>
    <x v="0"/>
    <x v="3"/>
    <x v="14"/>
    <x v="40"/>
    <x v="0"/>
    <x v="0"/>
    <n v="1.683615555"/>
  </r>
  <r>
    <x v="0"/>
    <x v="3"/>
    <x v="15"/>
    <x v="40"/>
    <x v="0"/>
    <x v="1"/>
    <n v="9.8287269999999996E-2"/>
  </r>
  <r>
    <x v="0"/>
    <x v="3"/>
    <x v="16"/>
    <x v="40"/>
    <x v="0"/>
    <x v="1"/>
    <n v="0.106183529"/>
  </r>
  <r>
    <x v="0"/>
    <x v="3"/>
    <x v="12"/>
    <x v="41"/>
    <x v="0"/>
    <x v="0"/>
    <n v="316.94398949399999"/>
  </r>
  <r>
    <x v="0"/>
    <x v="3"/>
    <x v="13"/>
    <x v="41"/>
    <x v="0"/>
    <x v="0"/>
    <n v="6.1666889229999997"/>
  </r>
  <r>
    <x v="0"/>
    <x v="3"/>
    <x v="14"/>
    <x v="41"/>
    <x v="0"/>
    <x v="0"/>
    <n v="0.119659695"/>
  </r>
  <r>
    <x v="0"/>
    <x v="3"/>
    <x v="15"/>
    <x v="41"/>
    <x v="0"/>
    <x v="1"/>
    <n v="0.16234396600000001"/>
  </r>
  <r>
    <x v="0"/>
    <x v="3"/>
    <x v="16"/>
    <x v="41"/>
    <x v="0"/>
    <x v="1"/>
    <n v="0.16289685700000001"/>
  </r>
  <r>
    <x v="0"/>
    <x v="3"/>
    <x v="17"/>
    <x v="0"/>
    <x v="46"/>
    <x v="1"/>
    <n v="121.46213086900001"/>
  </r>
  <r>
    <x v="0"/>
    <x v="3"/>
    <x v="17"/>
    <x v="0"/>
    <x v="47"/>
    <x v="1"/>
    <n v="121.46213086900001"/>
  </r>
  <r>
    <x v="0"/>
    <x v="3"/>
    <x v="17"/>
    <x v="0"/>
    <x v="48"/>
    <x v="1"/>
    <n v="121.46213086900001"/>
  </r>
  <r>
    <x v="0"/>
    <x v="3"/>
    <x v="17"/>
    <x v="0"/>
    <x v="49"/>
    <x v="1"/>
    <n v="0"/>
  </r>
  <r>
    <x v="0"/>
    <x v="3"/>
    <x v="17"/>
    <x v="0"/>
    <x v="50"/>
    <x v="1"/>
    <n v="0"/>
  </r>
  <r>
    <x v="0"/>
    <x v="3"/>
    <x v="17"/>
    <x v="0"/>
    <x v="51"/>
    <x v="1"/>
    <n v="0"/>
  </r>
  <r>
    <x v="0"/>
    <x v="3"/>
    <x v="17"/>
    <x v="0"/>
    <x v="52"/>
    <x v="1"/>
    <n v="0"/>
  </r>
  <r>
    <x v="0"/>
    <x v="3"/>
    <x v="17"/>
    <x v="0"/>
    <x v="53"/>
    <x v="1"/>
    <n v="0"/>
  </r>
  <r>
    <x v="0"/>
    <x v="3"/>
    <x v="17"/>
    <x v="0"/>
    <x v="54"/>
    <x v="1"/>
    <n v="0"/>
  </r>
  <r>
    <x v="0"/>
    <x v="3"/>
    <x v="17"/>
    <x v="0"/>
    <x v="55"/>
    <x v="1"/>
    <n v="0"/>
  </r>
  <r>
    <x v="0"/>
    <x v="3"/>
    <x v="17"/>
    <x v="1"/>
    <x v="46"/>
    <x v="1"/>
    <n v="22.733911704"/>
  </r>
  <r>
    <x v="0"/>
    <x v="3"/>
    <x v="17"/>
    <x v="1"/>
    <x v="47"/>
    <x v="1"/>
    <n v="22.733911704"/>
  </r>
  <r>
    <x v="0"/>
    <x v="3"/>
    <x v="17"/>
    <x v="1"/>
    <x v="48"/>
    <x v="1"/>
    <n v="22.733911704"/>
  </r>
  <r>
    <x v="0"/>
    <x v="3"/>
    <x v="17"/>
    <x v="1"/>
    <x v="49"/>
    <x v="1"/>
    <n v="0"/>
  </r>
  <r>
    <x v="0"/>
    <x v="3"/>
    <x v="17"/>
    <x v="1"/>
    <x v="50"/>
    <x v="1"/>
    <n v="0"/>
  </r>
  <r>
    <x v="0"/>
    <x v="3"/>
    <x v="17"/>
    <x v="1"/>
    <x v="51"/>
    <x v="1"/>
    <n v="0"/>
  </r>
  <r>
    <x v="0"/>
    <x v="3"/>
    <x v="17"/>
    <x v="1"/>
    <x v="52"/>
    <x v="1"/>
    <n v="0"/>
  </r>
  <r>
    <x v="0"/>
    <x v="3"/>
    <x v="17"/>
    <x v="1"/>
    <x v="53"/>
    <x v="1"/>
    <n v="0"/>
  </r>
  <r>
    <x v="0"/>
    <x v="3"/>
    <x v="17"/>
    <x v="1"/>
    <x v="54"/>
    <x v="1"/>
    <n v="0"/>
  </r>
  <r>
    <x v="0"/>
    <x v="3"/>
    <x v="17"/>
    <x v="1"/>
    <x v="55"/>
    <x v="1"/>
    <n v="0"/>
  </r>
  <r>
    <x v="0"/>
    <x v="3"/>
    <x v="17"/>
    <x v="2"/>
    <x v="46"/>
    <x v="1"/>
    <n v="16.469889882"/>
  </r>
  <r>
    <x v="0"/>
    <x v="3"/>
    <x v="17"/>
    <x v="2"/>
    <x v="47"/>
    <x v="1"/>
    <n v="16.469889882"/>
  </r>
  <r>
    <x v="0"/>
    <x v="3"/>
    <x v="17"/>
    <x v="2"/>
    <x v="48"/>
    <x v="1"/>
    <n v="16.469889882"/>
  </r>
  <r>
    <x v="0"/>
    <x v="3"/>
    <x v="17"/>
    <x v="2"/>
    <x v="49"/>
    <x v="1"/>
    <n v="0"/>
  </r>
  <r>
    <x v="0"/>
    <x v="3"/>
    <x v="17"/>
    <x v="2"/>
    <x v="50"/>
    <x v="1"/>
    <n v="0"/>
  </r>
  <r>
    <x v="0"/>
    <x v="3"/>
    <x v="17"/>
    <x v="2"/>
    <x v="51"/>
    <x v="1"/>
    <n v="0"/>
  </r>
  <r>
    <x v="0"/>
    <x v="3"/>
    <x v="17"/>
    <x v="2"/>
    <x v="52"/>
    <x v="1"/>
    <n v="0"/>
  </r>
  <r>
    <x v="0"/>
    <x v="3"/>
    <x v="17"/>
    <x v="2"/>
    <x v="53"/>
    <x v="1"/>
    <n v="0"/>
  </r>
  <r>
    <x v="0"/>
    <x v="3"/>
    <x v="17"/>
    <x v="2"/>
    <x v="54"/>
    <x v="1"/>
    <n v="0"/>
  </r>
  <r>
    <x v="0"/>
    <x v="3"/>
    <x v="17"/>
    <x v="2"/>
    <x v="55"/>
    <x v="1"/>
    <n v="0"/>
  </r>
  <r>
    <x v="0"/>
    <x v="3"/>
    <x v="17"/>
    <x v="3"/>
    <x v="46"/>
    <x v="1"/>
    <n v="10.77669098"/>
  </r>
  <r>
    <x v="0"/>
    <x v="3"/>
    <x v="17"/>
    <x v="3"/>
    <x v="47"/>
    <x v="1"/>
    <n v="10.77669098"/>
  </r>
  <r>
    <x v="0"/>
    <x v="3"/>
    <x v="17"/>
    <x v="3"/>
    <x v="48"/>
    <x v="1"/>
    <n v="10.77669098"/>
  </r>
  <r>
    <x v="0"/>
    <x v="3"/>
    <x v="17"/>
    <x v="3"/>
    <x v="49"/>
    <x v="1"/>
    <n v="0"/>
  </r>
  <r>
    <x v="0"/>
    <x v="3"/>
    <x v="17"/>
    <x v="3"/>
    <x v="50"/>
    <x v="1"/>
    <n v="0"/>
  </r>
  <r>
    <x v="0"/>
    <x v="3"/>
    <x v="17"/>
    <x v="3"/>
    <x v="51"/>
    <x v="1"/>
    <n v="0"/>
  </r>
  <r>
    <x v="0"/>
    <x v="3"/>
    <x v="17"/>
    <x v="3"/>
    <x v="52"/>
    <x v="1"/>
    <n v="0"/>
  </r>
  <r>
    <x v="0"/>
    <x v="3"/>
    <x v="17"/>
    <x v="3"/>
    <x v="53"/>
    <x v="1"/>
    <n v="0"/>
  </r>
  <r>
    <x v="0"/>
    <x v="3"/>
    <x v="17"/>
    <x v="3"/>
    <x v="54"/>
    <x v="1"/>
    <n v="0"/>
  </r>
  <r>
    <x v="0"/>
    <x v="3"/>
    <x v="17"/>
    <x v="3"/>
    <x v="55"/>
    <x v="1"/>
    <n v="0"/>
  </r>
  <r>
    <x v="0"/>
    <x v="3"/>
    <x v="17"/>
    <x v="4"/>
    <x v="46"/>
    <x v="1"/>
    <n v="5.4849739929999997"/>
  </r>
  <r>
    <x v="0"/>
    <x v="3"/>
    <x v="17"/>
    <x v="4"/>
    <x v="47"/>
    <x v="1"/>
    <n v="5.4849739929999997"/>
  </r>
  <r>
    <x v="0"/>
    <x v="3"/>
    <x v="17"/>
    <x v="4"/>
    <x v="48"/>
    <x v="1"/>
    <n v="5.4849739929999997"/>
  </r>
  <r>
    <x v="0"/>
    <x v="3"/>
    <x v="17"/>
    <x v="4"/>
    <x v="49"/>
    <x v="1"/>
    <n v="0"/>
  </r>
  <r>
    <x v="0"/>
    <x v="3"/>
    <x v="17"/>
    <x v="4"/>
    <x v="50"/>
    <x v="1"/>
    <n v="0"/>
  </r>
  <r>
    <x v="0"/>
    <x v="3"/>
    <x v="17"/>
    <x v="4"/>
    <x v="51"/>
    <x v="1"/>
    <n v="0"/>
  </r>
  <r>
    <x v="0"/>
    <x v="3"/>
    <x v="17"/>
    <x v="4"/>
    <x v="52"/>
    <x v="1"/>
    <n v="0"/>
  </r>
  <r>
    <x v="0"/>
    <x v="3"/>
    <x v="17"/>
    <x v="4"/>
    <x v="53"/>
    <x v="1"/>
    <n v="0"/>
  </r>
  <r>
    <x v="0"/>
    <x v="3"/>
    <x v="17"/>
    <x v="4"/>
    <x v="54"/>
    <x v="1"/>
    <n v="0"/>
  </r>
  <r>
    <x v="0"/>
    <x v="3"/>
    <x v="17"/>
    <x v="4"/>
    <x v="55"/>
    <x v="1"/>
    <n v="0"/>
  </r>
  <r>
    <x v="0"/>
    <x v="3"/>
    <x v="17"/>
    <x v="5"/>
    <x v="46"/>
    <x v="1"/>
    <n v="71.804808851999994"/>
  </r>
  <r>
    <x v="0"/>
    <x v="3"/>
    <x v="17"/>
    <x v="5"/>
    <x v="47"/>
    <x v="1"/>
    <n v="71.804808851999994"/>
  </r>
  <r>
    <x v="0"/>
    <x v="3"/>
    <x v="17"/>
    <x v="5"/>
    <x v="48"/>
    <x v="1"/>
    <n v="71.804808851999994"/>
  </r>
  <r>
    <x v="0"/>
    <x v="3"/>
    <x v="17"/>
    <x v="5"/>
    <x v="49"/>
    <x v="1"/>
    <n v="0"/>
  </r>
  <r>
    <x v="0"/>
    <x v="3"/>
    <x v="17"/>
    <x v="5"/>
    <x v="50"/>
    <x v="1"/>
    <n v="0"/>
  </r>
  <r>
    <x v="0"/>
    <x v="3"/>
    <x v="17"/>
    <x v="5"/>
    <x v="51"/>
    <x v="1"/>
    <n v="0"/>
  </r>
  <r>
    <x v="0"/>
    <x v="3"/>
    <x v="17"/>
    <x v="5"/>
    <x v="52"/>
    <x v="1"/>
    <n v="0"/>
  </r>
  <r>
    <x v="0"/>
    <x v="3"/>
    <x v="17"/>
    <x v="5"/>
    <x v="53"/>
    <x v="1"/>
    <n v="0"/>
  </r>
  <r>
    <x v="0"/>
    <x v="3"/>
    <x v="17"/>
    <x v="5"/>
    <x v="54"/>
    <x v="1"/>
    <n v="0"/>
  </r>
  <r>
    <x v="0"/>
    <x v="3"/>
    <x v="17"/>
    <x v="5"/>
    <x v="55"/>
    <x v="1"/>
    <n v="0"/>
  </r>
  <r>
    <x v="0"/>
    <x v="3"/>
    <x v="17"/>
    <x v="6"/>
    <x v="46"/>
    <x v="1"/>
    <n v="20.503107542999999"/>
  </r>
  <r>
    <x v="0"/>
    <x v="3"/>
    <x v="17"/>
    <x v="6"/>
    <x v="47"/>
    <x v="1"/>
    <n v="20.503107542999999"/>
  </r>
  <r>
    <x v="0"/>
    <x v="3"/>
    <x v="17"/>
    <x v="6"/>
    <x v="48"/>
    <x v="1"/>
    <n v="20.503107542999999"/>
  </r>
  <r>
    <x v="0"/>
    <x v="3"/>
    <x v="17"/>
    <x v="6"/>
    <x v="49"/>
    <x v="1"/>
    <n v="0"/>
  </r>
  <r>
    <x v="0"/>
    <x v="3"/>
    <x v="17"/>
    <x v="6"/>
    <x v="50"/>
    <x v="1"/>
    <n v="0"/>
  </r>
  <r>
    <x v="0"/>
    <x v="3"/>
    <x v="17"/>
    <x v="6"/>
    <x v="51"/>
    <x v="1"/>
    <n v="0"/>
  </r>
  <r>
    <x v="0"/>
    <x v="3"/>
    <x v="17"/>
    <x v="6"/>
    <x v="52"/>
    <x v="1"/>
    <n v="0"/>
  </r>
  <r>
    <x v="0"/>
    <x v="3"/>
    <x v="17"/>
    <x v="6"/>
    <x v="53"/>
    <x v="1"/>
    <n v="0"/>
  </r>
  <r>
    <x v="0"/>
    <x v="3"/>
    <x v="17"/>
    <x v="6"/>
    <x v="54"/>
    <x v="1"/>
    <n v="0"/>
  </r>
  <r>
    <x v="0"/>
    <x v="3"/>
    <x v="17"/>
    <x v="6"/>
    <x v="55"/>
    <x v="1"/>
    <n v="0"/>
  </r>
  <r>
    <x v="0"/>
    <x v="3"/>
    <x v="17"/>
    <x v="7"/>
    <x v="46"/>
    <x v="1"/>
    <n v="13.77811455"/>
  </r>
  <r>
    <x v="0"/>
    <x v="3"/>
    <x v="17"/>
    <x v="7"/>
    <x v="47"/>
    <x v="1"/>
    <n v="13.77811455"/>
  </r>
  <r>
    <x v="0"/>
    <x v="3"/>
    <x v="17"/>
    <x v="7"/>
    <x v="48"/>
    <x v="1"/>
    <n v="13.77811455"/>
  </r>
  <r>
    <x v="0"/>
    <x v="3"/>
    <x v="17"/>
    <x v="7"/>
    <x v="49"/>
    <x v="1"/>
    <n v="0"/>
  </r>
  <r>
    <x v="0"/>
    <x v="3"/>
    <x v="17"/>
    <x v="7"/>
    <x v="50"/>
    <x v="1"/>
    <n v="0"/>
  </r>
  <r>
    <x v="0"/>
    <x v="3"/>
    <x v="17"/>
    <x v="7"/>
    <x v="51"/>
    <x v="1"/>
    <n v="0"/>
  </r>
  <r>
    <x v="0"/>
    <x v="3"/>
    <x v="17"/>
    <x v="7"/>
    <x v="52"/>
    <x v="1"/>
    <n v="0"/>
  </r>
  <r>
    <x v="0"/>
    <x v="3"/>
    <x v="17"/>
    <x v="7"/>
    <x v="53"/>
    <x v="1"/>
    <n v="0"/>
  </r>
  <r>
    <x v="0"/>
    <x v="3"/>
    <x v="17"/>
    <x v="7"/>
    <x v="54"/>
    <x v="1"/>
    <n v="0"/>
  </r>
  <r>
    <x v="0"/>
    <x v="3"/>
    <x v="17"/>
    <x v="7"/>
    <x v="55"/>
    <x v="1"/>
    <n v="0"/>
  </r>
  <r>
    <x v="0"/>
    <x v="3"/>
    <x v="17"/>
    <x v="8"/>
    <x v="46"/>
    <x v="1"/>
    <n v="9.6264079539999994"/>
  </r>
  <r>
    <x v="0"/>
    <x v="3"/>
    <x v="17"/>
    <x v="8"/>
    <x v="47"/>
    <x v="1"/>
    <n v="9.6264079539999994"/>
  </r>
  <r>
    <x v="0"/>
    <x v="3"/>
    <x v="17"/>
    <x v="8"/>
    <x v="48"/>
    <x v="1"/>
    <n v="9.6264079539999994"/>
  </r>
  <r>
    <x v="0"/>
    <x v="3"/>
    <x v="17"/>
    <x v="8"/>
    <x v="49"/>
    <x v="1"/>
    <n v="0"/>
  </r>
  <r>
    <x v="0"/>
    <x v="3"/>
    <x v="17"/>
    <x v="8"/>
    <x v="50"/>
    <x v="1"/>
    <n v="0"/>
  </r>
  <r>
    <x v="0"/>
    <x v="3"/>
    <x v="17"/>
    <x v="8"/>
    <x v="51"/>
    <x v="1"/>
    <n v="0"/>
  </r>
  <r>
    <x v="0"/>
    <x v="3"/>
    <x v="17"/>
    <x v="8"/>
    <x v="52"/>
    <x v="1"/>
    <n v="0"/>
  </r>
  <r>
    <x v="0"/>
    <x v="3"/>
    <x v="17"/>
    <x v="8"/>
    <x v="53"/>
    <x v="1"/>
    <n v="0"/>
  </r>
  <r>
    <x v="0"/>
    <x v="3"/>
    <x v="17"/>
    <x v="8"/>
    <x v="54"/>
    <x v="1"/>
    <n v="0"/>
  </r>
  <r>
    <x v="0"/>
    <x v="3"/>
    <x v="17"/>
    <x v="8"/>
    <x v="55"/>
    <x v="1"/>
    <n v="0"/>
  </r>
  <r>
    <x v="0"/>
    <x v="3"/>
    <x v="17"/>
    <x v="9"/>
    <x v="46"/>
    <x v="1"/>
    <n v="20.249625576"/>
  </r>
  <r>
    <x v="0"/>
    <x v="3"/>
    <x v="17"/>
    <x v="9"/>
    <x v="47"/>
    <x v="1"/>
    <n v="20.249625576"/>
  </r>
  <r>
    <x v="0"/>
    <x v="3"/>
    <x v="17"/>
    <x v="9"/>
    <x v="48"/>
    <x v="1"/>
    <n v="20.249625576"/>
  </r>
  <r>
    <x v="0"/>
    <x v="3"/>
    <x v="17"/>
    <x v="9"/>
    <x v="49"/>
    <x v="1"/>
    <n v="0"/>
  </r>
  <r>
    <x v="0"/>
    <x v="3"/>
    <x v="17"/>
    <x v="9"/>
    <x v="50"/>
    <x v="1"/>
    <n v="0"/>
  </r>
  <r>
    <x v="0"/>
    <x v="3"/>
    <x v="17"/>
    <x v="9"/>
    <x v="51"/>
    <x v="1"/>
    <n v="0"/>
  </r>
  <r>
    <x v="0"/>
    <x v="3"/>
    <x v="17"/>
    <x v="9"/>
    <x v="52"/>
    <x v="1"/>
    <n v="0"/>
  </r>
  <r>
    <x v="0"/>
    <x v="3"/>
    <x v="17"/>
    <x v="9"/>
    <x v="53"/>
    <x v="1"/>
    <n v="0"/>
  </r>
  <r>
    <x v="0"/>
    <x v="3"/>
    <x v="17"/>
    <x v="9"/>
    <x v="54"/>
    <x v="1"/>
    <n v="0"/>
  </r>
  <r>
    <x v="0"/>
    <x v="3"/>
    <x v="17"/>
    <x v="9"/>
    <x v="55"/>
    <x v="1"/>
    <n v="0"/>
  </r>
  <r>
    <x v="0"/>
    <x v="3"/>
    <x v="17"/>
    <x v="10"/>
    <x v="46"/>
    <x v="1"/>
    <n v="22.914658600999999"/>
  </r>
  <r>
    <x v="0"/>
    <x v="3"/>
    <x v="17"/>
    <x v="10"/>
    <x v="47"/>
    <x v="1"/>
    <n v="22.914658600999999"/>
  </r>
  <r>
    <x v="0"/>
    <x v="3"/>
    <x v="17"/>
    <x v="10"/>
    <x v="48"/>
    <x v="1"/>
    <n v="22.914658600999999"/>
  </r>
  <r>
    <x v="0"/>
    <x v="3"/>
    <x v="17"/>
    <x v="10"/>
    <x v="49"/>
    <x v="1"/>
    <n v="0"/>
  </r>
  <r>
    <x v="0"/>
    <x v="3"/>
    <x v="17"/>
    <x v="10"/>
    <x v="50"/>
    <x v="1"/>
    <n v="0"/>
  </r>
  <r>
    <x v="0"/>
    <x v="3"/>
    <x v="17"/>
    <x v="10"/>
    <x v="51"/>
    <x v="1"/>
    <n v="0"/>
  </r>
  <r>
    <x v="0"/>
    <x v="3"/>
    <x v="17"/>
    <x v="10"/>
    <x v="52"/>
    <x v="1"/>
    <n v="0"/>
  </r>
  <r>
    <x v="0"/>
    <x v="3"/>
    <x v="17"/>
    <x v="10"/>
    <x v="53"/>
    <x v="1"/>
    <n v="0"/>
  </r>
  <r>
    <x v="0"/>
    <x v="3"/>
    <x v="17"/>
    <x v="10"/>
    <x v="54"/>
    <x v="1"/>
    <n v="0"/>
  </r>
  <r>
    <x v="0"/>
    <x v="3"/>
    <x v="17"/>
    <x v="10"/>
    <x v="55"/>
    <x v="1"/>
    <n v="0"/>
  </r>
  <r>
    <x v="0"/>
    <x v="3"/>
    <x v="17"/>
    <x v="11"/>
    <x v="46"/>
    <x v="1"/>
    <n v="72.138811924999999"/>
  </r>
  <r>
    <x v="0"/>
    <x v="3"/>
    <x v="17"/>
    <x v="11"/>
    <x v="47"/>
    <x v="1"/>
    <n v="72.138811924999999"/>
  </r>
  <r>
    <x v="0"/>
    <x v="3"/>
    <x v="17"/>
    <x v="11"/>
    <x v="48"/>
    <x v="1"/>
    <n v="72.138811924999999"/>
  </r>
  <r>
    <x v="0"/>
    <x v="3"/>
    <x v="17"/>
    <x v="11"/>
    <x v="49"/>
    <x v="1"/>
    <n v="0"/>
  </r>
  <r>
    <x v="0"/>
    <x v="3"/>
    <x v="17"/>
    <x v="11"/>
    <x v="50"/>
    <x v="1"/>
    <n v="0"/>
  </r>
  <r>
    <x v="0"/>
    <x v="3"/>
    <x v="17"/>
    <x v="11"/>
    <x v="51"/>
    <x v="1"/>
    <n v="0"/>
  </r>
  <r>
    <x v="0"/>
    <x v="3"/>
    <x v="17"/>
    <x v="11"/>
    <x v="52"/>
    <x v="1"/>
    <n v="0"/>
  </r>
  <r>
    <x v="0"/>
    <x v="3"/>
    <x v="17"/>
    <x v="11"/>
    <x v="53"/>
    <x v="1"/>
    <n v="0"/>
  </r>
  <r>
    <x v="0"/>
    <x v="3"/>
    <x v="17"/>
    <x v="11"/>
    <x v="54"/>
    <x v="1"/>
    <n v="0"/>
  </r>
  <r>
    <x v="0"/>
    <x v="3"/>
    <x v="17"/>
    <x v="11"/>
    <x v="55"/>
    <x v="1"/>
    <n v="0"/>
  </r>
  <r>
    <x v="0"/>
    <x v="3"/>
    <x v="17"/>
    <x v="12"/>
    <x v="46"/>
    <x v="1"/>
    <n v="21.713625178000001"/>
  </r>
  <r>
    <x v="0"/>
    <x v="3"/>
    <x v="17"/>
    <x v="12"/>
    <x v="47"/>
    <x v="1"/>
    <n v="21.713625178000001"/>
  </r>
  <r>
    <x v="0"/>
    <x v="3"/>
    <x v="17"/>
    <x v="12"/>
    <x v="48"/>
    <x v="1"/>
    <n v="21.713625178000001"/>
  </r>
  <r>
    <x v="0"/>
    <x v="3"/>
    <x v="17"/>
    <x v="12"/>
    <x v="49"/>
    <x v="1"/>
    <n v="0"/>
  </r>
  <r>
    <x v="0"/>
    <x v="3"/>
    <x v="17"/>
    <x v="12"/>
    <x v="50"/>
    <x v="1"/>
    <n v="0"/>
  </r>
  <r>
    <x v="0"/>
    <x v="3"/>
    <x v="17"/>
    <x v="12"/>
    <x v="51"/>
    <x v="1"/>
    <n v="0"/>
  </r>
  <r>
    <x v="0"/>
    <x v="3"/>
    <x v="17"/>
    <x v="12"/>
    <x v="52"/>
    <x v="1"/>
    <n v="0"/>
  </r>
  <r>
    <x v="0"/>
    <x v="3"/>
    <x v="17"/>
    <x v="12"/>
    <x v="53"/>
    <x v="1"/>
    <n v="0"/>
  </r>
  <r>
    <x v="0"/>
    <x v="3"/>
    <x v="17"/>
    <x v="12"/>
    <x v="54"/>
    <x v="1"/>
    <n v="0"/>
  </r>
  <r>
    <x v="0"/>
    <x v="3"/>
    <x v="17"/>
    <x v="12"/>
    <x v="55"/>
    <x v="1"/>
    <n v="0"/>
  </r>
  <r>
    <x v="0"/>
    <x v="3"/>
    <x v="17"/>
    <x v="13"/>
    <x v="46"/>
    <x v="1"/>
    <n v="49.223235547000002"/>
  </r>
  <r>
    <x v="0"/>
    <x v="3"/>
    <x v="17"/>
    <x v="13"/>
    <x v="47"/>
    <x v="1"/>
    <n v="49.223235547000002"/>
  </r>
  <r>
    <x v="0"/>
    <x v="3"/>
    <x v="17"/>
    <x v="13"/>
    <x v="48"/>
    <x v="1"/>
    <n v="49.223235547000002"/>
  </r>
  <r>
    <x v="0"/>
    <x v="3"/>
    <x v="17"/>
    <x v="13"/>
    <x v="49"/>
    <x v="1"/>
    <n v="0"/>
  </r>
  <r>
    <x v="0"/>
    <x v="3"/>
    <x v="17"/>
    <x v="13"/>
    <x v="50"/>
    <x v="1"/>
    <n v="0"/>
  </r>
  <r>
    <x v="0"/>
    <x v="3"/>
    <x v="17"/>
    <x v="13"/>
    <x v="51"/>
    <x v="1"/>
    <n v="0"/>
  </r>
  <r>
    <x v="0"/>
    <x v="3"/>
    <x v="17"/>
    <x v="13"/>
    <x v="52"/>
    <x v="1"/>
    <n v="0"/>
  </r>
  <r>
    <x v="0"/>
    <x v="3"/>
    <x v="17"/>
    <x v="13"/>
    <x v="53"/>
    <x v="1"/>
    <n v="0"/>
  </r>
  <r>
    <x v="0"/>
    <x v="3"/>
    <x v="17"/>
    <x v="13"/>
    <x v="54"/>
    <x v="1"/>
    <n v="0"/>
  </r>
  <r>
    <x v="0"/>
    <x v="3"/>
    <x v="17"/>
    <x v="13"/>
    <x v="55"/>
    <x v="1"/>
    <n v="0"/>
  </r>
  <r>
    <x v="0"/>
    <x v="3"/>
    <x v="17"/>
    <x v="14"/>
    <x v="46"/>
    <x v="1"/>
    <n v="15.107094518"/>
  </r>
  <r>
    <x v="0"/>
    <x v="3"/>
    <x v="17"/>
    <x v="14"/>
    <x v="47"/>
    <x v="1"/>
    <n v="15.107094518"/>
  </r>
  <r>
    <x v="0"/>
    <x v="3"/>
    <x v="17"/>
    <x v="14"/>
    <x v="48"/>
    <x v="1"/>
    <n v="15.107094518"/>
  </r>
  <r>
    <x v="0"/>
    <x v="3"/>
    <x v="17"/>
    <x v="14"/>
    <x v="49"/>
    <x v="1"/>
    <n v="0"/>
  </r>
  <r>
    <x v="0"/>
    <x v="3"/>
    <x v="17"/>
    <x v="14"/>
    <x v="50"/>
    <x v="1"/>
    <n v="0"/>
  </r>
  <r>
    <x v="0"/>
    <x v="3"/>
    <x v="17"/>
    <x v="14"/>
    <x v="51"/>
    <x v="1"/>
    <n v="0"/>
  </r>
  <r>
    <x v="0"/>
    <x v="3"/>
    <x v="17"/>
    <x v="14"/>
    <x v="52"/>
    <x v="1"/>
    <n v="0"/>
  </r>
  <r>
    <x v="0"/>
    <x v="3"/>
    <x v="17"/>
    <x v="14"/>
    <x v="53"/>
    <x v="1"/>
    <n v="0"/>
  </r>
  <r>
    <x v="0"/>
    <x v="3"/>
    <x v="17"/>
    <x v="14"/>
    <x v="54"/>
    <x v="1"/>
    <n v="0"/>
  </r>
  <r>
    <x v="0"/>
    <x v="3"/>
    <x v="17"/>
    <x v="14"/>
    <x v="55"/>
    <x v="1"/>
    <n v="0"/>
  </r>
  <r>
    <x v="0"/>
    <x v="3"/>
    <x v="17"/>
    <x v="15"/>
    <x v="46"/>
    <x v="1"/>
    <n v="18.112911947000001"/>
  </r>
  <r>
    <x v="0"/>
    <x v="3"/>
    <x v="17"/>
    <x v="15"/>
    <x v="47"/>
    <x v="1"/>
    <n v="18.112911947000001"/>
  </r>
  <r>
    <x v="0"/>
    <x v="3"/>
    <x v="17"/>
    <x v="15"/>
    <x v="48"/>
    <x v="1"/>
    <n v="18.112911947000001"/>
  </r>
  <r>
    <x v="0"/>
    <x v="3"/>
    <x v="17"/>
    <x v="15"/>
    <x v="49"/>
    <x v="1"/>
    <n v="0"/>
  </r>
  <r>
    <x v="0"/>
    <x v="3"/>
    <x v="17"/>
    <x v="15"/>
    <x v="50"/>
    <x v="1"/>
    <n v="0"/>
  </r>
  <r>
    <x v="0"/>
    <x v="3"/>
    <x v="17"/>
    <x v="15"/>
    <x v="51"/>
    <x v="1"/>
    <n v="0"/>
  </r>
  <r>
    <x v="0"/>
    <x v="3"/>
    <x v="17"/>
    <x v="15"/>
    <x v="52"/>
    <x v="1"/>
    <n v="0"/>
  </r>
  <r>
    <x v="0"/>
    <x v="3"/>
    <x v="17"/>
    <x v="15"/>
    <x v="53"/>
    <x v="1"/>
    <n v="0"/>
  </r>
  <r>
    <x v="0"/>
    <x v="3"/>
    <x v="17"/>
    <x v="15"/>
    <x v="54"/>
    <x v="1"/>
    <n v="0"/>
  </r>
  <r>
    <x v="0"/>
    <x v="3"/>
    <x v="17"/>
    <x v="15"/>
    <x v="55"/>
    <x v="1"/>
    <n v="0"/>
  </r>
  <r>
    <x v="0"/>
    <x v="3"/>
    <x v="17"/>
    <x v="16"/>
    <x v="46"/>
    <x v="1"/>
    <n v="11.750584457"/>
  </r>
  <r>
    <x v="0"/>
    <x v="3"/>
    <x v="17"/>
    <x v="16"/>
    <x v="47"/>
    <x v="1"/>
    <n v="11.750584457"/>
  </r>
  <r>
    <x v="0"/>
    <x v="3"/>
    <x v="17"/>
    <x v="16"/>
    <x v="48"/>
    <x v="1"/>
    <n v="11.750584457"/>
  </r>
  <r>
    <x v="0"/>
    <x v="3"/>
    <x v="17"/>
    <x v="16"/>
    <x v="49"/>
    <x v="1"/>
    <n v="0"/>
  </r>
  <r>
    <x v="0"/>
    <x v="3"/>
    <x v="17"/>
    <x v="16"/>
    <x v="50"/>
    <x v="1"/>
    <n v="0"/>
  </r>
  <r>
    <x v="0"/>
    <x v="3"/>
    <x v="17"/>
    <x v="16"/>
    <x v="51"/>
    <x v="1"/>
    <n v="0"/>
  </r>
  <r>
    <x v="0"/>
    <x v="3"/>
    <x v="17"/>
    <x v="16"/>
    <x v="52"/>
    <x v="1"/>
    <n v="0"/>
  </r>
  <r>
    <x v="0"/>
    <x v="3"/>
    <x v="17"/>
    <x v="16"/>
    <x v="53"/>
    <x v="1"/>
    <n v="0"/>
  </r>
  <r>
    <x v="0"/>
    <x v="3"/>
    <x v="17"/>
    <x v="16"/>
    <x v="54"/>
    <x v="1"/>
    <n v="0"/>
  </r>
  <r>
    <x v="0"/>
    <x v="3"/>
    <x v="17"/>
    <x v="16"/>
    <x v="55"/>
    <x v="1"/>
    <n v="0"/>
  </r>
  <r>
    <x v="0"/>
    <x v="3"/>
    <x v="17"/>
    <x v="17"/>
    <x v="46"/>
    <x v="1"/>
    <n v="27.447605120999999"/>
  </r>
  <r>
    <x v="0"/>
    <x v="3"/>
    <x v="17"/>
    <x v="17"/>
    <x v="47"/>
    <x v="1"/>
    <n v="27.447605120999999"/>
  </r>
  <r>
    <x v="0"/>
    <x v="3"/>
    <x v="17"/>
    <x v="17"/>
    <x v="48"/>
    <x v="1"/>
    <n v="27.447605120999999"/>
  </r>
  <r>
    <x v="0"/>
    <x v="3"/>
    <x v="17"/>
    <x v="17"/>
    <x v="49"/>
    <x v="1"/>
    <n v="0"/>
  </r>
  <r>
    <x v="0"/>
    <x v="3"/>
    <x v="17"/>
    <x v="17"/>
    <x v="50"/>
    <x v="1"/>
    <n v="0"/>
  </r>
  <r>
    <x v="0"/>
    <x v="3"/>
    <x v="17"/>
    <x v="17"/>
    <x v="51"/>
    <x v="1"/>
    <n v="0"/>
  </r>
  <r>
    <x v="0"/>
    <x v="3"/>
    <x v="17"/>
    <x v="17"/>
    <x v="52"/>
    <x v="1"/>
    <n v="0"/>
  </r>
  <r>
    <x v="0"/>
    <x v="3"/>
    <x v="17"/>
    <x v="17"/>
    <x v="53"/>
    <x v="1"/>
    <n v="0"/>
  </r>
  <r>
    <x v="0"/>
    <x v="3"/>
    <x v="17"/>
    <x v="17"/>
    <x v="54"/>
    <x v="1"/>
    <n v="0"/>
  </r>
  <r>
    <x v="0"/>
    <x v="3"/>
    <x v="17"/>
    <x v="17"/>
    <x v="55"/>
    <x v="1"/>
    <n v="0"/>
  </r>
  <r>
    <x v="0"/>
    <x v="3"/>
    <x v="17"/>
    <x v="18"/>
    <x v="46"/>
    <x v="1"/>
    <n v="21.650254155999999"/>
  </r>
  <r>
    <x v="0"/>
    <x v="3"/>
    <x v="17"/>
    <x v="18"/>
    <x v="47"/>
    <x v="1"/>
    <n v="21.650254155999999"/>
  </r>
  <r>
    <x v="0"/>
    <x v="3"/>
    <x v="17"/>
    <x v="18"/>
    <x v="48"/>
    <x v="1"/>
    <n v="21.650254155999999"/>
  </r>
  <r>
    <x v="0"/>
    <x v="3"/>
    <x v="17"/>
    <x v="18"/>
    <x v="49"/>
    <x v="1"/>
    <n v="0"/>
  </r>
  <r>
    <x v="0"/>
    <x v="3"/>
    <x v="17"/>
    <x v="18"/>
    <x v="50"/>
    <x v="1"/>
    <n v="0"/>
  </r>
  <r>
    <x v="0"/>
    <x v="3"/>
    <x v="17"/>
    <x v="18"/>
    <x v="51"/>
    <x v="1"/>
    <n v="0"/>
  </r>
  <r>
    <x v="0"/>
    <x v="3"/>
    <x v="17"/>
    <x v="18"/>
    <x v="52"/>
    <x v="1"/>
    <n v="0"/>
  </r>
  <r>
    <x v="0"/>
    <x v="3"/>
    <x v="17"/>
    <x v="18"/>
    <x v="53"/>
    <x v="1"/>
    <n v="0"/>
  </r>
  <r>
    <x v="0"/>
    <x v="3"/>
    <x v="17"/>
    <x v="18"/>
    <x v="54"/>
    <x v="1"/>
    <n v="0"/>
  </r>
  <r>
    <x v="0"/>
    <x v="3"/>
    <x v="17"/>
    <x v="18"/>
    <x v="55"/>
    <x v="1"/>
    <n v="0"/>
  </r>
  <r>
    <x v="0"/>
    <x v="3"/>
    <x v="17"/>
    <x v="19"/>
    <x v="46"/>
    <x v="1"/>
    <n v="27.808159927999998"/>
  </r>
  <r>
    <x v="0"/>
    <x v="3"/>
    <x v="17"/>
    <x v="19"/>
    <x v="47"/>
    <x v="1"/>
    <n v="27.808159927999998"/>
  </r>
  <r>
    <x v="0"/>
    <x v="3"/>
    <x v="17"/>
    <x v="19"/>
    <x v="48"/>
    <x v="1"/>
    <n v="27.808159927999998"/>
  </r>
  <r>
    <x v="0"/>
    <x v="3"/>
    <x v="17"/>
    <x v="19"/>
    <x v="49"/>
    <x v="1"/>
    <n v="0"/>
  </r>
  <r>
    <x v="0"/>
    <x v="3"/>
    <x v="17"/>
    <x v="19"/>
    <x v="50"/>
    <x v="1"/>
    <n v="0"/>
  </r>
  <r>
    <x v="0"/>
    <x v="3"/>
    <x v="17"/>
    <x v="19"/>
    <x v="51"/>
    <x v="1"/>
    <n v="0"/>
  </r>
  <r>
    <x v="0"/>
    <x v="3"/>
    <x v="17"/>
    <x v="19"/>
    <x v="52"/>
    <x v="1"/>
    <n v="0"/>
  </r>
  <r>
    <x v="0"/>
    <x v="3"/>
    <x v="17"/>
    <x v="19"/>
    <x v="53"/>
    <x v="1"/>
    <n v="0"/>
  </r>
  <r>
    <x v="0"/>
    <x v="3"/>
    <x v="17"/>
    <x v="19"/>
    <x v="54"/>
    <x v="1"/>
    <n v="0"/>
  </r>
  <r>
    <x v="0"/>
    <x v="3"/>
    <x v="17"/>
    <x v="19"/>
    <x v="55"/>
    <x v="1"/>
    <n v="0"/>
  </r>
  <r>
    <x v="0"/>
    <x v="3"/>
    <x v="17"/>
    <x v="20"/>
    <x v="46"/>
    <x v="1"/>
    <n v="3.2428796279999998"/>
  </r>
  <r>
    <x v="0"/>
    <x v="3"/>
    <x v="17"/>
    <x v="20"/>
    <x v="47"/>
    <x v="1"/>
    <n v="3.2428796279999998"/>
  </r>
  <r>
    <x v="0"/>
    <x v="3"/>
    <x v="17"/>
    <x v="20"/>
    <x v="48"/>
    <x v="1"/>
    <n v="3.2428796279999998"/>
  </r>
  <r>
    <x v="0"/>
    <x v="3"/>
    <x v="17"/>
    <x v="20"/>
    <x v="49"/>
    <x v="1"/>
    <n v="0"/>
  </r>
  <r>
    <x v="0"/>
    <x v="3"/>
    <x v="17"/>
    <x v="20"/>
    <x v="50"/>
    <x v="1"/>
    <n v="0"/>
  </r>
  <r>
    <x v="0"/>
    <x v="3"/>
    <x v="17"/>
    <x v="20"/>
    <x v="51"/>
    <x v="1"/>
    <n v="0"/>
  </r>
  <r>
    <x v="0"/>
    <x v="3"/>
    <x v="17"/>
    <x v="20"/>
    <x v="52"/>
    <x v="1"/>
    <n v="0"/>
  </r>
  <r>
    <x v="0"/>
    <x v="3"/>
    <x v="17"/>
    <x v="20"/>
    <x v="53"/>
    <x v="1"/>
    <n v="0"/>
  </r>
  <r>
    <x v="0"/>
    <x v="3"/>
    <x v="17"/>
    <x v="20"/>
    <x v="54"/>
    <x v="1"/>
    <n v="0"/>
  </r>
  <r>
    <x v="0"/>
    <x v="3"/>
    <x v="17"/>
    <x v="20"/>
    <x v="55"/>
    <x v="1"/>
    <n v="0"/>
  </r>
  <r>
    <x v="0"/>
    <x v="3"/>
    <x v="17"/>
    <x v="21"/>
    <x v="46"/>
    <x v="1"/>
    <n v="1.6021193"/>
  </r>
  <r>
    <x v="0"/>
    <x v="3"/>
    <x v="17"/>
    <x v="21"/>
    <x v="47"/>
    <x v="1"/>
    <n v="1.6021193"/>
  </r>
  <r>
    <x v="0"/>
    <x v="3"/>
    <x v="17"/>
    <x v="21"/>
    <x v="48"/>
    <x v="1"/>
    <n v="1.6021193"/>
  </r>
  <r>
    <x v="0"/>
    <x v="3"/>
    <x v="17"/>
    <x v="21"/>
    <x v="49"/>
    <x v="1"/>
    <n v="0"/>
  </r>
  <r>
    <x v="0"/>
    <x v="3"/>
    <x v="17"/>
    <x v="21"/>
    <x v="50"/>
    <x v="1"/>
    <n v="0"/>
  </r>
  <r>
    <x v="0"/>
    <x v="3"/>
    <x v="17"/>
    <x v="21"/>
    <x v="51"/>
    <x v="1"/>
    <n v="0"/>
  </r>
  <r>
    <x v="0"/>
    <x v="3"/>
    <x v="17"/>
    <x v="21"/>
    <x v="52"/>
    <x v="1"/>
    <n v="0"/>
  </r>
  <r>
    <x v="0"/>
    <x v="3"/>
    <x v="17"/>
    <x v="21"/>
    <x v="53"/>
    <x v="1"/>
    <n v="0"/>
  </r>
  <r>
    <x v="0"/>
    <x v="3"/>
    <x v="17"/>
    <x v="21"/>
    <x v="54"/>
    <x v="1"/>
    <n v="0"/>
  </r>
  <r>
    <x v="0"/>
    <x v="3"/>
    <x v="17"/>
    <x v="21"/>
    <x v="55"/>
    <x v="1"/>
    <n v="0"/>
  </r>
  <r>
    <x v="0"/>
    <x v="3"/>
    <x v="17"/>
    <x v="22"/>
    <x v="46"/>
    <x v="1"/>
    <n v="1.653047226"/>
  </r>
  <r>
    <x v="0"/>
    <x v="3"/>
    <x v="17"/>
    <x v="22"/>
    <x v="47"/>
    <x v="1"/>
    <n v="1.653047226"/>
  </r>
  <r>
    <x v="0"/>
    <x v="3"/>
    <x v="17"/>
    <x v="22"/>
    <x v="48"/>
    <x v="1"/>
    <n v="1.653047226"/>
  </r>
  <r>
    <x v="0"/>
    <x v="3"/>
    <x v="17"/>
    <x v="22"/>
    <x v="49"/>
    <x v="1"/>
    <n v="0"/>
  </r>
  <r>
    <x v="0"/>
    <x v="3"/>
    <x v="17"/>
    <x v="22"/>
    <x v="50"/>
    <x v="1"/>
    <n v="0"/>
  </r>
  <r>
    <x v="0"/>
    <x v="3"/>
    <x v="17"/>
    <x v="22"/>
    <x v="51"/>
    <x v="1"/>
    <n v="0"/>
  </r>
  <r>
    <x v="0"/>
    <x v="3"/>
    <x v="17"/>
    <x v="22"/>
    <x v="52"/>
    <x v="1"/>
    <n v="0"/>
  </r>
  <r>
    <x v="0"/>
    <x v="3"/>
    <x v="17"/>
    <x v="22"/>
    <x v="53"/>
    <x v="1"/>
    <n v="0"/>
  </r>
  <r>
    <x v="0"/>
    <x v="3"/>
    <x v="17"/>
    <x v="22"/>
    <x v="54"/>
    <x v="1"/>
    <n v="0"/>
  </r>
  <r>
    <x v="0"/>
    <x v="3"/>
    <x v="17"/>
    <x v="22"/>
    <x v="55"/>
    <x v="1"/>
    <n v="0"/>
  </r>
  <r>
    <x v="0"/>
    <x v="3"/>
    <x v="17"/>
    <x v="23"/>
    <x v="46"/>
    <x v="1"/>
    <n v="0.70988524200000003"/>
  </r>
  <r>
    <x v="0"/>
    <x v="3"/>
    <x v="17"/>
    <x v="23"/>
    <x v="47"/>
    <x v="1"/>
    <n v="0.70988524200000003"/>
  </r>
  <r>
    <x v="0"/>
    <x v="3"/>
    <x v="17"/>
    <x v="23"/>
    <x v="48"/>
    <x v="1"/>
    <n v="0.70988524200000003"/>
  </r>
  <r>
    <x v="0"/>
    <x v="3"/>
    <x v="17"/>
    <x v="23"/>
    <x v="49"/>
    <x v="1"/>
    <n v="0"/>
  </r>
  <r>
    <x v="0"/>
    <x v="3"/>
    <x v="17"/>
    <x v="23"/>
    <x v="50"/>
    <x v="1"/>
    <n v="0"/>
  </r>
  <r>
    <x v="0"/>
    <x v="3"/>
    <x v="17"/>
    <x v="23"/>
    <x v="51"/>
    <x v="1"/>
    <n v="0"/>
  </r>
  <r>
    <x v="0"/>
    <x v="3"/>
    <x v="17"/>
    <x v="23"/>
    <x v="52"/>
    <x v="1"/>
    <n v="0"/>
  </r>
  <r>
    <x v="0"/>
    <x v="3"/>
    <x v="17"/>
    <x v="23"/>
    <x v="53"/>
    <x v="1"/>
    <n v="0"/>
  </r>
  <r>
    <x v="0"/>
    <x v="3"/>
    <x v="17"/>
    <x v="23"/>
    <x v="54"/>
    <x v="1"/>
    <n v="0"/>
  </r>
  <r>
    <x v="0"/>
    <x v="3"/>
    <x v="17"/>
    <x v="23"/>
    <x v="55"/>
    <x v="1"/>
    <n v="0"/>
  </r>
  <r>
    <x v="0"/>
    <x v="3"/>
    <x v="17"/>
    <x v="24"/>
    <x v="46"/>
    <x v="1"/>
    <n v="29.897723386999999"/>
  </r>
  <r>
    <x v="0"/>
    <x v="3"/>
    <x v="17"/>
    <x v="24"/>
    <x v="47"/>
    <x v="1"/>
    <n v="29.897723386999999"/>
  </r>
  <r>
    <x v="0"/>
    <x v="3"/>
    <x v="17"/>
    <x v="24"/>
    <x v="48"/>
    <x v="1"/>
    <n v="29.897723386999999"/>
  </r>
  <r>
    <x v="0"/>
    <x v="3"/>
    <x v="17"/>
    <x v="24"/>
    <x v="49"/>
    <x v="1"/>
    <n v="0"/>
  </r>
  <r>
    <x v="0"/>
    <x v="3"/>
    <x v="17"/>
    <x v="24"/>
    <x v="50"/>
    <x v="1"/>
    <n v="0"/>
  </r>
  <r>
    <x v="0"/>
    <x v="3"/>
    <x v="17"/>
    <x v="24"/>
    <x v="51"/>
    <x v="1"/>
    <n v="0"/>
  </r>
  <r>
    <x v="0"/>
    <x v="3"/>
    <x v="17"/>
    <x v="24"/>
    <x v="52"/>
    <x v="1"/>
    <n v="0"/>
  </r>
  <r>
    <x v="0"/>
    <x v="3"/>
    <x v="17"/>
    <x v="24"/>
    <x v="53"/>
    <x v="1"/>
    <n v="0"/>
  </r>
  <r>
    <x v="0"/>
    <x v="3"/>
    <x v="17"/>
    <x v="24"/>
    <x v="54"/>
    <x v="1"/>
    <n v="0"/>
  </r>
  <r>
    <x v="0"/>
    <x v="3"/>
    <x v="17"/>
    <x v="24"/>
    <x v="55"/>
    <x v="1"/>
    <n v="0"/>
  </r>
  <r>
    <x v="0"/>
    <x v="3"/>
    <x v="17"/>
    <x v="25"/>
    <x v="46"/>
    <x v="1"/>
    <n v="1.724861454"/>
  </r>
  <r>
    <x v="0"/>
    <x v="3"/>
    <x v="17"/>
    <x v="25"/>
    <x v="47"/>
    <x v="1"/>
    <n v="1.724861454"/>
  </r>
  <r>
    <x v="0"/>
    <x v="3"/>
    <x v="17"/>
    <x v="25"/>
    <x v="48"/>
    <x v="1"/>
    <n v="1.724861454"/>
  </r>
  <r>
    <x v="0"/>
    <x v="3"/>
    <x v="17"/>
    <x v="25"/>
    <x v="49"/>
    <x v="1"/>
    <n v="0"/>
  </r>
  <r>
    <x v="0"/>
    <x v="3"/>
    <x v="17"/>
    <x v="25"/>
    <x v="50"/>
    <x v="1"/>
    <n v="0"/>
  </r>
  <r>
    <x v="0"/>
    <x v="3"/>
    <x v="17"/>
    <x v="25"/>
    <x v="51"/>
    <x v="1"/>
    <n v="0"/>
  </r>
  <r>
    <x v="0"/>
    <x v="3"/>
    <x v="17"/>
    <x v="25"/>
    <x v="52"/>
    <x v="1"/>
    <n v="0"/>
  </r>
  <r>
    <x v="0"/>
    <x v="3"/>
    <x v="17"/>
    <x v="25"/>
    <x v="53"/>
    <x v="1"/>
    <n v="0"/>
  </r>
  <r>
    <x v="0"/>
    <x v="3"/>
    <x v="17"/>
    <x v="25"/>
    <x v="54"/>
    <x v="1"/>
    <n v="0"/>
  </r>
  <r>
    <x v="0"/>
    <x v="3"/>
    <x v="17"/>
    <x v="25"/>
    <x v="55"/>
    <x v="1"/>
    <n v="0"/>
  </r>
  <r>
    <x v="0"/>
    <x v="3"/>
    <x v="17"/>
    <x v="26"/>
    <x v="46"/>
    <x v="1"/>
    <n v="1.0917538259999999"/>
  </r>
  <r>
    <x v="0"/>
    <x v="3"/>
    <x v="17"/>
    <x v="26"/>
    <x v="47"/>
    <x v="1"/>
    <n v="1.0917538259999999"/>
  </r>
  <r>
    <x v="0"/>
    <x v="3"/>
    <x v="17"/>
    <x v="26"/>
    <x v="48"/>
    <x v="1"/>
    <n v="1.0917538259999999"/>
  </r>
  <r>
    <x v="0"/>
    <x v="3"/>
    <x v="17"/>
    <x v="26"/>
    <x v="49"/>
    <x v="1"/>
    <n v="0"/>
  </r>
  <r>
    <x v="0"/>
    <x v="3"/>
    <x v="17"/>
    <x v="26"/>
    <x v="50"/>
    <x v="1"/>
    <n v="0"/>
  </r>
  <r>
    <x v="0"/>
    <x v="3"/>
    <x v="17"/>
    <x v="26"/>
    <x v="51"/>
    <x v="1"/>
    <n v="0"/>
  </r>
  <r>
    <x v="0"/>
    <x v="3"/>
    <x v="17"/>
    <x v="26"/>
    <x v="52"/>
    <x v="1"/>
    <n v="0"/>
  </r>
  <r>
    <x v="0"/>
    <x v="3"/>
    <x v="17"/>
    <x v="26"/>
    <x v="53"/>
    <x v="1"/>
    <n v="0"/>
  </r>
  <r>
    <x v="0"/>
    <x v="3"/>
    <x v="17"/>
    <x v="26"/>
    <x v="54"/>
    <x v="1"/>
    <n v="0"/>
  </r>
  <r>
    <x v="0"/>
    <x v="3"/>
    <x v="17"/>
    <x v="26"/>
    <x v="55"/>
    <x v="1"/>
    <n v="0"/>
  </r>
  <r>
    <x v="0"/>
    <x v="3"/>
    <x v="17"/>
    <x v="27"/>
    <x v="46"/>
    <x v="1"/>
    <n v="53.222305398000003"/>
  </r>
  <r>
    <x v="0"/>
    <x v="3"/>
    <x v="17"/>
    <x v="27"/>
    <x v="47"/>
    <x v="1"/>
    <n v="53.222305398000003"/>
  </r>
  <r>
    <x v="0"/>
    <x v="3"/>
    <x v="17"/>
    <x v="27"/>
    <x v="48"/>
    <x v="1"/>
    <n v="53.222305398000003"/>
  </r>
  <r>
    <x v="0"/>
    <x v="3"/>
    <x v="17"/>
    <x v="27"/>
    <x v="49"/>
    <x v="1"/>
    <n v="0"/>
  </r>
  <r>
    <x v="0"/>
    <x v="3"/>
    <x v="17"/>
    <x v="27"/>
    <x v="50"/>
    <x v="1"/>
    <n v="0"/>
  </r>
  <r>
    <x v="0"/>
    <x v="3"/>
    <x v="17"/>
    <x v="27"/>
    <x v="51"/>
    <x v="1"/>
    <n v="0"/>
  </r>
  <r>
    <x v="0"/>
    <x v="3"/>
    <x v="17"/>
    <x v="27"/>
    <x v="52"/>
    <x v="1"/>
    <n v="0"/>
  </r>
  <r>
    <x v="0"/>
    <x v="3"/>
    <x v="17"/>
    <x v="27"/>
    <x v="53"/>
    <x v="1"/>
    <n v="0"/>
  </r>
  <r>
    <x v="0"/>
    <x v="3"/>
    <x v="17"/>
    <x v="27"/>
    <x v="54"/>
    <x v="1"/>
    <n v="0"/>
  </r>
  <r>
    <x v="0"/>
    <x v="3"/>
    <x v="17"/>
    <x v="27"/>
    <x v="55"/>
    <x v="1"/>
    <n v="0"/>
  </r>
  <r>
    <x v="0"/>
    <x v="3"/>
    <x v="17"/>
    <x v="28"/>
    <x v="46"/>
    <x v="1"/>
    <n v="47.967501140000003"/>
  </r>
  <r>
    <x v="0"/>
    <x v="3"/>
    <x v="17"/>
    <x v="28"/>
    <x v="47"/>
    <x v="1"/>
    <n v="47.967501140000003"/>
  </r>
  <r>
    <x v="0"/>
    <x v="3"/>
    <x v="17"/>
    <x v="28"/>
    <x v="48"/>
    <x v="1"/>
    <n v="47.967501140000003"/>
  </r>
  <r>
    <x v="0"/>
    <x v="3"/>
    <x v="17"/>
    <x v="28"/>
    <x v="49"/>
    <x v="1"/>
    <n v="0"/>
  </r>
  <r>
    <x v="0"/>
    <x v="3"/>
    <x v="17"/>
    <x v="28"/>
    <x v="50"/>
    <x v="1"/>
    <n v="0"/>
  </r>
  <r>
    <x v="0"/>
    <x v="3"/>
    <x v="17"/>
    <x v="28"/>
    <x v="51"/>
    <x v="1"/>
    <n v="0"/>
  </r>
  <r>
    <x v="0"/>
    <x v="3"/>
    <x v="17"/>
    <x v="28"/>
    <x v="52"/>
    <x v="1"/>
    <n v="0"/>
  </r>
  <r>
    <x v="0"/>
    <x v="3"/>
    <x v="17"/>
    <x v="28"/>
    <x v="53"/>
    <x v="1"/>
    <n v="0"/>
  </r>
  <r>
    <x v="0"/>
    <x v="3"/>
    <x v="17"/>
    <x v="28"/>
    <x v="54"/>
    <x v="1"/>
    <n v="0"/>
  </r>
  <r>
    <x v="0"/>
    <x v="3"/>
    <x v="17"/>
    <x v="28"/>
    <x v="55"/>
    <x v="1"/>
    <n v="0"/>
  </r>
  <r>
    <x v="0"/>
    <x v="3"/>
    <x v="17"/>
    <x v="29"/>
    <x v="46"/>
    <x v="1"/>
    <n v="41.523308037"/>
  </r>
  <r>
    <x v="0"/>
    <x v="3"/>
    <x v="17"/>
    <x v="29"/>
    <x v="47"/>
    <x v="1"/>
    <n v="41.523308037"/>
  </r>
  <r>
    <x v="0"/>
    <x v="3"/>
    <x v="17"/>
    <x v="29"/>
    <x v="48"/>
    <x v="1"/>
    <n v="41.523308037"/>
  </r>
  <r>
    <x v="0"/>
    <x v="3"/>
    <x v="17"/>
    <x v="29"/>
    <x v="49"/>
    <x v="1"/>
    <n v="0"/>
  </r>
  <r>
    <x v="0"/>
    <x v="3"/>
    <x v="17"/>
    <x v="29"/>
    <x v="50"/>
    <x v="1"/>
    <n v="0"/>
  </r>
  <r>
    <x v="0"/>
    <x v="3"/>
    <x v="17"/>
    <x v="29"/>
    <x v="51"/>
    <x v="1"/>
    <n v="0"/>
  </r>
  <r>
    <x v="0"/>
    <x v="3"/>
    <x v="17"/>
    <x v="29"/>
    <x v="52"/>
    <x v="1"/>
    <n v="0"/>
  </r>
  <r>
    <x v="0"/>
    <x v="3"/>
    <x v="17"/>
    <x v="29"/>
    <x v="53"/>
    <x v="1"/>
    <n v="0"/>
  </r>
  <r>
    <x v="0"/>
    <x v="3"/>
    <x v="17"/>
    <x v="29"/>
    <x v="54"/>
    <x v="1"/>
    <n v="0"/>
  </r>
  <r>
    <x v="0"/>
    <x v="3"/>
    <x v="17"/>
    <x v="29"/>
    <x v="55"/>
    <x v="1"/>
    <n v="0"/>
  </r>
  <r>
    <x v="0"/>
    <x v="3"/>
    <x v="17"/>
    <x v="30"/>
    <x v="46"/>
    <x v="1"/>
    <n v="16.681185267"/>
  </r>
  <r>
    <x v="0"/>
    <x v="3"/>
    <x v="17"/>
    <x v="30"/>
    <x v="47"/>
    <x v="1"/>
    <n v="16.681185267"/>
  </r>
  <r>
    <x v="0"/>
    <x v="3"/>
    <x v="17"/>
    <x v="30"/>
    <x v="48"/>
    <x v="1"/>
    <n v="16.681185267"/>
  </r>
  <r>
    <x v="0"/>
    <x v="3"/>
    <x v="17"/>
    <x v="30"/>
    <x v="49"/>
    <x v="1"/>
    <n v="0"/>
  </r>
  <r>
    <x v="0"/>
    <x v="3"/>
    <x v="17"/>
    <x v="30"/>
    <x v="50"/>
    <x v="1"/>
    <n v="0"/>
  </r>
  <r>
    <x v="0"/>
    <x v="3"/>
    <x v="17"/>
    <x v="30"/>
    <x v="51"/>
    <x v="1"/>
    <n v="0"/>
  </r>
  <r>
    <x v="0"/>
    <x v="3"/>
    <x v="17"/>
    <x v="30"/>
    <x v="52"/>
    <x v="1"/>
    <n v="0"/>
  </r>
  <r>
    <x v="0"/>
    <x v="3"/>
    <x v="17"/>
    <x v="30"/>
    <x v="53"/>
    <x v="1"/>
    <n v="0"/>
  </r>
  <r>
    <x v="0"/>
    <x v="3"/>
    <x v="17"/>
    <x v="30"/>
    <x v="54"/>
    <x v="1"/>
    <n v="0"/>
  </r>
  <r>
    <x v="0"/>
    <x v="3"/>
    <x v="17"/>
    <x v="30"/>
    <x v="55"/>
    <x v="1"/>
    <n v="0"/>
  </r>
  <r>
    <x v="0"/>
    <x v="3"/>
    <x v="17"/>
    <x v="31"/>
    <x v="46"/>
    <x v="1"/>
    <n v="13.576566804"/>
  </r>
  <r>
    <x v="0"/>
    <x v="3"/>
    <x v="17"/>
    <x v="31"/>
    <x v="47"/>
    <x v="1"/>
    <n v="13.576566804"/>
  </r>
  <r>
    <x v="0"/>
    <x v="3"/>
    <x v="17"/>
    <x v="31"/>
    <x v="48"/>
    <x v="1"/>
    <n v="13.576566804"/>
  </r>
  <r>
    <x v="0"/>
    <x v="3"/>
    <x v="17"/>
    <x v="31"/>
    <x v="49"/>
    <x v="1"/>
    <n v="0"/>
  </r>
  <r>
    <x v="0"/>
    <x v="3"/>
    <x v="17"/>
    <x v="31"/>
    <x v="50"/>
    <x v="1"/>
    <n v="0"/>
  </r>
  <r>
    <x v="0"/>
    <x v="3"/>
    <x v="17"/>
    <x v="31"/>
    <x v="51"/>
    <x v="1"/>
    <n v="0"/>
  </r>
  <r>
    <x v="0"/>
    <x v="3"/>
    <x v="17"/>
    <x v="31"/>
    <x v="52"/>
    <x v="1"/>
    <n v="0"/>
  </r>
  <r>
    <x v="0"/>
    <x v="3"/>
    <x v="17"/>
    <x v="31"/>
    <x v="53"/>
    <x v="1"/>
    <n v="0"/>
  </r>
  <r>
    <x v="0"/>
    <x v="3"/>
    <x v="17"/>
    <x v="31"/>
    <x v="54"/>
    <x v="1"/>
    <n v="0"/>
  </r>
  <r>
    <x v="0"/>
    <x v="3"/>
    <x v="17"/>
    <x v="31"/>
    <x v="55"/>
    <x v="1"/>
    <n v="0"/>
  </r>
  <r>
    <x v="0"/>
    <x v="3"/>
    <x v="17"/>
    <x v="32"/>
    <x v="46"/>
    <x v="1"/>
    <n v="43.857264524999998"/>
  </r>
  <r>
    <x v="0"/>
    <x v="3"/>
    <x v="17"/>
    <x v="32"/>
    <x v="47"/>
    <x v="1"/>
    <n v="43.857264524999998"/>
  </r>
  <r>
    <x v="0"/>
    <x v="3"/>
    <x v="17"/>
    <x v="32"/>
    <x v="48"/>
    <x v="1"/>
    <n v="43.857264524999998"/>
  </r>
  <r>
    <x v="0"/>
    <x v="3"/>
    <x v="17"/>
    <x v="32"/>
    <x v="49"/>
    <x v="1"/>
    <n v="0"/>
  </r>
  <r>
    <x v="0"/>
    <x v="3"/>
    <x v="17"/>
    <x v="32"/>
    <x v="50"/>
    <x v="1"/>
    <n v="0"/>
  </r>
  <r>
    <x v="0"/>
    <x v="3"/>
    <x v="17"/>
    <x v="32"/>
    <x v="51"/>
    <x v="1"/>
    <n v="0"/>
  </r>
  <r>
    <x v="0"/>
    <x v="3"/>
    <x v="17"/>
    <x v="32"/>
    <x v="52"/>
    <x v="1"/>
    <n v="0"/>
  </r>
  <r>
    <x v="0"/>
    <x v="3"/>
    <x v="17"/>
    <x v="32"/>
    <x v="53"/>
    <x v="1"/>
    <n v="0"/>
  </r>
  <r>
    <x v="0"/>
    <x v="3"/>
    <x v="17"/>
    <x v="32"/>
    <x v="54"/>
    <x v="1"/>
    <n v="0"/>
  </r>
  <r>
    <x v="0"/>
    <x v="3"/>
    <x v="17"/>
    <x v="32"/>
    <x v="55"/>
    <x v="1"/>
    <n v="0"/>
  </r>
  <r>
    <x v="0"/>
    <x v="3"/>
    <x v="17"/>
    <x v="33"/>
    <x v="46"/>
    <x v="1"/>
    <n v="28.577570472000001"/>
  </r>
  <r>
    <x v="0"/>
    <x v="3"/>
    <x v="17"/>
    <x v="33"/>
    <x v="47"/>
    <x v="1"/>
    <n v="28.577570472000001"/>
  </r>
  <r>
    <x v="0"/>
    <x v="3"/>
    <x v="17"/>
    <x v="33"/>
    <x v="48"/>
    <x v="1"/>
    <n v="28.577570472000001"/>
  </r>
  <r>
    <x v="0"/>
    <x v="3"/>
    <x v="17"/>
    <x v="33"/>
    <x v="49"/>
    <x v="1"/>
    <n v="0"/>
  </r>
  <r>
    <x v="0"/>
    <x v="3"/>
    <x v="17"/>
    <x v="33"/>
    <x v="50"/>
    <x v="1"/>
    <n v="0"/>
  </r>
  <r>
    <x v="0"/>
    <x v="3"/>
    <x v="17"/>
    <x v="33"/>
    <x v="51"/>
    <x v="1"/>
    <n v="0"/>
  </r>
  <r>
    <x v="0"/>
    <x v="3"/>
    <x v="17"/>
    <x v="33"/>
    <x v="52"/>
    <x v="1"/>
    <n v="0"/>
  </r>
  <r>
    <x v="0"/>
    <x v="3"/>
    <x v="17"/>
    <x v="33"/>
    <x v="53"/>
    <x v="1"/>
    <n v="0"/>
  </r>
  <r>
    <x v="0"/>
    <x v="3"/>
    <x v="17"/>
    <x v="33"/>
    <x v="54"/>
    <x v="1"/>
    <n v="0"/>
  </r>
  <r>
    <x v="0"/>
    <x v="3"/>
    <x v="17"/>
    <x v="33"/>
    <x v="55"/>
    <x v="1"/>
    <n v="0"/>
  </r>
  <r>
    <x v="0"/>
    <x v="3"/>
    <x v="17"/>
    <x v="34"/>
    <x v="46"/>
    <x v="1"/>
    <n v="27.429777539"/>
  </r>
  <r>
    <x v="0"/>
    <x v="3"/>
    <x v="17"/>
    <x v="34"/>
    <x v="47"/>
    <x v="1"/>
    <n v="27.429777539"/>
  </r>
  <r>
    <x v="0"/>
    <x v="3"/>
    <x v="17"/>
    <x v="34"/>
    <x v="48"/>
    <x v="1"/>
    <n v="27.429777539"/>
  </r>
  <r>
    <x v="0"/>
    <x v="3"/>
    <x v="17"/>
    <x v="34"/>
    <x v="49"/>
    <x v="1"/>
    <n v="0"/>
  </r>
  <r>
    <x v="0"/>
    <x v="3"/>
    <x v="17"/>
    <x v="34"/>
    <x v="50"/>
    <x v="1"/>
    <n v="0"/>
  </r>
  <r>
    <x v="0"/>
    <x v="3"/>
    <x v="17"/>
    <x v="34"/>
    <x v="51"/>
    <x v="1"/>
    <n v="0"/>
  </r>
  <r>
    <x v="0"/>
    <x v="3"/>
    <x v="17"/>
    <x v="34"/>
    <x v="52"/>
    <x v="1"/>
    <n v="0"/>
  </r>
  <r>
    <x v="0"/>
    <x v="3"/>
    <x v="17"/>
    <x v="34"/>
    <x v="53"/>
    <x v="1"/>
    <n v="0"/>
  </r>
  <r>
    <x v="0"/>
    <x v="3"/>
    <x v="17"/>
    <x v="34"/>
    <x v="54"/>
    <x v="1"/>
    <n v="0"/>
  </r>
  <r>
    <x v="0"/>
    <x v="3"/>
    <x v="17"/>
    <x v="34"/>
    <x v="55"/>
    <x v="1"/>
    <n v="0"/>
  </r>
  <r>
    <x v="0"/>
    <x v="3"/>
    <x v="17"/>
    <x v="35"/>
    <x v="46"/>
    <x v="1"/>
    <n v="18.126130806999999"/>
  </r>
  <r>
    <x v="0"/>
    <x v="3"/>
    <x v="17"/>
    <x v="35"/>
    <x v="47"/>
    <x v="1"/>
    <n v="18.126130806999999"/>
  </r>
  <r>
    <x v="0"/>
    <x v="3"/>
    <x v="17"/>
    <x v="35"/>
    <x v="48"/>
    <x v="1"/>
    <n v="18.126130806999999"/>
  </r>
  <r>
    <x v="0"/>
    <x v="3"/>
    <x v="17"/>
    <x v="35"/>
    <x v="49"/>
    <x v="1"/>
    <n v="0"/>
  </r>
  <r>
    <x v="0"/>
    <x v="3"/>
    <x v="17"/>
    <x v="35"/>
    <x v="50"/>
    <x v="1"/>
    <n v="0"/>
  </r>
  <r>
    <x v="0"/>
    <x v="3"/>
    <x v="17"/>
    <x v="35"/>
    <x v="51"/>
    <x v="1"/>
    <n v="0"/>
  </r>
  <r>
    <x v="0"/>
    <x v="3"/>
    <x v="17"/>
    <x v="35"/>
    <x v="52"/>
    <x v="1"/>
    <n v="0"/>
  </r>
  <r>
    <x v="0"/>
    <x v="3"/>
    <x v="17"/>
    <x v="35"/>
    <x v="53"/>
    <x v="1"/>
    <n v="0"/>
  </r>
  <r>
    <x v="0"/>
    <x v="3"/>
    <x v="17"/>
    <x v="35"/>
    <x v="54"/>
    <x v="1"/>
    <n v="0"/>
  </r>
  <r>
    <x v="0"/>
    <x v="3"/>
    <x v="17"/>
    <x v="35"/>
    <x v="55"/>
    <x v="1"/>
    <n v="0"/>
  </r>
  <r>
    <x v="0"/>
    <x v="3"/>
    <x v="17"/>
    <x v="36"/>
    <x v="46"/>
    <x v="1"/>
    <n v="5.3608066350000003"/>
  </r>
  <r>
    <x v="0"/>
    <x v="3"/>
    <x v="17"/>
    <x v="36"/>
    <x v="47"/>
    <x v="1"/>
    <n v="5.3608066350000003"/>
  </r>
  <r>
    <x v="0"/>
    <x v="3"/>
    <x v="17"/>
    <x v="36"/>
    <x v="48"/>
    <x v="1"/>
    <n v="5.3608066350000003"/>
  </r>
  <r>
    <x v="0"/>
    <x v="3"/>
    <x v="17"/>
    <x v="36"/>
    <x v="49"/>
    <x v="1"/>
    <n v="0"/>
  </r>
  <r>
    <x v="0"/>
    <x v="3"/>
    <x v="17"/>
    <x v="36"/>
    <x v="50"/>
    <x v="1"/>
    <n v="0"/>
  </r>
  <r>
    <x v="0"/>
    <x v="3"/>
    <x v="17"/>
    <x v="36"/>
    <x v="51"/>
    <x v="1"/>
    <n v="0"/>
  </r>
  <r>
    <x v="0"/>
    <x v="3"/>
    <x v="17"/>
    <x v="36"/>
    <x v="52"/>
    <x v="1"/>
    <n v="0"/>
  </r>
  <r>
    <x v="0"/>
    <x v="3"/>
    <x v="17"/>
    <x v="36"/>
    <x v="53"/>
    <x v="1"/>
    <n v="0"/>
  </r>
  <r>
    <x v="0"/>
    <x v="3"/>
    <x v="17"/>
    <x v="36"/>
    <x v="54"/>
    <x v="1"/>
    <n v="0"/>
  </r>
  <r>
    <x v="0"/>
    <x v="3"/>
    <x v="17"/>
    <x v="36"/>
    <x v="55"/>
    <x v="1"/>
    <n v="0"/>
  </r>
  <r>
    <x v="0"/>
    <x v="3"/>
    <x v="17"/>
    <x v="37"/>
    <x v="46"/>
    <x v="1"/>
    <n v="11.047283876"/>
  </r>
  <r>
    <x v="0"/>
    <x v="3"/>
    <x v="17"/>
    <x v="37"/>
    <x v="47"/>
    <x v="1"/>
    <n v="11.047283876"/>
  </r>
  <r>
    <x v="0"/>
    <x v="3"/>
    <x v="17"/>
    <x v="37"/>
    <x v="48"/>
    <x v="1"/>
    <n v="11.047283876"/>
  </r>
  <r>
    <x v="0"/>
    <x v="3"/>
    <x v="17"/>
    <x v="37"/>
    <x v="49"/>
    <x v="1"/>
    <n v="0"/>
  </r>
  <r>
    <x v="0"/>
    <x v="3"/>
    <x v="17"/>
    <x v="37"/>
    <x v="50"/>
    <x v="1"/>
    <n v="0"/>
  </r>
  <r>
    <x v="0"/>
    <x v="3"/>
    <x v="17"/>
    <x v="37"/>
    <x v="51"/>
    <x v="1"/>
    <n v="0"/>
  </r>
  <r>
    <x v="0"/>
    <x v="3"/>
    <x v="17"/>
    <x v="37"/>
    <x v="52"/>
    <x v="1"/>
    <n v="0"/>
  </r>
  <r>
    <x v="0"/>
    <x v="3"/>
    <x v="17"/>
    <x v="37"/>
    <x v="53"/>
    <x v="1"/>
    <n v="0"/>
  </r>
  <r>
    <x v="0"/>
    <x v="3"/>
    <x v="17"/>
    <x v="37"/>
    <x v="54"/>
    <x v="1"/>
    <n v="0"/>
  </r>
  <r>
    <x v="0"/>
    <x v="3"/>
    <x v="17"/>
    <x v="37"/>
    <x v="55"/>
    <x v="1"/>
    <n v="0"/>
  </r>
  <r>
    <x v="0"/>
    <x v="3"/>
    <x v="17"/>
    <x v="38"/>
    <x v="46"/>
    <x v="1"/>
    <n v="25.822380573"/>
  </r>
  <r>
    <x v="0"/>
    <x v="3"/>
    <x v="17"/>
    <x v="38"/>
    <x v="47"/>
    <x v="1"/>
    <n v="25.822380573"/>
  </r>
  <r>
    <x v="0"/>
    <x v="3"/>
    <x v="17"/>
    <x v="38"/>
    <x v="48"/>
    <x v="1"/>
    <n v="25.822380573"/>
  </r>
  <r>
    <x v="0"/>
    <x v="3"/>
    <x v="17"/>
    <x v="38"/>
    <x v="49"/>
    <x v="1"/>
    <n v="0"/>
  </r>
  <r>
    <x v="0"/>
    <x v="3"/>
    <x v="17"/>
    <x v="38"/>
    <x v="50"/>
    <x v="1"/>
    <n v="0"/>
  </r>
  <r>
    <x v="0"/>
    <x v="3"/>
    <x v="17"/>
    <x v="38"/>
    <x v="51"/>
    <x v="1"/>
    <n v="0"/>
  </r>
  <r>
    <x v="0"/>
    <x v="3"/>
    <x v="17"/>
    <x v="38"/>
    <x v="52"/>
    <x v="1"/>
    <n v="0"/>
  </r>
  <r>
    <x v="0"/>
    <x v="3"/>
    <x v="17"/>
    <x v="38"/>
    <x v="53"/>
    <x v="1"/>
    <n v="0"/>
  </r>
  <r>
    <x v="0"/>
    <x v="3"/>
    <x v="17"/>
    <x v="38"/>
    <x v="54"/>
    <x v="1"/>
    <n v="0"/>
  </r>
  <r>
    <x v="0"/>
    <x v="3"/>
    <x v="17"/>
    <x v="38"/>
    <x v="55"/>
    <x v="1"/>
    <n v="0"/>
  </r>
  <r>
    <x v="0"/>
    <x v="3"/>
    <x v="17"/>
    <x v="39"/>
    <x v="46"/>
    <x v="1"/>
    <n v="12.181871782"/>
  </r>
  <r>
    <x v="0"/>
    <x v="3"/>
    <x v="17"/>
    <x v="39"/>
    <x v="47"/>
    <x v="1"/>
    <n v="12.181871782"/>
  </r>
  <r>
    <x v="0"/>
    <x v="3"/>
    <x v="17"/>
    <x v="39"/>
    <x v="48"/>
    <x v="1"/>
    <n v="12.181871782"/>
  </r>
  <r>
    <x v="0"/>
    <x v="3"/>
    <x v="17"/>
    <x v="39"/>
    <x v="49"/>
    <x v="1"/>
    <n v="0"/>
  </r>
  <r>
    <x v="0"/>
    <x v="3"/>
    <x v="17"/>
    <x v="39"/>
    <x v="50"/>
    <x v="1"/>
    <n v="0"/>
  </r>
  <r>
    <x v="0"/>
    <x v="3"/>
    <x v="17"/>
    <x v="39"/>
    <x v="51"/>
    <x v="1"/>
    <n v="0"/>
  </r>
  <r>
    <x v="0"/>
    <x v="3"/>
    <x v="17"/>
    <x v="39"/>
    <x v="52"/>
    <x v="1"/>
    <n v="0"/>
  </r>
  <r>
    <x v="0"/>
    <x v="3"/>
    <x v="17"/>
    <x v="39"/>
    <x v="53"/>
    <x v="1"/>
    <n v="0"/>
  </r>
  <r>
    <x v="0"/>
    <x v="3"/>
    <x v="17"/>
    <x v="39"/>
    <x v="54"/>
    <x v="1"/>
    <n v="0"/>
  </r>
  <r>
    <x v="0"/>
    <x v="3"/>
    <x v="17"/>
    <x v="39"/>
    <x v="55"/>
    <x v="1"/>
    <n v="0"/>
  </r>
  <r>
    <x v="0"/>
    <x v="3"/>
    <x v="17"/>
    <x v="40"/>
    <x v="46"/>
    <x v="1"/>
    <n v="4.9899478459999997"/>
  </r>
  <r>
    <x v="0"/>
    <x v="3"/>
    <x v="17"/>
    <x v="40"/>
    <x v="47"/>
    <x v="1"/>
    <n v="4.9899478459999997"/>
  </r>
  <r>
    <x v="0"/>
    <x v="3"/>
    <x v="17"/>
    <x v="40"/>
    <x v="48"/>
    <x v="1"/>
    <n v="4.9899478459999997"/>
  </r>
  <r>
    <x v="0"/>
    <x v="3"/>
    <x v="17"/>
    <x v="40"/>
    <x v="49"/>
    <x v="1"/>
    <n v="0"/>
  </r>
  <r>
    <x v="0"/>
    <x v="3"/>
    <x v="17"/>
    <x v="40"/>
    <x v="50"/>
    <x v="1"/>
    <n v="0"/>
  </r>
  <r>
    <x v="0"/>
    <x v="3"/>
    <x v="17"/>
    <x v="40"/>
    <x v="51"/>
    <x v="1"/>
    <n v="0"/>
  </r>
  <r>
    <x v="0"/>
    <x v="3"/>
    <x v="17"/>
    <x v="40"/>
    <x v="52"/>
    <x v="1"/>
    <n v="0"/>
  </r>
  <r>
    <x v="0"/>
    <x v="3"/>
    <x v="17"/>
    <x v="40"/>
    <x v="53"/>
    <x v="1"/>
    <n v="0"/>
  </r>
  <r>
    <x v="0"/>
    <x v="3"/>
    <x v="17"/>
    <x v="40"/>
    <x v="54"/>
    <x v="1"/>
    <n v="0"/>
  </r>
  <r>
    <x v="0"/>
    <x v="3"/>
    <x v="17"/>
    <x v="40"/>
    <x v="55"/>
    <x v="1"/>
    <n v="0"/>
  </r>
  <r>
    <x v="0"/>
    <x v="3"/>
    <x v="17"/>
    <x v="41"/>
    <x v="46"/>
    <x v="1"/>
    <n v="51.642375668"/>
  </r>
  <r>
    <x v="0"/>
    <x v="3"/>
    <x v="17"/>
    <x v="41"/>
    <x v="47"/>
    <x v="1"/>
    <n v="51.642375668"/>
  </r>
  <r>
    <x v="0"/>
    <x v="3"/>
    <x v="17"/>
    <x v="41"/>
    <x v="48"/>
    <x v="1"/>
    <n v="51.642375668"/>
  </r>
  <r>
    <x v="0"/>
    <x v="3"/>
    <x v="17"/>
    <x v="41"/>
    <x v="49"/>
    <x v="1"/>
    <n v="0"/>
  </r>
  <r>
    <x v="0"/>
    <x v="3"/>
    <x v="17"/>
    <x v="41"/>
    <x v="50"/>
    <x v="1"/>
    <n v="0"/>
  </r>
  <r>
    <x v="0"/>
    <x v="3"/>
    <x v="17"/>
    <x v="41"/>
    <x v="51"/>
    <x v="1"/>
    <n v="0"/>
  </r>
  <r>
    <x v="0"/>
    <x v="3"/>
    <x v="17"/>
    <x v="41"/>
    <x v="52"/>
    <x v="1"/>
    <n v="0"/>
  </r>
  <r>
    <x v="0"/>
    <x v="3"/>
    <x v="17"/>
    <x v="41"/>
    <x v="53"/>
    <x v="1"/>
    <n v="0"/>
  </r>
  <r>
    <x v="0"/>
    <x v="3"/>
    <x v="17"/>
    <x v="41"/>
    <x v="54"/>
    <x v="1"/>
    <n v="0"/>
  </r>
  <r>
    <x v="0"/>
    <x v="3"/>
    <x v="17"/>
    <x v="41"/>
    <x v="55"/>
    <x v="1"/>
    <n v="0"/>
  </r>
  <r>
    <x v="0"/>
    <x v="3"/>
    <x v="18"/>
    <x v="42"/>
    <x v="46"/>
    <x v="1"/>
    <n v="44.942766966999997"/>
  </r>
  <r>
    <x v="0"/>
    <x v="3"/>
    <x v="18"/>
    <x v="42"/>
    <x v="47"/>
    <x v="1"/>
    <n v="44.942766966999997"/>
  </r>
  <r>
    <x v="0"/>
    <x v="3"/>
    <x v="18"/>
    <x v="42"/>
    <x v="48"/>
    <x v="1"/>
    <n v="44.942766966999997"/>
  </r>
  <r>
    <x v="0"/>
    <x v="3"/>
    <x v="18"/>
    <x v="42"/>
    <x v="49"/>
    <x v="1"/>
    <n v="0"/>
  </r>
  <r>
    <x v="0"/>
    <x v="3"/>
    <x v="18"/>
    <x v="42"/>
    <x v="50"/>
    <x v="1"/>
    <n v="0"/>
  </r>
  <r>
    <x v="0"/>
    <x v="3"/>
    <x v="18"/>
    <x v="42"/>
    <x v="51"/>
    <x v="1"/>
    <n v="0"/>
  </r>
  <r>
    <x v="0"/>
    <x v="3"/>
    <x v="18"/>
    <x v="42"/>
    <x v="52"/>
    <x v="1"/>
    <n v="0"/>
  </r>
  <r>
    <x v="0"/>
    <x v="3"/>
    <x v="18"/>
    <x v="42"/>
    <x v="53"/>
    <x v="1"/>
    <n v="0"/>
  </r>
  <r>
    <x v="0"/>
    <x v="3"/>
    <x v="18"/>
    <x v="42"/>
    <x v="54"/>
    <x v="1"/>
    <n v="0"/>
  </r>
  <r>
    <x v="0"/>
    <x v="3"/>
    <x v="18"/>
    <x v="42"/>
    <x v="55"/>
    <x v="1"/>
    <n v="0"/>
  </r>
  <r>
    <x v="0"/>
    <x v="3"/>
    <x v="18"/>
    <x v="43"/>
    <x v="46"/>
    <x v="1"/>
    <n v="128.58412576399999"/>
  </r>
  <r>
    <x v="0"/>
    <x v="3"/>
    <x v="18"/>
    <x v="43"/>
    <x v="47"/>
    <x v="1"/>
    <n v="128.58412576399999"/>
  </r>
  <r>
    <x v="0"/>
    <x v="3"/>
    <x v="18"/>
    <x v="43"/>
    <x v="48"/>
    <x v="1"/>
    <n v="128.58412576399999"/>
  </r>
  <r>
    <x v="0"/>
    <x v="3"/>
    <x v="18"/>
    <x v="43"/>
    <x v="49"/>
    <x v="1"/>
    <n v="0"/>
  </r>
  <r>
    <x v="0"/>
    <x v="3"/>
    <x v="18"/>
    <x v="43"/>
    <x v="50"/>
    <x v="1"/>
    <n v="0"/>
  </r>
  <r>
    <x v="0"/>
    <x v="3"/>
    <x v="18"/>
    <x v="43"/>
    <x v="51"/>
    <x v="1"/>
    <n v="0"/>
  </r>
  <r>
    <x v="0"/>
    <x v="3"/>
    <x v="18"/>
    <x v="43"/>
    <x v="52"/>
    <x v="1"/>
    <n v="0"/>
  </r>
  <r>
    <x v="0"/>
    <x v="3"/>
    <x v="18"/>
    <x v="43"/>
    <x v="53"/>
    <x v="1"/>
    <n v="0"/>
  </r>
  <r>
    <x v="0"/>
    <x v="3"/>
    <x v="18"/>
    <x v="43"/>
    <x v="54"/>
    <x v="1"/>
    <n v="0"/>
  </r>
  <r>
    <x v="0"/>
    <x v="3"/>
    <x v="18"/>
    <x v="43"/>
    <x v="55"/>
    <x v="1"/>
    <n v="0"/>
  </r>
  <r>
    <x v="0"/>
    <x v="3"/>
    <x v="19"/>
    <x v="44"/>
    <x v="46"/>
    <x v="5"/>
    <n v="1216.212042444"/>
  </r>
  <r>
    <x v="0"/>
    <x v="3"/>
    <x v="19"/>
    <x v="44"/>
    <x v="47"/>
    <x v="5"/>
    <n v="1216.212042444"/>
  </r>
  <r>
    <x v="0"/>
    <x v="3"/>
    <x v="19"/>
    <x v="44"/>
    <x v="48"/>
    <x v="5"/>
    <n v="1216.212042444"/>
  </r>
  <r>
    <x v="0"/>
    <x v="3"/>
    <x v="19"/>
    <x v="44"/>
    <x v="49"/>
    <x v="5"/>
    <n v="0"/>
  </r>
  <r>
    <x v="0"/>
    <x v="3"/>
    <x v="19"/>
    <x v="44"/>
    <x v="50"/>
    <x v="5"/>
    <n v="0"/>
  </r>
  <r>
    <x v="0"/>
    <x v="3"/>
    <x v="19"/>
    <x v="44"/>
    <x v="51"/>
    <x v="5"/>
    <n v="0"/>
  </r>
  <r>
    <x v="0"/>
    <x v="3"/>
    <x v="19"/>
    <x v="44"/>
    <x v="52"/>
    <x v="5"/>
    <n v="0"/>
  </r>
  <r>
    <x v="0"/>
    <x v="3"/>
    <x v="19"/>
    <x v="44"/>
    <x v="53"/>
    <x v="5"/>
    <n v="0"/>
  </r>
  <r>
    <x v="0"/>
    <x v="3"/>
    <x v="19"/>
    <x v="44"/>
    <x v="54"/>
    <x v="5"/>
    <n v="0"/>
  </r>
  <r>
    <x v="0"/>
    <x v="3"/>
    <x v="19"/>
    <x v="44"/>
    <x v="55"/>
    <x v="5"/>
    <n v="0"/>
  </r>
  <r>
    <x v="0"/>
    <x v="3"/>
    <x v="20"/>
    <x v="44"/>
    <x v="0"/>
    <x v="6"/>
    <n v="433.71896051800002"/>
  </r>
  <r>
    <x v="0"/>
    <x v="3"/>
    <x v="21"/>
    <x v="44"/>
    <x v="0"/>
    <x v="6"/>
    <n v="3993.7876633249998"/>
  </r>
  <r>
    <x v="0"/>
    <x v="3"/>
    <x v="22"/>
    <x v="44"/>
    <x v="0"/>
    <x v="5"/>
    <n v="0.108598403"/>
  </r>
  <r>
    <x v="0"/>
    <x v="3"/>
    <x v="23"/>
    <x v="44"/>
    <x v="0"/>
    <x v="5"/>
    <n v="1004.40957671"/>
  </r>
  <r>
    <x v="0"/>
    <x v="3"/>
    <x v="24"/>
    <x v="44"/>
    <x v="0"/>
    <x v="6"/>
    <n v="2004.857723799"/>
  </r>
  <r>
    <x v="0"/>
    <x v="3"/>
    <x v="25"/>
    <x v="45"/>
    <x v="0"/>
    <x v="6"/>
    <n v="977.32030213500002"/>
  </r>
  <r>
    <x v="0"/>
    <x v="3"/>
    <x v="26"/>
    <x v="44"/>
    <x v="0"/>
    <x v="6"/>
    <n v="1438.8186651410001"/>
  </r>
  <r>
    <x v="0"/>
    <x v="3"/>
    <x v="27"/>
    <x v="44"/>
    <x v="0"/>
    <x v="6"/>
    <n v="790.42498952100004"/>
  </r>
  <r>
    <x v="0"/>
    <x v="3"/>
    <x v="28"/>
    <x v="44"/>
    <x v="0"/>
    <x v="6"/>
    <n v="1217.6340172709999"/>
  </r>
  <r>
    <x v="0"/>
    <x v="3"/>
    <x v="29"/>
    <x v="44"/>
    <x v="0"/>
    <x v="6"/>
    <n v="10.500636232"/>
  </r>
  <r>
    <x v="0"/>
    <x v="3"/>
    <x v="30"/>
    <x v="44"/>
    <x v="0"/>
    <x v="6"/>
    <n v="383.99287671000002"/>
  </r>
  <r>
    <x v="0"/>
    <x v="3"/>
    <x v="31"/>
    <x v="44"/>
    <x v="0"/>
    <x v="6"/>
    <n v="6185.8122076159998"/>
  </r>
  <r>
    <x v="0"/>
    <x v="3"/>
    <x v="32"/>
    <x v="44"/>
    <x v="0"/>
    <x v="5"/>
    <n v="6.2076388000000003E-2"/>
  </r>
  <r>
    <x v="0"/>
    <x v="3"/>
    <x v="33"/>
    <x v="44"/>
    <x v="0"/>
    <x v="5"/>
    <n v="7.4987399999999998E-4"/>
  </r>
  <r>
    <x v="0"/>
    <x v="3"/>
    <x v="34"/>
    <x v="44"/>
    <x v="0"/>
    <x v="5"/>
    <n v="1"/>
  </r>
  <r>
    <x v="0"/>
    <x v="3"/>
    <x v="35"/>
    <x v="44"/>
    <x v="0"/>
    <x v="5"/>
    <n v="1.075"/>
  </r>
  <r>
    <x v="0"/>
    <x v="3"/>
    <x v="36"/>
    <x v="44"/>
    <x v="0"/>
    <x v="5"/>
    <n v="-4.2881943999999998E-2"/>
  </r>
  <r>
    <x v="0"/>
    <x v="3"/>
    <x v="37"/>
    <x v="45"/>
    <x v="0"/>
    <x v="6"/>
    <n v="0"/>
  </r>
  <r>
    <x v="0"/>
    <x v="3"/>
    <x v="38"/>
    <x v="45"/>
    <x v="0"/>
    <x v="6"/>
    <n v="0"/>
  </r>
  <r>
    <x v="0"/>
    <x v="3"/>
    <x v="39"/>
    <x v="45"/>
    <x v="0"/>
    <x v="6"/>
    <n v="1"/>
  </r>
  <r>
    <x v="0"/>
    <x v="3"/>
    <x v="40"/>
    <x v="45"/>
    <x v="0"/>
    <x v="6"/>
    <n v="197.611785793"/>
  </r>
  <r>
    <x v="0"/>
    <x v="3"/>
    <x v="41"/>
    <x v="45"/>
    <x v="0"/>
    <x v="6"/>
    <n v="170.88282021500001"/>
  </r>
  <r>
    <x v="0"/>
    <x v="3"/>
    <x v="42"/>
    <x v="45"/>
    <x v="0"/>
    <x v="6"/>
    <n v="26.728965579"/>
  </r>
  <r>
    <x v="0"/>
    <x v="3"/>
    <x v="43"/>
    <x v="45"/>
    <x v="0"/>
    <x v="6"/>
    <n v="293.35566010000002"/>
  </r>
  <r>
    <x v="0"/>
    <x v="3"/>
    <x v="44"/>
    <x v="45"/>
    <x v="0"/>
    <x v="6"/>
    <n v="0"/>
  </r>
  <r>
    <x v="0"/>
    <x v="3"/>
    <x v="45"/>
    <x v="44"/>
    <x v="0"/>
    <x v="5"/>
    <n v="9.1114537999999995E-2"/>
  </r>
  <r>
    <x v="0"/>
    <x v="3"/>
    <x v="46"/>
    <x v="45"/>
    <x v="0"/>
    <x v="5"/>
    <n v="2.7383357400000001"/>
  </r>
  <r>
    <x v="0"/>
    <x v="3"/>
    <x v="47"/>
    <x v="46"/>
    <x v="0"/>
    <x v="6"/>
    <n v="7.224710795"/>
  </r>
  <r>
    <x v="0"/>
    <x v="3"/>
    <x v="48"/>
    <x v="47"/>
    <x v="0"/>
    <x v="6"/>
    <n v="0"/>
  </r>
  <r>
    <x v="0"/>
    <x v="3"/>
    <x v="49"/>
    <x v="47"/>
    <x v="0"/>
    <x v="6"/>
    <n v="0"/>
  </r>
  <r>
    <x v="0"/>
    <x v="3"/>
    <x v="50"/>
    <x v="48"/>
    <x v="0"/>
    <x v="7"/>
    <n v="195.024741312"/>
  </r>
  <r>
    <x v="0"/>
    <x v="3"/>
    <x v="50"/>
    <x v="49"/>
    <x v="0"/>
    <x v="7"/>
    <n v="181.74342460299999"/>
  </r>
  <r>
    <x v="0"/>
    <x v="3"/>
    <x v="51"/>
    <x v="42"/>
    <x v="0"/>
    <x v="4"/>
    <n v="94.440498477000006"/>
  </r>
  <r>
    <x v="0"/>
    <x v="3"/>
    <x v="51"/>
    <x v="43"/>
    <x v="0"/>
    <x v="4"/>
    <n v="313.18604458700003"/>
  </r>
  <r>
    <x v="0"/>
    <x v="3"/>
    <x v="52"/>
    <x v="42"/>
    <x v="0"/>
    <x v="4"/>
    <n v="63.427562764999998"/>
  </r>
  <r>
    <x v="0"/>
    <x v="3"/>
    <x v="52"/>
    <x v="43"/>
    <x v="0"/>
    <x v="4"/>
    <n v="168.61201987999999"/>
  </r>
  <r>
    <x v="0"/>
    <x v="3"/>
    <x v="53"/>
    <x v="42"/>
    <x v="0"/>
    <x v="4"/>
    <n v="18.484795798"/>
  </r>
  <r>
    <x v="0"/>
    <x v="3"/>
    <x v="53"/>
    <x v="43"/>
    <x v="0"/>
    <x v="4"/>
    <n v="40.027894115999999"/>
  </r>
  <r>
    <x v="0"/>
    <x v="3"/>
    <x v="54"/>
    <x v="42"/>
    <x v="56"/>
    <x v="4"/>
    <n v="22.024385736999999"/>
  </r>
  <r>
    <x v="0"/>
    <x v="3"/>
    <x v="54"/>
    <x v="43"/>
    <x v="56"/>
    <x v="4"/>
    <n v="125.286390583"/>
  </r>
  <r>
    <x v="0"/>
    <x v="3"/>
    <x v="55"/>
    <x v="42"/>
    <x v="0"/>
    <x v="4"/>
    <n v="0.111198863"/>
  </r>
  <r>
    <x v="0"/>
    <x v="3"/>
    <x v="55"/>
    <x v="43"/>
    <x v="0"/>
    <x v="4"/>
    <n v="0.10317976600000001"/>
  </r>
  <r>
    <x v="0"/>
    <x v="3"/>
    <x v="56"/>
    <x v="42"/>
    <x v="0"/>
    <x v="4"/>
    <n v="0.140715586"/>
  </r>
  <r>
    <x v="0"/>
    <x v="3"/>
    <x v="56"/>
    <x v="43"/>
    <x v="0"/>
    <x v="4"/>
    <n v="0.13598890499999999"/>
  </r>
  <r>
    <x v="0"/>
    <x v="3"/>
    <x v="57"/>
    <x v="42"/>
    <x v="0"/>
    <x v="4"/>
    <n v="7.3588277999999993E-2"/>
  </r>
  <r>
    <x v="0"/>
    <x v="3"/>
    <x v="57"/>
    <x v="43"/>
    <x v="0"/>
    <x v="4"/>
    <n v="6.9716090999999994E-2"/>
  </r>
  <r>
    <x v="0"/>
    <x v="3"/>
    <x v="58"/>
    <x v="44"/>
    <x v="57"/>
    <x v="5"/>
    <n v="7.1132234000000003E-2"/>
  </r>
  <r>
    <x v="0"/>
    <x v="3"/>
    <x v="59"/>
    <x v="44"/>
    <x v="57"/>
    <x v="6"/>
    <n v="704.06799999999998"/>
  </r>
  <r>
    <x v="0"/>
    <x v="3"/>
    <x v="60"/>
    <x v="0"/>
    <x v="57"/>
    <x v="8"/>
    <n v="195.93853056099999"/>
  </r>
  <r>
    <x v="0"/>
    <x v="3"/>
    <x v="60"/>
    <x v="1"/>
    <x v="57"/>
    <x v="8"/>
    <n v="25.220555258000001"/>
  </r>
  <r>
    <x v="0"/>
    <x v="3"/>
    <x v="60"/>
    <x v="2"/>
    <x v="57"/>
    <x v="8"/>
    <n v="87.138615013000006"/>
  </r>
  <r>
    <x v="0"/>
    <x v="3"/>
    <x v="60"/>
    <x v="3"/>
    <x v="57"/>
    <x v="8"/>
    <n v="61.529778583999999"/>
  </r>
  <r>
    <x v="0"/>
    <x v="3"/>
    <x v="60"/>
    <x v="4"/>
    <x v="57"/>
    <x v="8"/>
    <n v="4.4240813980000002"/>
  </r>
  <r>
    <x v="0"/>
    <x v="3"/>
    <x v="60"/>
    <x v="5"/>
    <x v="57"/>
    <x v="8"/>
    <n v="81.271124255999993"/>
  </r>
  <r>
    <x v="0"/>
    <x v="3"/>
    <x v="60"/>
    <x v="6"/>
    <x v="57"/>
    <x v="8"/>
    <n v="12.10131923"/>
  </r>
  <r>
    <x v="0"/>
    <x v="3"/>
    <x v="60"/>
    <x v="7"/>
    <x v="57"/>
    <x v="8"/>
    <n v="20.137220802000002"/>
  </r>
  <r>
    <x v="0"/>
    <x v="3"/>
    <x v="60"/>
    <x v="8"/>
    <x v="57"/>
    <x v="8"/>
    <n v="6.0045713459999996"/>
  </r>
  <r>
    <x v="0"/>
    <x v="3"/>
    <x v="60"/>
    <x v="9"/>
    <x v="57"/>
    <x v="8"/>
    <n v="19.556402102"/>
  </r>
  <r>
    <x v="0"/>
    <x v="3"/>
    <x v="60"/>
    <x v="10"/>
    <x v="57"/>
    <x v="8"/>
    <n v="19.878682469000001"/>
  </r>
  <r>
    <x v="0"/>
    <x v="3"/>
    <x v="60"/>
    <x v="11"/>
    <x v="57"/>
    <x v="8"/>
    <n v="108.01621022800001"/>
  </r>
  <r>
    <x v="0"/>
    <x v="3"/>
    <x v="60"/>
    <x v="12"/>
    <x v="57"/>
    <x v="8"/>
    <n v="4.711327109"/>
  </r>
  <r>
    <x v="0"/>
    <x v="3"/>
    <x v="60"/>
    <x v="13"/>
    <x v="57"/>
    <x v="8"/>
    <n v="46.457229495999997"/>
  </r>
  <r>
    <x v="0"/>
    <x v="3"/>
    <x v="60"/>
    <x v="14"/>
    <x v="57"/>
    <x v="8"/>
    <n v="5.8910693030000001"/>
  </r>
  <r>
    <x v="0"/>
    <x v="3"/>
    <x v="60"/>
    <x v="15"/>
    <x v="57"/>
    <x v="8"/>
    <n v="41.116723882000002"/>
  </r>
  <r>
    <x v="0"/>
    <x v="3"/>
    <x v="60"/>
    <x v="16"/>
    <x v="57"/>
    <x v="8"/>
    <n v="35.166995694000001"/>
  </r>
  <r>
    <x v="0"/>
    <x v="3"/>
    <x v="60"/>
    <x v="17"/>
    <x v="57"/>
    <x v="8"/>
    <n v="56.779028766000003"/>
  </r>
  <r>
    <x v="0"/>
    <x v="3"/>
    <x v="60"/>
    <x v="18"/>
    <x v="57"/>
    <x v="8"/>
    <n v="30.724957497999998"/>
  </r>
  <r>
    <x v="0"/>
    <x v="3"/>
    <x v="60"/>
    <x v="19"/>
    <x v="57"/>
    <x v="8"/>
    <n v="181.72126750499999"/>
  </r>
  <r>
    <x v="0"/>
    <x v="3"/>
    <x v="60"/>
    <x v="20"/>
    <x v="57"/>
    <x v="8"/>
    <n v="24.755625503000001"/>
  </r>
  <r>
    <x v="0"/>
    <x v="3"/>
    <x v="60"/>
    <x v="21"/>
    <x v="57"/>
    <x v="8"/>
    <n v="0.49492273799999997"/>
  </r>
  <r>
    <x v="0"/>
    <x v="3"/>
    <x v="60"/>
    <x v="22"/>
    <x v="57"/>
    <x v="8"/>
    <n v="1.414658127"/>
  </r>
  <r>
    <x v="0"/>
    <x v="3"/>
    <x v="60"/>
    <x v="23"/>
    <x v="57"/>
    <x v="8"/>
    <n v="0"/>
  </r>
  <r>
    <x v="0"/>
    <x v="3"/>
    <x v="60"/>
    <x v="24"/>
    <x v="57"/>
    <x v="8"/>
    <n v="0.17641426399999999"/>
  </r>
  <r>
    <x v="0"/>
    <x v="3"/>
    <x v="60"/>
    <x v="25"/>
    <x v="57"/>
    <x v="8"/>
    <n v="1.35E-7"/>
  </r>
  <r>
    <x v="0"/>
    <x v="3"/>
    <x v="60"/>
    <x v="26"/>
    <x v="57"/>
    <x v="8"/>
    <n v="0"/>
  </r>
  <r>
    <x v="0"/>
    <x v="3"/>
    <x v="60"/>
    <x v="27"/>
    <x v="57"/>
    <x v="8"/>
    <n v="3.0265598059999999"/>
  </r>
  <r>
    <x v="0"/>
    <x v="3"/>
    <x v="60"/>
    <x v="28"/>
    <x v="57"/>
    <x v="8"/>
    <n v="0"/>
  </r>
  <r>
    <x v="0"/>
    <x v="3"/>
    <x v="60"/>
    <x v="29"/>
    <x v="57"/>
    <x v="8"/>
    <n v="33.356729282000003"/>
  </r>
  <r>
    <x v="0"/>
    <x v="3"/>
    <x v="60"/>
    <x v="30"/>
    <x v="57"/>
    <x v="8"/>
    <n v="22.917696981999999"/>
  </r>
  <r>
    <x v="0"/>
    <x v="3"/>
    <x v="60"/>
    <x v="31"/>
    <x v="57"/>
    <x v="8"/>
    <n v="5.6701500249999999"/>
  </r>
  <r>
    <x v="0"/>
    <x v="3"/>
    <x v="60"/>
    <x v="32"/>
    <x v="57"/>
    <x v="8"/>
    <n v="3.3530347859999998"/>
  </r>
  <r>
    <x v="0"/>
    <x v="3"/>
    <x v="60"/>
    <x v="33"/>
    <x v="57"/>
    <x v="8"/>
    <n v="0"/>
  </r>
  <r>
    <x v="0"/>
    <x v="3"/>
    <x v="60"/>
    <x v="34"/>
    <x v="57"/>
    <x v="8"/>
    <n v="35.670563493000003"/>
  </r>
  <r>
    <x v="0"/>
    <x v="3"/>
    <x v="60"/>
    <x v="35"/>
    <x v="57"/>
    <x v="8"/>
    <n v="2.9819275059999999"/>
  </r>
  <r>
    <x v="0"/>
    <x v="3"/>
    <x v="60"/>
    <x v="36"/>
    <x v="57"/>
    <x v="8"/>
    <n v="5.3104857650000001"/>
  </r>
  <r>
    <x v="0"/>
    <x v="3"/>
    <x v="60"/>
    <x v="37"/>
    <x v="57"/>
    <x v="8"/>
    <n v="2.2238247680000001"/>
  </r>
  <r>
    <x v="0"/>
    <x v="3"/>
    <x v="60"/>
    <x v="38"/>
    <x v="57"/>
    <x v="8"/>
    <n v="6.1862691840000004"/>
  </r>
  <r>
    <x v="0"/>
    <x v="3"/>
    <x v="60"/>
    <x v="39"/>
    <x v="57"/>
    <x v="8"/>
    <n v="2.1570678330000002"/>
  </r>
  <r>
    <x v="0"/>
    <x v="3"/>
    <x v="60"/>
    <x v="40"/>
    <x v="57"/>
    <x v="8"/>
    <n v="19.752749248000001"/>
  </r>
  <r>
    <x v="0"/>
    <x v="3"/>
    <x v="60"/>
    <x v="41"/>
    <x v="57"/>
    <x v="8"/>
    <n v="4.3996473250000001"/>
  </r>
  <r>
    <x v="0"/>
    <x v="3"/>
    <x v="61"/>
    <x v="0"/>
    <x v="57"/>
    <x v="8"/>
    <n v="1.404067207"/>
  </r>
  <r>
    <x v="0"/>
    <x v="3"/>
    <x v="61"/>
    <x v="1"/>
    <x v="57"/>
    <x v="8"/>
    <n v="0.48082961400000002"/>
  </r>
  <r>
    <x v="0"/>
    <x v="3"/>
    <x v="61"/>
    <x v="2"/>
    <x v="57"/>
    <x v="8"/>
    <n v="2.682841426"/>
  </r>
  <r>
    <x v="0"/>
    <x v="3"/>
    <x v="61"/>
    <x v="3"/>
    <x v="57"/>
    <x v="8"/>
    <n v="0.43713627300000002"/>
  </r>
  <r>
    <x v="0"/>
    <x v="3"/>
    <x v="61"/>
    <x v="4"/>
    <x v="57"/>
    <x v="8"/>
    <n v="0.80133219099999997"/>
  </r>
  <r>
    <x v="0"/>
    <x v="3"/>
    <x v="61"/>
    <x v="5"/>
    <x v="57"/>
    <x v="8"/>
    <n v="9.0390951370000003"/>
  </r>
  <r>
    <x v="0"/>
    <x v="3"/>
    <x v="61"/>
    <x v="6"/>
    <x v="57"/>
    <x v="8"/>
    <n v="17.267913216"/>
  </r>
  <r>
    <x v="0"/>
    <x v="3"/>
    <x v="61"/>
    <x v="7"/>
    <x v="57"/>
    <x v="8"/>
    <n v="35.621066712999998"/>
  </r>
  <r>
    <x v="0"/>
    <x v="3"/>
    <x v="61"/>
    <x v="8"/>
    <x v="57"/>
    <x v="8"/>
    <n v="13.955472003000001"/>
  </r>
  <r>
    <x v="0"/>
    <x v="3"/>
    <x v="61"/>
    <x v="9"/>
    <x v="57"/>
    <x v="8"/>
    <n v="30.735069755000001"/>
  </r>
  <r>
    <x v="0"/>
    <x v="3"/>
    <x v="61"/>
    <x v="10"/>
    <x v="57"/>
    <x v="8"/>
    <n v="11.717569793999999"/>
  </r>
  <r>
    <x v="0"/>
    <x v="3"/>
    <x v="61"/>
    <x v="11"/>
    <x v="57"/>
    <x v="8"/>
    <n v="65.797599558000002"/>
  </r>
  <r>
    <x v="0"/>
    <x v="3"/>
    <x v="61"/>
    <x v="12"/>
    <x v="57"/>
    <x v="8"/>
    <n v="15.527793086999999"/>
  </r>
  <r>
    <x v="0"/>
    <x v="3"/>
    <x v="61"/>
    <x v="13"/>
    <x v="57"/>
    <x v="8"/>
    <n v="38.693371634999998"/>
  </r>
  <r>
    <x v="0"/>
    <x v="3"/>
    <x v="61"/>
    <x v="14"/>
    <x v="57"/>
    <x v="8"/>
    <n v="28.802285249000001"/>
  </r>
  <r>
    <x v="0"/>
    <x v="3"/>
    <x v="61"/>
    <x v="15"/>
    <x v="57"/>
    <x v="8"/>
    <n v="39.578255832000004"/>
  </r>
  <r>
    <x v="0"/>
    <x v="3"/>
    <x v="61"/>
    <x v="16"/>
    <x v="57"/>
    <x v="8"/>
    <n v="18.541244669000001"/>
  </r>
  <r>
    <x v="0"/>
    <x v="3"/>
    <x v="61"/>
    <x v="17"/>
    <x v="57"/>
    <x v="8"/>
    <n v="31.068632266000002"/>
  </r>
  <r>
    <x v="0"/>
    <x v="3"/>
    <x v="61"/>
    <x v="18"/>
    <x v="57"/>
    <x v="8"/>
    <n v="70.235588256"/>
  </r>
  <r>
    <x v="0"/>
    <x v="3"/>
    <x v="61"/>
    <x v="19"/>
    <x v="57"/>
    <x v="8"/>
    <n v="162.30814719899999"/>
  </r>
  <r>
    <x v="0"/>
    <x v="3"/>
    <x v="61"/>
    <x v="20"/>
    <x v="57"/>
    <x v="8"/>
    <n v="11.547592701999999"/>
  </r>
  <r>
    <x v="0"/>
    <x v="3"/>
    <x v="61"/>
    <x v="21"/>
    <x v="57"/>
    <x v="8"/>
    <n v="2.5086100419999999"/>
  </r>
  <r>
    <x v="0"/>
    <x v="3"/>
    <x v="61"/>
    <x v="22"/>
    <x v="57"/>
    <x v="8"/>
    <n v="4.6574075400000003"/>
  </r>
  <r>
    <x v="0"/>
    <x v="3"/>
    <x v="61"/>
    <x v="23"/>
    <x v="57"/>
    <x v="8"/>
    <n v="0"/>
  </r>
  <r>
    <x v="0"/>
    <x v="3"/>
    <x v="61"/>
    <x v="24"/>
    <x v="57"/>
    <x v="8"/>
    <n v="0.65763607700000004"/>
  </r>
  <r>
    <x v="0"/>
    <x v="3"/>
    <x v="61"/>
    <x v="25"/>
    <x v="57"/>
    <x v="8"/>
    <n v="0"/>
  </r>
  <r>
    <x v="0"/>
    <x v="3"/>
    <x v="61"/>
    <x v="26"/>
    <x v="57"/>
    <x v="8"/>
    <n v="0"/>
  </r>
  <r>
    <x v="0"/>
    <x v="3"/>
    <x v="61"/>
    <x v="27"/>
    <x v="57"/>
    <x v="8"/>
    <n v="3.1019373809999999"/>
  </r>
  <r>
    <x v="0"/>
    <x v="3"/>
    <x v="61"/>
    <x v="28"/>
    <x v="57"/>
    <x v="8"/>
    <n v="91.581099077999994"/>
  </r>
  <r>
    <x v="0"/>
    <x v="3"/>
    <x v="61"/>
    <x v="29"/>
    <x v="57"/>
    <x v="8"/>
    <n v="37.251504562999997"/>
  </r>
  <r>
    <x v="0"/>
    <x v="3"/>
    <x v="61"/>
    <x v="30"/>
    <x v="57"/>
    <x v="8"/>
    <n v="1.520645445"/>
  </r>
  <r>
    <x v="0"/>
    <x v="3"/>
    <x v="61"/>
    <x v="31"/>
    <x v="57"/>
    <x v="8"/>
    <n v="9.9986954990000001"/>
  </r>
  <r>
    <x v="0"/>
    <x v="3"/>
    <x v="61"/>
    <x v="32"/>
    <x v="57"/>
    <x v="8"/>
    <n v="4.2906151059999997"/>
  </r>
  <r>
    <x v="0"/>
    <x v="3"/>
    <x v="61"/>
    <x v="33"/>
    <x v="57"/>
    <x v="8"/>
    <n v="0"/>
  </r>
  <r>
    <x v="0"/>
    <x v="3"/>
    <x v="61"/>
    <x v="34"/>
    <x v="57"/>
    <x v="8"/>
    <n v="24.805547648000001"/>
  </r>
  <r>
    <x v="0"/>
    <x v="3"/>
    <x v="61"/>
    <x v="35"/>
    <x v="57"/>
    <x v="8"/>
    <n v="0.14069484800000001"/>
  </r>
  <r>
    <x v="0"/>
    <x v="3"/>
    <x v="61"/>
    <x v="36"/>
    <x v="57"/>
    <x v="8"/>
    <n v="0.50943370600000004"/>
  </r>
  <r>
    <x v="0"/>
    <x v="3"/>
    <x v="61"/>
    <x v="37"/>
    <x v="57"/>
    <x v="8"/>
    <n v="0.39545947100000001"/>
  </r>
  <r>
    <x v="0"/>
    <x v="3"/>
    <x v="61"/>
    <x v="38"/>
    <x v="57"/>
    <x v="8"/>
    <n v="8.9312889000000006E-2"/>
  </r>
  <r>
    <x v="0"/>
    <x v="3"/>
    <x v="61"/>
    <x v="39"/>
    <x v="57"/>
    <x v="8"/>
    <n v="0.112764277"/>
  </r>
  <r>
    <x v="0"/>
    <x v="3"/>
    <x v="61"/>
    <x v="40"/>
    <x v="57"/>
    <x v="8"/>
    <n v="2.3930032450000001"/>
  </r>
  <r>
    <x v="0"/>
    <x v="3"/>
    <x v="61"/>
    <x v="41"/>
    <x v="57"/>
    <x v="8"/>
    <n v="0.16771892399999999"/>
  </r>
  <r>
    <x v="0"/>
    <x v="3"/>
    <x v="62"/>
    <x v="0"/>
    <x v="57"/>
    <x v="9"/>
    <n v="7.1132234000000003E-2"/>
  </r>
  <r>
    <x v="0"/>
    <x v="3"/>
    <x v="62"/>
    <x v="1"/>
    <x v="57"/>
    <x v="9"/>
    <n v="7.1132234000000003E-2"/>
  </r>
  <r>
    <x v="0"/>
    <x v="3"/>
    <x v="62"/>
    <x v="2"/>
    <x v="57"/>
    <x v="9"/>
    <n v="7.1132234000000003E-2"/>
  </r>
  <r>
    <x v="0"/>
    <x v="3"/>
    <x v="62"/>
    <x v="3"/>
    <x v="57"/>
    <x v="9"/>
    <n v="7.1132234000000003E-2"/>
  </r>
  <r>
    <x v="0"/>
    <x v="3"/>
    <x v="62"/>
    <x v="4"/>
    <x v="57"/>
    <x v="9"/>
    <n v="7.1132234000000003E-2"/>
  </r>
  <r>
    <x v="0"/>
    <x v="3"/>
    <x v="62"/>
    <x v="5"/>
    <x v="57"/>
    <x v="9"/>
    <n v="7.1132234000000003E-2"/>
  </r>
  <r>
    <x v="0"/>
    <x v="3"/>
    <x v="62"/>
    <x v="6"/>
    <x v="57"/>
    <x v="9"/>
    <n v="7.1132234000000003E-2"/>
  </r>
  <r>
    <x v="0"/>
    <x v="3"/>
    <x v="62"/>
    <x v="7"/>
    <x v="57"/>
    <x v="9"/>
    <n v="7.1132234000000003E-2"/>
  </r>
  <r>
    <x v="0"/>
    <x v="3"/>
    <x v="62"/>
    <x v="8"/>
    <x v="57"/>
    <x v="9"/>
    <n v="7.1132234000000003E-2"/>
  </r>
  <r>
    <x v="0"/>
    <x v="3"/>
    <x v="62"/>
    <x v="9"/>
    <x v="57"/>
    <x v="9"/>
    <n v="7.1132234000000003E-2"/>
  </r>
  <r>
    <x v="0"/>
    <x v="3"/>
    <x v="62"/>
    <x v="10"/>
    <x v="57"/>
    <x v="9"/>
    <n v="7.1132234000000003E-2"/>
  </r>
  <r>
    <x v="0"/>
    <x v="3"/>
    <x v="62"/>
    <x v="11"/>
    <x v="57"/>
    <x v="9"/>
    <n v="7.1132234000000003E-2"/>
  </r>
  <r>
    <x v="0"/>
    <x v="3"/>
    <x v="62"/>
    <x v="12"/>
    <x v="57"/>
    <x v="9"/>
    <n v="7.1132234000000003E-2"/>
  </r>
  <r>
    <x v="0"/>
    <x v="3"/>
    <x v="62"/>
    <x v="13"/>
    <x v="57"/>
    <x v="9"/>
    <n v="7.1132234000000003E-2"/>
  </r>
  <r>
    <x v="0"/>
    <x v="3"/>
    <x v="62"/>
    <x v="14"/>
    <x v="57"/>
    <x v="9"/>
    <n v="7.1132234000000003E-2"/>
  </r>
  <r>
    <x v="0"/>
    <x v="3"/>
    <x v="62"/>
    <x v="15"/>
    <x v="57"/>
    <x v="9"/>
    <n v="7.1132234000000003E-2"/>
  </r>
  <r>
    <x v="0"/>
    <x v="3"/>
    <x v="62"/>
    <x v="16"/>
    <x v="57"/>
    <x v="9"/>
    <n v="7.1132234000000003E-2"/>
  </r>
  <r>
    <x v="0"/>
    <x v="3"/>
    <x v="62"/>
    <x v="17"/>
    <x v="57"/>
    <x v="9"/>
    <n v="7.1132234000000003E-2"/>
  </r>
  <r>
    <x v="0"/>
    <x v="3"/>
    <x v="62"/>
    <x v="18"/>
    <x v="57"/>
    <x v="9"/>
    <n v="7.1132234000000003E-2"/>
  </r>
  <r>
    <x v="0"/>
    <x v="3"/>
    <x v="62"/>
    <x v="19"/>
    <x v="57"/>
    <x v="9"/>
    <n v="7.1132234000000003E-2"/>
  </r>
  <r>
    <x v="0"/>
    <x v="3"/>
    <x v="62"/>
    <x v="20"/>
    <x v="57"/>
    <x v="9"/>
    <n v="7.1132234000000003E-2"/>
  </r>
  <r>
    <x v="0"/>
    <x v="3"/>
    <x v="62"/>
    <x v="21"/>
    <x v="57"/>
    <x v="9"/>
    <n v="7.1132234000000003E-2"/>
  </r>
  <r>
    <x v="0"/>
    <x v="3"/>
    <x v="62"/>
    <x v="22"/>
    <x v="57"/>
    <x v="9"/>
    <n v="7.1132234000000003E-2"/>
  </r>
  <r>
    <x v="0"/>
    <x v="3"/>
    <x v="62"/>
    <x v="23"/>
    <x v="57"/>
    <x v="9"/>
    <n v="1"/>
  </r>
  <r>
    <x v="0"/>
    <x v="3"/>
    <x v="62"/>
    <x v="24"/>
    <x v="57"/>
    <x v="9"/>
    <n v="7.1132234000000003E-2"/>
  </r>
  <r>
    <x v="0"/>
    <x v="3"/>
    <x v="62"/>
    <x v="25"/>
    <x v="57"/>
    <x v="9"/>
    <n v="7.1132234000000003E-2"/>
  </r>
  <r>
    <x v="0"/>
    <x v="3"/>
    <x v="62"/>
    <x v="26"/>
    <x v="57"/>
    <x v="9"/>
    <n v="1"/>
  </r>
  <r>
    <x v="0"/>
    <x v="3"/>
    <x v="62"/>
    <x v="27"/>
    <x v="57"/>
    <x v="9"/>
    <n v="7.1132234000000003E-2"/>
  </r>
  <r>
    <x v="0"/>
    <x v="3"/>
    <x v="62"/>
    <x v="28"/>
    <x v="57"/>
    <x v="9"/>
    <n v="1"/>
  </r>
  <r>
    <x v="0"/>
    <x v="3"/>
    <x v="62"/>
    <x v="29"/>
    <x v="57"/>
    <x v="9"/>
    <n v="7.1132234000000003E-2"/>
  </r>
  <r>
    <x v="0"/>
    <x v="3"/>
    <x v="62"/>
    <x v="30"/>
    <x v="57"/>
    <x v="9"/>
    <n v="7.1132234000000003E-2"/>
  </r>
  <r>
    <x v="0"/>
    <x v="3"/>
    <x v="62"/>
    <x v="31"/>
    <x v="57"/>
    <x v="9"/>
    <n v="7.1132234000000003E-2"/>
  </r>
  <r>
    <x v="0"/>
    <x v="3"/>
    <x v="62"/>
    <x v="32"/>
    <x v="57"/>
    <x v="9"/>
    <n v="7.1132234000000003E-2"/>
  </r>
  <r>
    <x v="0"/>
    <x v="3"/>
    <x v="62"/>
    <x v="33"/>
    <x v="57"/>
    <x v="9"/>
    <n v="1"/>
  </r>
  <r>
    <x v="0"/>
    <x v="3"/>
    <x v="62"/>
    <x v="34"/>
    <x v="57"/>
    <x v="9"/>
    <n v="7.1132234000000003E-2"/>
  </r>
  <r>
    <x v="0"/>
    <x v="3"/>
    <x v="62"/>
    <x v="35"/>
    <x v="57"/>
    <x v="9"/>
    <n v="7.1132234000000003E-2"/>
  </r>
  <r>
    <x v="0"/>
    <x v="3"/>
    <x v="62"/>
    <x v="36"/>
    <x v="57"/>
    <x v="9"/>
    <n v="7.1132234000000003E-2"/>
  </r>
  <r>
    <x v="0"/>
    <x v="3"/>
    <x v="62"/>
    <x v="37"/>
    <x v="57"/>
    <x v="9"/>
    <n v="7.1132234000000003E-2"/>
  </r>
  <r>
    <x v="0"/>
    <x v="3"/>
    <x v="62"/>
    <x v="38"/>
    <x v="57"/>
    <x v="9"/>
    <n v="7.1132234000000003E-2"/>
  </r>
  <r>
    <x v="0"/>
    <x v="3"/>
    <x v="62"/>
    <x v="39"/>
    <x v="57"/>
    <x v="9"/>
    <n v="7.1132234000000003E-2"/>
  </r>
  <r>
    <x v="0"/>
    <x v="3"/>
    <x v="62"/>
    <x v="40"/>
    <x v="57"/>
    <x v="9"/>
    <n v="7.1132234000000003E-2"/>
  </r>
  <r>
    <x v="0"/>
    <x v="3"/>
    <x v="62"/>
    <x v="41"/>
    <x v="57"/>
    <x v="9"/>
    <n v="7.1132234000000003E-2"/>
  </r>
  <r>
    <x v="0"/>
    <x v="3"/>
    <x v="63"/>
    <x v="0"/>
    <x v="57"/>
    <x v="9"/>
    <n v="9.0563670999999998E-2"/>
  </r>
  <r>
    <x v="0"/>
    <x v="3"/>
    <x v="63"/>
    <x v="1"/>
    <x v="57"/>
    <x v="9"/>
    <n v="5.9943678E-2"/>
  </r>
  <r>
    <x v="0"/>
    <x v="3"/>
    <x v="63"/>
    <x v="2"/>
    <x v="57"/>
    <x v="9"/>
    <n v="5.3496333E-2"/>
  </r>
  <r>
    <x v="0"/>
    <x v="3"/>
    <x v="63"/>
    <x v="3"/>
    <x v="57"/>
    <x v="9"/>
    <n v="5.7695577999999997E-2"/>
  </r>
  <r>
    <x v="0"/>
    <x v="3"/>
    <x v="63"/>
    <x v="4"/>
    <x v="57"/>
    <x v="9"/>
    <n v="5.4537795E-2"/>
  </r>
  <r>
    <x v="0"/>
    <x v="3"/>
    <x v="63"/>
    <x v="5"/>
    <x v="57"/>
    <x v="9"/>
    <n v="5.9731804999999999E-2"/>
  </r>
  <r>
    <x v="0"/>
    <x v="3"/>
    <x v="63"/>
    <x v="6"/>
    <x v="57"/>
    <x v="9"/>
    <n v="5.7289035000000002E-2"/>
  </r>
  <r>
    <x v="0"/>
    <x v="3"/>
    <x v="63"/>
    <x v="7"/>
    <x v="57"/>
    <x v="9"/>
    <n v="5.8496324000000002E-2"/>
  </r>
  <r>
    <x v="0"/>
    <x v="3"/>
    <x v="63"/>
    <x v="8"/>
    <x v="57"/>
    <x v="9"/>
    <n v="5.5747646999999997E-2"/>
  </r>
  <r>
    <x v="0"/>
    <x v="3"/>
    <x v="63"/>
    <x v="9"/>
    <x v="57"/>
    <x v="9"/>
    <n v="5.0318133000000001E-2"/>
  </r>
  <r>
    <x v="0"/>
    <x v="3"/>
    <x v="63"/>
    <x v="10"/>
    <x v="57"/>
    <x v="9"/>
    <n v="4.0462096000000003E-2"/>
  </r>
  <r>
    <x v="0"/>
    <x v="3"/>
    <x v="63"/>
    <x v="11"/>
    <x v="57"/>
    <x v="9"/>
    <n v="4.6992405000000001E-2"/>
  </r>
  <r>
    <x v="0"/>
    <x v="3"/>
    <x v="63"/>
    <x v="12"/>
    <x v="57"/>
    <x v="9"/>
    <n v="4.9102094999999998E-2"/>
  </r>
  <r>
    <x v="0"/>
    <x v="3"/>
    <x v="63"/>
    <x v="13"/>
    <x v="57"/>
    <x v="9"/>
    <n v="4.2412785000000001E-2"/>
  </r>
  <r>
    <x v="0"/>
    <x v="3"/>
    <x v="63"/>
    <x v="14"/>
    <x v="57"/>
    <x v="9"/>
    <n v="4.5578760000000003E-2"/>
  </r>
  <r>
    <x v="0"/>
    <x v="3"/>
    <x v="63"/>
    <x v="15"/>
    <x v="57"/>
    <x v="9"/>
    <n v="5.0642136999999997E-2"/>
  </r>
  <r>
    <x v="0"/>
    <x v="3"/>
    <x v="63"/>
    <x v="16"/>
    <x v="57"/>
    <x v="9"/>
    <n v="5.2181580999999998E-2"/>
  </r>
  <r>
    <x v="0"/>
    <x v="3"/>
    <x v="63"/>
    <x v="17"/>
    <x v="57"/>
    <x v="9"/>
    <n v="5.0667953000000002E-2"/>
  </r>
  <r>
    <x v="0"/>
    <x v="3"/>
    <x v="63"/>
    <x v="18"/>
    <x v="57"/>
    <x v="9"/>
    <n v="4.6227461999999997E-2"/>
  </r>
  <r>
    <x v="0"/>
    <x v="3"/>
    <x v="63"/>
    <x v="19"/>
    <x v="57"/>
    <x v="9"/>
    <n v="5.4429415000000002E-2"/>
  </r>
  <r>
    <x v="0"/>
    <x v="3"/>
    <x v="63"/>
    <x v="20"/>
    <x v="57"/>
    <x v="9"/>
    <n v="5.4428165000000001E-2"/>
  </r>
  <r>
    <x v="0"/>
    <x v="3"/>
    <x v="63"/>
    <x v="21"/>
    <x v="57"/>
    <x v="9"/>
    <n v="5.0010671E-2"/>
  </r>
  <r>
    <x v="0"/>
    <x v="3"/>
    <x v="63"/>
    <x v="22"/>
    <x v="57"/>
    <x v="9"/>
    <n v="2.9061971999999998E-2"/>
  </r>
  <r>
    <x v="0"/>
    <x v="3"/>
    <x v="63"/>
    <x v="23"/>
    <x v="57"/>
    <x v="9"/>
    <n v="1"/>
  </r>
  <r>
    <x v="0"/>
    <x v="3"/>
    <x v="63"/>
    <x v="24"/>
    <x v="57"/>
    <x v="9"/>
    <n v="4.3192630000000003E-2"/>
  </r>
  <r>
    <x v="0"/>
    <x v="3"/>
    <x v="63"/>
    <x v="25"/>
    <x v="57"/>
    <x v="9"/>
    <n v="1"/>
  </r>
  <r>
    <x v="0"/>
    <x v="3"/>
    <x v="63"/>
    <x v="26"/>
    <x v="57"/>
    <x v="9"/>
    <n v="1"/>
  </r>
  <r>
    <x v="0"/>
    <x v="3"/>
    <x v="63"/>
    <x v="27"/>
    <x v="57"/>
    <x v="9"/>
    <n v="5.5639999000000002E-2"/>
  </r>
  <r>
    <x v="0"/>
    <x v="3"/>
    <x v="63"/>
    <x v="28"/>
    <x v="57"/>
    <x v="9"/>
    <n v="5.9068829000000003E-2"/>
  </r>
  <r>
    <x v="0"/>
    <x v="3"/>
    <x v="63"/>
    <x v="29"/>
    <x v="57"/>
    <x v="9"/>
    <n v="5.1266745000000002E-2"/>
  </r>
  <r>
    <x v="0"/>
    <x v="3"/>
    <x v="63"/>
    <x v="30"/>
    <x v="57"/>
    <x v="9"/>
    <n v="7.0487519999999998E-2"/>
  </r>
  <r>
    <x v="0"/>
    <x v="3"/>
    <x v="63"/>
    <x v="31"/>
    <x v="57"/>
    <x v="9"/>
    <n v="4.6935172999999997E-2"/>
  </r>
  <r>
    <x v="0"/>
    <x v="3"/>
    <x v="63"/>
    <x v="32"/>
    <x v="57"/>
    <x v="9"/>
    <n v="5.0213386999999998E-2"/>
  </r>
  <r>
    <x v="0"/>
    <x v="3"/>
    <x v="63"/>
    <x v="33"/>
    <x v="57"/>
    <x v="9"/>
    <n v="1"/>
  </r>
  <r>
    <x v="0"/>
    <x v="3"/>
    <x v="63"/>
    <x v="34"/>
    <x v="57"/>
    <x v="9"/>
    <n v="5.1946014999999998E-2"/>
  </r>
  <r>
    <x v="0"/>
    <x v="3"/>
    <x v="63"/>
    <x v="35"/>
    <x v="57"/>
    <x v="9"/>
    <n v="5.4049265999999999E-2"/>
  </r>
  <r>
    <x v="0"/>
    <x v="3"/>
    <x v="63"/>
    <x v="36"/>
    <x v="57"/>
    <x v="9"/>
    <n v="5.8295708000000002E-2"/>
  </r>
  <r>
    <x v="0"/>
    <x v="3"/>
    <x v="63"/>
    <x v="37"/>
    <x v="57"/>
    <x v="9"/>
    <n v="6.9157850000000007E-2"/>
  </r>
  <r>
    <x v="0"/>
    <x v="3"/>
    <x v="63"/>
    <x v="38"/>
    <x v="57"/>
    <x v="9"/>
    <n v="9.5297206999999995E-2"/>
  </r>
  <r>
    <x v="0"/>
    <x v="3"/>
    <x v="63"/>
    <x v="39"/>
    <x v="57"/>
    <x v="9"/>
    <n v="7.0873357999999997E-2"/>
  </r>
  <r>
    <x v="0"/>
    <x v="3"/>
    <x v="63"/>
    <x v="40"/>
    <x v="57"/>
    <x v="9"/>
    <n v="6.6022266999999996E-2"/>
  </r>
  <r>
    <x v="0"/>
    <x v="3"/>
    <x v="63"/>
    <x v="41"/>
    <x v="57"/>
    <x v="9"/>
    <n v="7.8678634999999997E-2"/>
  </r>
  <r>
    <x v="0"/>
    <x v="3"/>
    <x v="64"/>
    <x v="0"/>
    <x v="57"/>
    <x v="10"/>
    <n v="0"/>
  </r>
  <r>
    <x v="0"/>
    <x v="3"/>
    <x v="64"/>
    <x v="1"/>
    <x v="57"/>
    <x v="10"/>
    <n v="0"/>
  </r>
  <r>
    <x v="0"/>
    <x v="3"/>
    <x v="64"/>
    <x v="2"/>
    <x v="57"/>
    <x v="10"/>
    <n v="0"/>
  </r>
  <r>
    <x v="0"/>
    <x v="3"/>
    <x v="64"/>
    <x v="3"/>
    <x v="57"/>
    <x v="10"/>
    <n v="0"/>
  </r>
  <r>
    <x v="0"/>
    <x v="3"/>
    <x v="64"/>
    <x v="4"/>
    <x v="57"/>
    <x v="10"/>
    <n v="0"/>
  </r>
  <r>
    <x v="0"/>
    <x v="3"/>
    <x v="64"/>
    <x v="5"/>
    <x v="57"/>
    <x v="10"/>
    <n v="0"/>
  </r>
  <r>
    <x v="0"/>
    <x v="3"/>
    <x v="64"/>
    <x v="6"/>
    <x v="57"/>
    <x v="10"/>
    <n v="0"/>
  </r>
  <r>
    <x v="0"/>
    <x v="3"/>
    <x v="64"/>
    <x v="7"/>
    <x v="57"/>
    <x v="10"/>
    <n v="0"/>
  </r>
  <r>
    <x v="0"/>
    <x v="3"/>
    <x v="64"/>
    <x v="8"/>
    <x v="57"/>
    <x v="10"/>
    <n v="0"/>
  </r>
  <r>
    <x v="0"/>
    <x v="3"/>
    <x v="64"/>
    <x v="9"/>
    <x v="57"/>
    <x v="10"/>
    <n v="0"/>
  </r>
  <r>
    <x v="0"/>
    <x v="3"/>
    <x v="64"/>
    <x v="10"/>
    <x v="57"/>
    <x v="10"/>
    <n v="0"/>
  </r>
  <r>
    <x v="0"/>
    <x v="3"/>
    <x v="64"/>
    <x v="11"/>
    <x v="57"/>
    <x v="10"/>
    <n v="0"/>
  </r>
  <r>
    <x v="0"/>
    <x v="3"/>
    <x v="64"/>
    <x v="12"/>
    <x v="57"/>
    <x v="10"/>
    <n v="0"/>
  </r>
  <r>
    <x v="0"/>
    <x v="3"/>
    <x v="64"/>
    <x v="13"/>
    <x v="57"/>
    <x v="10"/>
    <n v="0"/>
  </r>
  <r>
    <x v="0"/>
    <x v="3"/>
    <x v="64"/>
    <x v="14"/>
    <x v="57"/>
    <x v="10"/>
    <n v="0"/>
  </r>
  <r>
    <x v="0"/>
    <x v="3"/>
    <x v="64"/>
    <x v="15"/>
    <x v="57"/>
    <x v="10"/>
    <n v="0"/>
  </r>
  <r>
    <x v="0"/>
    <x v="3"/>
    <x v="64"/>
    <x v="16"/>
    <x v="57"/>
    <x v="10"/>
    <n v="0"/>
  </r>
  <r>
    <x v="0"/>
    <x v="3"/>
    <x v="64"/>
    <x v="17"/>
    <x v="57"/>
    <x v="10"/>
    <n v="0"/>
  </r>
  <r>
    <x v="0"/>
    <x v="3"/>
    <x v="64"/>
    <x v="18"/>
    <x v="57"/>
    <x v="10"/>
    <n v="0"/>
  </r>
  <r>
    <x v="0"/>
    <x v="3"/>
    <x v="64"/>
    <x v="19"/>
    <x v="57"/>
    <x v="10"/>
    <n v="0"/>
  </r>
  <r>
    <x v="0"/>
    <x v="3"/>
    <x v="64"/>
    <x v="20"/>
    <x v="57"/>
    <x v="10"/>
    <n v="0"/>
  </r>
  <r>
    <x v="0"/>
    <x v="3"/>
    <x v="64"/>
    <x v="21"/>
    <x v="57"/>
    <x v="10"/>
    <n v="0"/>
  </r>
  <r>
    <x v="0"/>
    <x v="3"/>
    <x v="64"/>
    <x v="22"/>
    <x v="57"/>
    <x v="10"/>
    <n v="0"/>
  </r>
  <r>
    <x v="0"/>
    <x v="3"/>
    <x v="64"/>
    <x v="23"/>
    <x v="57"/>
    <x v="10"/>
    <n v="0"/>
  </r>
  <r>
    <x v="0"/>
    <x v="3"/>
    <x v="64"/>
    <x v="24"/>
    <x v="57"/>
    <x v="10"/>
    <n v="0"/>
  </r>
  <r>
    <x v="0"/>
    <x v="3"/>
    <x v="64"/>
    <x v="25"/>
    <x v="57"/>
    <x v="10"/>
    <n v="0"/>
  </r>
  <r>
    <x v="0"/>
    <x v="3"/>
    <x v="64"/>
    <x v="26"/>
    <x v="57"/>
    <x v="10"/>
    <n v="0"/>
  </r>
  <r>
    <x v="0"/>
    <x v="3"/>
    <x v="64"/>
    <x v="27"/>
    <x v="57"/>
    <x v="10"/>
    <n v="0"/>
  </r>
  <r>
    <x v="0"/>
    <x v="3"/>
    <x v="64"/>
    <x v="28"/>
    <x v="57"/>
    <x v="10"/>
    <n v="0"/>
  </r>
  <r>
    <x v="0"/>
    <x v="3"/>
    <x v="64"/>
    <x v="29"/>
    <x v="57"/>
    <x v="10"/>
    <n v="0"/>
  </r>
  <r>
    <x v="0"/>
    <x v="3"/>
    <x v="64"/>
    <x v="30"/>
    <x v="57"/>
    <x v="10"/>
    <n v="0"/>
  </r>
  <r>
    <x v="0"/>
    <x v="3"/>
    <x v="64"/>
    <x v="31"/>
    <x v="57"/>
    <x v="10"/>
    <n v="0"/>
  </r>
  <r>
    <x v="0"/>
    <x v="3"/>
    <x v="64"/>
    <x v="32"/>
    <x v="57"/>
    <x v="10"/>
    <n v="0"/>
  </r>
  <r>
    <x v="0"/>
    <x v="3"/>
    <x v="64"/>
    <x v="33"/>
    <x v="57"/>
    <x v="10"/>
    <n v="0"/>
  </r>
  <r>
    <x v="0"/>
    <x v="3"/>
    <x v="64"/>
    <x v="34"/>
    <x v="57"/>
    <x v="10"/>
    <n v="0"/>
  </r>
  <r>
    <x v="0"/>
    <x v="3"/>
    <x v="64"/>
    <x v="35"/>
    <x v="57"/>
    <x v="10"/>
    <n v="0"/>
  </r>
  <r>
    <x v="0"/>
    <x v="3"/>
    <x v="64"/>
    <x v="36"/>
    <x v="57"/>
    <x v="10"/>
    <n v="0"/>
  </r>
  <r>
    <x v="0"/>
    <x v="3"/>
    <x v="64"/>
    <x v="37"/>
    <x v="57"/>
    <x v="10"/>
    <n v="0"/>
  </r>
  <r>
    <x v="0"/>
    <x v="3"/>
    <x v="64"/>
    <x v="38"/>
    <x v="57"/>
    <x v="10"/>
    <n v="0"/>
  </r>
  <r>
    <x v="0"/>
    <x v="3"/>
    <x v="64"/>
    <x v="39"/>
    <x v="57"/>
    <x v="10"/>
    <n v="0"/>
  </r>
  <r>
    <x v="0"/>
    <x v="3"/>
    <x v="64"/>
    <x v="40"/>
    <x v="57"/>
    <x v="10"/>
    <n v="0"/>
  </r>
  <r>
    <x v="0"/>
    <x v="3"/>
    <x v="64"/>
    <x v="41"/>
    <x v="57"/>
    <x v="10"/>
    <n v="0"/>
  </r>
  <r>
    <x v="0"/>
    <x v="3"/>
    <x v="65"/>
    <x v="48"/>
    <x v="58"/>
    <x v="11"/>
    <n v="1681.3118649739999"/>
  </r>
  <r>
    <x v="0"/>
    <x v="3"/>
    <x v="65"/>
    <x v="49"/>
    <x v="58"/>
    <x v="11"/>
    <n v="1623.0532781290001"/>
  </r>
  <r>
    <x v="0"/>
    <x v="3"/>
    <x v="66"/>
    <x v="48"/>
    <x v="58"/>
    <x v="12"/>
    <n v="0.115995578"/>
  </r>
  <r>
    <x v="0"/>
    <x v="3"/>
    <x v="66"/>
    <x v="49"/>
    <x v="58"/>
    <x v="12"/>
    <n v="0.111976253"/>
  </r>
  <r>
    <x v="0"/>
    <x v="4"/>
    <x v="0"/>
    <x v="0"/>
    <x v="0"/>
    <x v="0"/>
    <n v="652.81117937700003"/>
  </r>
  <r>
    <x v="0"/>
    <x v="4"/>
    <x v="1"/>
    <x v="0"/>
    <x v="0"/>
    <x v="1"/>
    <n v="0.102031291"/>
  </r>
  <r>
    <x v="0"/>
    <x v="4"/>
    <x v="2"/>
    <x v="0"/>
    <x v="0"/>
    <x v="1"/>
    <n v="249.43192030500001"/>
  </r>
  <r>
    <x v="0"/>
    <x v="4"/>
    <x v="3"/>
    <x v="0"/>
    <x v="0"/>
    <x v="1"/>
    <n v="0.124057294"/>
  </r>
  <r>
    <x v="0"/>
    <x v="4"/>
    <x v="0"/>
    <x v="1"/>
    <x v="0"/>
    <x v="0"/>
    <n v="209.349050995"/>
  </r>
  <r>
    <x v="0"/>
    <x v="4"/>
    <x v="1"/>
    <x v="1"/>
    <x v="0"/>
    <x v="1"/>
    <n v="5.7624568000000001E-2"/>
  </r>
  <r>
    <x v="0"/>
    <x v="4"/>
    <x v="2"/>
    <x v="1"/>
    <x v="0"/>
    <x v="1"/>
    <n v="127.585637698"/>
  </r>
  <r>
    <x v="0"/>
    <x v="4"/>
    <x v="3"/>
    <x v="1"/>
    <x v="0"/>
    <x v="1"/>
    <n v="7.3219372000000005E-2"/>
  </r>
  <r>
    <x v="0"/>
    <x v="4"/>
    <x v="0"/>
    <x v="2"/>
    <x v="0"/>
    <x v="0"/>
    <n v="230.13443818900001"/>
  </r>
  <r>
    <x v="0"/>
    <x v="4"/>
    <x v="1"/>
    <x v="2"/>
    <x v="0"/>
    <x v="1"/>
    <n v="3.7373792000000003E-2"/>
  </r>
  <r>
    <x v="0"/>
    <x v="4"/>
    <x v="2"/>
    <x v="2"/>
    <x v="0"/>
    <x v="1"/>
    <n v="131.907881248"/>
  </r>
  <r>
    <x v="0"/>
    <x v="4"/>
    <x v="3"/>
    <x v="2"/>
    <x v="0"/>
    <x v="1"/>
    <n v="2.7460715E-2"/>
  </r>
  <r>
    <x v="0"/>
    <x v="4"/>
    <x v="0"/>
    <x v="3"/>
    <x v="0"/>
    <x v="0"/>
    <n v="118.348548553"/>
  </r>
  <r>
    <x v="0"/>
    <x v="4"/>
    <x v="1"/>
    <x v="3"/>
    <x v="0"/>
    <x v="1"/>
    <n v="4.7494771999999998E-2"/>
  </r>
  <r>
    <x v="0"/>
    <x v="4"/>
    <x v="2"/>
    <x v="3"/>
    <x v="0"/>
    <x v="1"/>
    <n v="80.606478648999996"/>
  </r>
  <r>
    <x v="0"/>
    <x v="4"/>
    <x v="3"/>
    <x v="3"/>
    <x v="0"/>
    <x v="1"/>
    <n v="5.5476603999999999E-2"/>
  </r>
  <r>
    <x v="0"/>
    <x v="4"/>
    <x v="0"/>
    <x v="4"/>
    <x v="0"/>
    <x v="0"/>
    <n v="56.550222279000003"/>
  </r>
  <r>
    <x v="0"/>
    <x v="4"/>
    <x v="1"/>
    <x v="4"/>
    <x v="0"/>
    <x v="1"/>
    <n v="5.1465983999999999E-2"/>
  </r>
  <r>
    <x v="0"/>
    <x v="4"/>
    <x v="2"/>
    <x v="4"/>
    <x v="0"/>
    <x v="1"/>
    <n v="38.050135507999997"/>
  </r>
  <r>
    <x v="0"/>
    <x v="4"/>
    <x v="3"/>
    <x v="4"/>
    <x v="0"/>
    <x v="1"/>
    <n v="6.4741242000000004E-2"/>
  </r>
  <r>
    <x v="0"/>
    <x v="4"/>
    <x v="0"/>
    <x v="5"/>
    <x v="0"/>
    <x v="0"/>
    <n v="564.96503836299996"/>
  </r>
  <r>
    <x v="0"/>
    <x v="4"/>
    <x v="1"/>
    <x v="5"/>
    <x v="0"/>
    <x v="1"/>
    <n v="6.9663371000000002E-2"/>
  </r>
  <r>
    <x v="0"/>
    <x v="4"/>
    <x v="2"/>
    <x v="5"/>
    <x v="0"/>
    <x v="1"/>
    <n v="472.07118034199999"/>
  </r>
  <r>
    <x v="0"/>
    <x v="4"/>
    <x v="3"/>
    <x v="5"/>
    <x v="0"/>
    <x v="1"/>
    <n v="4.4437599000000001E-2"/>
  </r>
  <r>
    <x v="0"/>
    <x v="4"/>
    <x v="0"/>
    <x v="6"/>
    <x v="0"/>
    <x v="0"/>
    <n v="173.67336106499999"/>
  </r>
  <r>
    <x v="0"/>
    <x v="4"/>
    <x v="1"/>
    <x v="6"/>
    <x v="0"/>
    <x v="1"/>
    <n v="6.3581176000000003E-2"/>
  </r>
  <r>
    <x v="0"/>
    <x v="4"/>
    <x v="2"/>
    <x v="6"/>
    <x v="0"/>
    <x v="1"/>
    <n v="145.367040237"/>
  </r>
  <r>
    <x v="0"/>
    <x v="4"/>
    <x v="3"/>
    <x v="6"/>
    <x v="0"/>
    <x v="1"/>
    <n v="5.9684256999999998E-2"/>
  </r>
  <r>
    <x v="0"/>
    <x v="4"/>
    <x v="0"/>
    <x v="7"/>
    <x v="0"/>
    <x v="0"/>
    <n v="120.68615178899999"/>
  </r>
  <r>
    <x v="0"/>
    <x v="4"/>
    <x v="1"/>
    <x v="7"/>
    <x v="0"/>
    <x v="1"/>
    <n v="6.141812E-2"/>
  </r>
  <r>
    <x v="0"/>
    <x v="4"/>
    <x v="2"/>
    <x v="7"/>
    <x v="0"/>
    <x v="1"/>
    <n v="98.164374308000006"/>
  </r>
  <r>
    <x v="0"/>
    <x v="4"/>
    <x v="3"/>
    <x v="7"/>
    <x v="0"/>
    <x v="1"/>
    <n v="7.0338929999999994E-2"/>
  </r>
  <r>
    <x v="0"/>
    <x v="4"/>
    <x v="0"/>
    <x v="8"/>
    <x v="0"/>
    <x v="0"/>
    <n v="87.960031154000006"/>
  </r>
  <r>
    <x v="0"/>
    <x v="4"/>
    <x v="1"/>
    <x v="8"/>
    <x v="0"/>
    <x v="1"/>
    <n v="5.8308826000000001E-2"/>
  </r>
  <r>
    <x v="0"/>
    <x v="4"/>
    <x v="2"/>
    <x v="8"/>
    <x v="0"/>
    <x v="1"/>
    <n v="71.822802805999999"/>
  </r>
  <r>
    <x v="0"/>
    <x v="4"/>
    <x v="3"/>
    <x v="8"/>
    <x v="0"/>
    <x v="1"/>
    <n v="5.7198600000000002E-2"/>
  </r>
  <r>
    <x v="0"/>
    <x v="4"/>
    <x v="0"/>
    <x v="9"/>
    <x v="0"/>
    <x v="0"/>
    <n v="207.384623842"/>
  </r>
  <r>
    <x v="0"/>
    <x v="4"/>
    <x v="1"/>
    <x v="9"/>
    <x v="0"/>
    <x v="1"/>
    <n v="5.2296565000000003E-2"/>
  </r>
  <r>
    <x v="0"/>
    <x v="4"/>
    <x v="2"/>
    <x v="9"/>
    <x v="0"/>
    <x v="1"/>
    <n v="166.065139512"/>
  </r>
  <r>
    <x v="0"/>
    <x v="4"/>
    <x v="3"/>
    <x v="9"/>
    <x v="0"/>
    <x v="1"/>
    <n v="6.1703671000000002E-2"/>
  </r>
  <r>
    <x v="0"/>
    <x v="4"/>
    <x v="0"/>
    <x v="10"/>
    <x v="0"/>
    <x v="0"/>
    <n v="321.79943551500003"/>
  </r>
  <r>
    <x v="0"/>
    <x v="4"/>
    <x v="1"/>
    <x v="10"/>
    <x v="0"/>
    <x v="1"/>
    <n v="3.7584855E-2"/>
  </r>
  <r>
    <x v="0"/>
    <x v="4"/>
    <x v="2"/>
    <x v="10"/>
    <x v="0"/>
    <x v="1"/>
    <n v="294.78160146499999"/>
  </r>
  <r>
    <x v="0"/>
    <x v="4"/>
    <x v="3"/>
    <x v="10"/>
    <x v="0"/>
    <x v="1"/>
    <n v="4.4476584E-2"/>
  </r>
  <r>
    <x v="0"/>
    <x v="4"/>
    <x v="0"/>
    <x v="11"/>
    <x v="0"/>
    <x v="0"/>
    <n v="829.94015987800003"/>
  </r>
  <r>
    <x v="0"/>
    <x v="4"/>
    <x v="1"/>
    <x v="11"/>
    <x v="0"/>
    <x v="1"/>
    <n v="4.6304059000000002E-2"/>
  </r>
  <r>
    <x v="0"/>
    <x v="4"/>
    <x v="2"/>
    <x v="11"/>
    <x v="0"/>
    <x v="1"/>
    <n v="697.37003274699998"/>
  </r>
  <r>
    <x v="0"/>
    <x v="4"/>
    <x v="3"/>
    <x v="11"/>
    <x v="0"/>
    <x v="1"/>
    <n v="4.0407393999999999E-2"/>
  </r>
  <r>
    <x v="0"/>
    <x v="4"/>
    <x v="0"/>
    <x v="12"/>
    <x v="0"/>
    <x v="0"/>
    <n v="245.65135132399999"/>
  </r>
  <r>
    <x v="0"/>
    <x v="4"/>
    <x v="1"/>
    <x v="12"/>
    <x v="0"/>
    <x v="1"/>
    <n v="4.7073981000000001E-2"/>
  </r>
  <r>
    <x v="0"/>
    <x v="4"/>
    <x v="2"/>
    <x v="12"/>
    <x v="0"/>
    <x v="1"/>
    <n v="196.801262686"/>
  </r>
  <r>
    <x v="0"/>
    <x v="4"/>
    <x v="3"/>
    <x v="12"/>
    <x v="0"/>
    <x v="1"/>
    <n v="5.2621544999999999E-2"/>
  </r>
  <r>
    <x v="0"/>
    <x v="4"/>
    <x v="0"/>
    <x v="13"/>
    <x v="0"/>
    <x v="0"/>
    <n v="673.20115566599998"/>
  </r>
  <r>
    <x v="0"/>
    <x v="4"/>
    <x v="1"/>
    <x v="13"/>
    <x v="0"/>
    <x v="1"/>
    <n v="3.8479667000000002E-2"/>
  </r>
  <r>
    <x v="0"/>
    <x v="4"/>
    <x v="2"/>
    <x v="13"/>
    <x v="0"/>
    <x v="1"/>
    <n v="571.32499143999996"/>
  </r>
  <r>
    <x v="0"/>
    <x v="4"/>
    <x v="3"/>
    <x v="13"/>
    <x v="0"/>
    <x v="1"/>
    <n v="3.4964546999999999E-2"/>
  </r>
  <r>
    <x v="0"/>
    <x v="4"/>
    <x v="0"/>
    <x v="14"/>
    <x v="0"/>
    <x v="0"/>
    <n v="182.36339606199999"/>
  </r>
  <r>
    <x v="0"/>
    <x v="4"/>
    <x v="1"/>
    <x v="14"/>
    <x v="0"/>
    <x v="1"/>
    <n v="4.3960224999999999E-2"/>
  </r>
  <r>
    <x v="0"/>
    <x v="4"/>
    <x v="2"/>
    <x v="14"/>
    <x v="0"/>
    <x v="1"/>
    <n v="152.20449696399999"/>
  </r>
  <r>
    <x v="0"/>
    <x v="4"/>
    <x v="3"/>
    <x v="14"/>
    <x v="0"/>
    <x v="1"/>
    <n v="5.6070235000000003E-2"/>
  </r>
  <r>
    <x v="0"/>
    <x v="4"/>
    <x v="0"/>
    <x v="15"/>
    <x v="0"/>
    <x v="0"/>
    <n v="202.553127617"/>
  </r>
  <r>
    <x v="0"/>
    <x v="4"/>
    <x v="1"/>
    <x v="15"/>
    <x v="0"/>
    <x v="1"/>
    <n v="4.6995782E-2"/>
  </r>
  <r>
    <x v="0"/>
    <x v="4"/>
    <x v="2"/>
    <x v="15"/>
    <x v="0"/>
    <x v="1"/>
    <n v="167.34701029199999"/>
  </r>
  <r>
    <x v="0"/>
    <x v="4"/>
    <x v="3"/>
    <x v="15"/>
    <x v="0"/>
    <x v="1"/>
    <n v="6.0986921999999999E-2"/>
  </r>
  <r>
    <x v="0"/>
    <x v="4"/>
    <x v="0"/>
    <x v="16"/>
    <x v="0"/>
    <x v="0"/>
    <n v="129.93164990400001"/>
  </r>
  <r>
    <x v="0"/>
    <x v="4"/>
    <x v="1"/>
    <x v="16"/>
    <x v="0"/>
    <x v="1"/>
    <n v="4.7606139999999998E-2"/>
  </r>
  <r>
    <x v="0"/>
    <x v="4"/>
    <x v="2"/>
    <x v="16"/>
    <x v="0"/>
    <x v="1"/>
    <n v="106.178974696"/>
  </r>
  <r>
    <x v="0"/>
    <x v="4"/>
    <x v="3"/>
    <x v="16"/>
    <x v="0"/>
    <x v="1"/>
    <n v="6.0158377999999998E-2"/>
  </r>
  <r>
    <x v="0"/>
    <x v="4"/>
    <x v="0"/>
    <x v="17"/>
    <x v="0"/>
    <x v="0"/>
    <n v="301.69132035400003"/>
  </r>
  <r>
    <x v="0"/>
    <x v="4"/>
    <x v="1"/>
    <x v="17"/>
    <x v="0"/>
    <x v="1"/>
    <n v="4.8090796999999998E-2"/>
  </r>
  <r>
    <x v="0"/>
    <x v="4"/>
    <x v="2"/>
    <x v="17"/>
    <x v="0"/>
    <x v="1"/>
    <n v="252.31121082799999"/>
  </r>
  <r>
    <x v="0"/>
    <x v="4"/>
    <x v="3"/>
    <x v="17"/>
    <x v="0"/>
    <x v="1"/>
    <n v="5.8336699999999998E-2"/>
  </r>
  <r>
    <x v="0"/>
    <x v="4"/>
    <x v="0"/>
    <x v="18"/>
    <x v="0"/>
    <x v="0"/>
    <n v="260.39772992500002"/>
  </r>
  <r>
    <x v="0"/>
    <x v="4"/>
    <x v="1"/>
    <x v="18"/>
    <x v="0"/>
    <x v="1"/>
    <n v="4.3730737999999998E-2"/>
  </r>
  <r>
    <x v="0"/>
    <x v="4"/>
    <x v="2"/>
    <x v="18"/>
    <x v="0"/>
    <x v="1"/>
    <n v="223.41598442899999"/>
  </r>
  <r>
    <x v="0"/>
    <x v="4"/>
    <x v="3"/>
    <x v="18"/>
    <x v="0"/>
    <x v="1"/>
    <n v="4.8363062999999998E-2"/>
  </r>
  <r>
    <x v="0"/>
    <x v="4"/>
    <x v="0"/>
    <x v="19"/>
    <x v="0"/>
    <x v="0"/>
    <n v="302.798487889"/>
  </r>
  <r>
    <x v="0"/>
    <x v="4"/>
    <x v="1"/>
    <x v="19"/>
    <x v="0"/>
    <x v="1"/>
    <n v="4.7689608000000001E-2"/>
  </r>
  <r>
    <x v="0"/>
    <x v="4"/>
    <x v="2"/>
    <x v="19"/>
    <x v="0"/>
    <x v="1"/>
    <n v="256.66310119399998"/>
  </r>
  <r>
    <x v="0"/>
    <x v="4"/>
    <x v="3"/>
    <x v="19"/>
    <x v="0"/>
    <x v="1"/>
    <n v="6.5819607000000002E-2"/>
  </r>
  <r>
    <x v="0"/>
    <x v="4"/>
    <x v="0"/>
    <x v="20"/>
    <x v="0"/>
    <x v="0"/>
    <n v="36.675679545999998"/>
  </r>
  <r>
    <x v="0"/>
    <x v="4"/>
    <x v="1"/>
    <x v="20"/>
    <x v="0"/>
    <x v="1"/>
    <n v="4.6554089E-2"/>
  </r>
  <r>
    <x v="0"/>
    <x v="4"/>
    <x v="2"/>
    <x v="20"/>
    <x v="0"/>
    <x v="1"/>
    <n v="29.404642231"/>
  </r>
  <r>
    <x v="0"/>
    <x v="4"/>
    <x v="3"/>
    <x v="20"/>
    <x v="0"/>
    <x v="1"/>
    <n v="5.4911069999999999E-2"/>
  </r>
  <r>
    <x v="0"/>
    <x v="4"/>
    <x v="0"/>
    <x v="21"/>
    <x v="0"/>
    <x v="0"/>
    <n v="15.960679378"/>
  </r>
  <r>
    <x v="0"/>
    <x v="4"/>
    <x v="1"/>
    <x v="21"/>
    <x v="0"/>
    <x v="1"/>
    <n v="5.3397154000000002E-2"/>
  </r>
  <r>
    <x v="0"/>
    <x v="4"/>
    <x v="2"/>
    <x v="21"/>
    <x v="0"/>
    <x v="1"/>
    <n v="13.072188025999999"/>
  </r>
  <r>
    <x v="0"/>
    <x v="4"/>
    <x v="3"/>
    <x v="21"/>
    <x v="0"/>
    <x v="1"/>
    <n v="6.3110912000000005E-2"/>
  </r>
  <r>
    <x v="0"/>
    <x v="4"/>
    <x v="0"/>
    <x v="22"/>
    <x v="0"/>
    <x v="0"/>
    <n v="72.648866326000004"/>
  </r>
  <r>
    <x v="0"/>
    <x v="4"/>
    <x v="1"/>
    <x v="22"/>
    <x v="0"/>
    <x v="1"/>
    <n v="1.1613712999999999E-2"/>
  </r>
  <r>
    <x v="0"/>
    <x v="4"/>
    <x v="2"/>
    <x v="22"/>
    <x v="0"/>
    <x v="1"/>
    <n v="17.458769734000001"/>
  </r>
  <r>
    <x v="0"/>
    <x v="4"/>
    <x v="3"/>
    <x v="22"/>
    <x v="0"/>
    <x v="1"/>
    <n v="3.0660459999999998E-3"/>
  </r>
  <r>
    <x v="0"/>
    <x v="4"/>
    <x v="0"/>
    <x v="23"/>
    <x v="0"/>
    <x v="0"/>
    <n v="7.0334141419999998"/>
  </r>
  <r>
    <x v="0"/>
    <x v="4"/>
    <x v="1"/>
    <x v="23"/>
    <x v="0"/>
    <x v="1"/>
    <n v="5.3788088999999997E-2"/>
  </r>
  <r>
    <x v="0"/>
    <x v="4"/>
    <x v="2"/>
    <x v="23"/>
    <x v="0"/>
    <x v="1"/>
    <n v="5.8001323789999999"/>
  </r>
  <r>
    <x v="0"/>
    <x v="4"/>
    <x v="3"/>
    <x v="23"/>
    <x v="0"/>
    <x v="1"/>
    <n v="9.7427147000000006E-2"/>
  </r>
  <r>
    <x v="0"/>
    <x v="4"/>
    <x v="0"/>
    <x v="24"/>
    <x v="0"/>
    <x v="0"/>
    <n v="378.92952176799997"/>
  </r>
  <r>
    <x v="0"/>
    <x v="4"/>
    <x v="1"/>
    <x v="24"/>
    <x v="0"/>
    <x v="1"/>
    <n v="4.1609605000000001E-2"/>
  </r>
  <r>
    <x v="0"/>
    <x v="4"/>
    <x v="2"/>
    <x v="24"/>
    <x v="0"/>
    <x v="1"/>
    <n v="297.18503873399999"/>
  </r>
  <r>
    <x v="0"/>
    <x v="4"/>
    <x v="3"/>
    <x v="24"/>
    <x v="0"/>
    <x v="1"/>
    <n v="3.1689637E-2"/>
  </r>
  <r>
    <x v="0"/>
    <x v="4"/>
    <x v="0"/>
    <x v="25"/>
    <x v="0"/>
    <x v="0"/>
    <n v="24.215360502999999"/>
  </r>
  <r>
    <x v="0"/>
    <x v="4"/>
    <x v="1"/>
    <x v="25"/>
    <x v="0"/>
    <x v="1"/>
    <n v="3.5778494000000001E-2"/>
  </r>
  <r>
    <x v="0"/>
    <x v="4"/>
    <x v="2"/>
    <x v="25"/>
    <x v="0"/>
    <x v="1"/>
    <n v="19.511764736"/>
  </r>
  <r>
    <x v="0"/>
    <x v="4"/>
    <x v="3"/>
    <x v="25"/>
    <x v="0"/>
    <x v="1"/>
    <n v="2.8631758E-2"/>
  </r>
  <r>
    <x v="0"/>
    <x v="4"/>
    <x v="0"/>
    <x v="26"/>
    <x v="0"/>
    <x v="0"/>
    <n v="10.458734557"/>
  </r>
  <r>
    <x v="0"/>
    <x v="4"/>
    <x v="1"/>
    <x v="26"/>
    <x v="0"/>
    <x v="1"/>
    <n v="5.2462149999999999E-2"/>
  </r>
  <r>
    <x v="0"/>
    <x v="4"/>
    <x v="2"/>
    <x v="26"/>
    <x v="0"/>
    <x v="1"/>
    <n v="6.1921428799999996"/>
  </r>
  <r>
    <x v="0"/>
    <x v="4"/>
    <x v="3"/>
    <x v="26"/>
    <x v="0"/>
    <x v="1"/>
    <n v="6.0695950999999998E-2"/>
  </r>
  <r>
    <x v="0"/>
    <x v="4"/>
    <x v="0"/>
    <x v="27"/>
    <x v="0"/>
    <x v="0"/>
    <n v="525.13289293499997"/>
  </r>
  <r>
    <x v="0"/>
    <x v="4"/>
    <x v="1"/>
    <x v="27"/>
    <x v="0"/>
    <x v="1"/>
    <n v="5.3991333000000002E-2"/>
  </r>
  <r>
    <x v="0"/>
    <x v="4"/>
    <x v="2"/>
    <x v="27"/>
    <x v="0"/>
    <x v="1"/>
    <n v="405.10094192600002"/>
  </r>
  <r>
    <x v="0"/>
    <x v="4"/>
    <x v="3"/>
    <x v="27"/>
    <x v="0"/>
    <x v="1"/>
    <n v="8.2814127000000001E-2"/>
  </r>
  <r>
    <x v="0"/>
    <x v="4"/>
    <x v="0"/>
    <x v="28"/>
    <x v="0"/>
    <x v="0"/>
    <n v="570.72054017899995"/>
  </r>
  <r>
    <x v="0"/>
    <x v="4"/>
    <x v="1"/>
    <x v="28"/>
    <x v="0"/>
    <x v="1"/>
    <n v="4.4001102E-2"/>
  </r>
  <r>
    <x v="0"/>
    <x v="4"/>
    <x v="2"/>
    <x v="28"/>
    <x v="0"/>
    <x v="1"/>
    <n v="305.56390897300003"/>
  </r>
  <r>
    <x v="0"/>
    <x v="4"/>
    <x v="3"/>
    <x v="28"/>
    <x v="0"/>
    <x v="1"/>
    <n v="4.4380206999999998E-2"/>
  </r>
  <r>
    <x v="0"/>
    <x v="4"/>
    <x v="0"/>
    <x v="29"/>
    <x v="0"/>
    <x v="0"/>
    <n v="462.49621636799998"/>
  </r>
  <r>
    <x v="0"/>
    <x v="4"/>
    <x v="1"/>
    <x v="29"/>
    <x v="0"/>
    <x v="1"/>
    <n v="4.7841017E-2"/>
  </r>
  <r>
    <x v="0"/>
    <x v="4"/>
    <x v="2"/>
    <x v="29"/>
    <x v="0"/>
    <x v="1"/>
    <n v="296.847535601"/>
  </r>
  <r>
    <x v="0"/>
    <x v="4"/>
    <x v="3"/>
    <x v="29"/>
    <x v="0"/>
    <x v="1"/>
    <n v="5.1891978999999998E-2"/>
  </r>
  <r>
    <x v="0"/>
    <x v="4"/>
    <x v="0"/>
    <x v="30"/>
    <x v="0"/>
    <x v="0"/>
    <n v="116.21397311200001"/>
  </r>
  <r>
    <x v="0"/>
    <x v="4"/>
    <x v="1"/>
    <x v="30"/>
    <x v="0"/>
    <x v="1"/>
    <n v="7.3989729000000004E-2"/>
  </r>
  <r>
    <x v="0"/>
    <x v="4"/>
    <x v="2"/>
    <x v="30"/>
    <x v="0"/>
    <x v="1"/>
    <n v="72.993776815000004"/>
  </r>
  <r>
    <x v="0"/>
    <x v="4"/>
    <x v="3"/>
    <x v="30"/>
    <x v="0"/>
    <x v="1"/>
    <n v="8.7085373999999993E-2"/>
  </r>
  <r>
    <x v="0"/>
    <x v="4"/>
    <x v="0"/>
    <x v="31"/>
    <x v="0"/>
    <x v="0"/>
    <n v="188.902072785"/>
  </r>
  <r>
    <x v="0"/>
    <x v="4"/>
    <x v="1"/>
    <x v="31"/>
    <x v="0"/>
    <x v="1"/>
    <n v="3.7403662999999997E-2"/>
  </r>
  <r>
    <x v="0"/>
    <x v="4"/>
    <x v="2"/>
    <x v="31"/>
    <x v="0"/>
    <x v="1"/>
    <n v="103.868591599"/>
  </r>
  <r>
    <x v="0"/>
    <x v="4"/>
    <x v="3"/>
    <x v="31"/>
    <x v="0"/>
    <x v="1"/>
    <n v="2.9434799000000001E-2"/>
  </r>
  <r>
    <x v="0"/>
    <x v="4"/>
    <x v="0"/>
    <x v="32"/>
    <x v="0"/>
    <x v="0"/>
    <n v="586.59882002400002"/>
  </r>
  <r>
    <x v="0"/>
    <x v="4"/>
    <x v="1"/>
    <x v="32"/>
    <x v="0"/>
    <x v="1"/>
    <n v="3.9208707000000002E-2"/>
  </r>
  <r>
    <x v="0"/>
    <x v="4"/>
    <x v="2"/>
    <x v="32"/>
    <x v="0"/>
    <x v="1"/>
    <n v="275.91107458499999"/>
  </r>
  <r>
    <x v="0"/>
    <x v="4"/>
    <x v="3"/>
    <x v="32"/>
    <x v="0"/>
    <x v="1"/>
    <n v="3.3286268000000001E-2"/>
  </r>
  <r>
    <x v="0"/>
    <x v="4"/>
    <x v="0"/>
    <x v="33"/>
    <x v="0"/>
    <x v="0"/>
    <n v="622.14375129400003"/>
  </r>
  <r>
    <x v="0"/>
    <x v="4"/>
    <x v="1"/>
    <x v="33"/>
    <x v="0"/>
    <x v="1"/>
    <n v="2.3568565E-2"/>
  </r>
  <r>
    <x v="0"/>
    <x v="4"/>
    <x v="2"/>
    <x v="33"/>
    <x v="0"/>
    <x v="1"/>
    <n v="239.70376270400001"/>
  </r>
  <r>
    <x v="0"/>
    <x v="4"/>
    <x v="3"/>
    <x v="33"/>
    <x v="0"/>
    <x v="1"/>
    <n v="1.1602773E-2"/>
  </r>
  <r>
    <x v="0"/>
    <x v="4"/>
    <x v="0"/>
    <x v="34"/>
    <x v="0"/>
    <x v="0"/>
    <n v="281.25525850000002"/>
  </r>
  <r>
    <x v="0"/>
    <x v="4"/>
    <x v="1"/>
    <x v="34"/>
    <x v="0"/>
    <x v="1"/>
    <n v="5.1595609000000001E-2"/>
  </r>
  <r>
    <x v="0"/>
    <x v="4"/>
    <x v="2"/>
    <x v="34"/>
    <x v="0"/>
    <x v="1"/>
    <n v="198.80376553900001"/>
  </r>
  <r>
    <x v="0"/>
    <x v="4"/>
    <x v="3"/>
    <x v="34"/>
    <x v="0"/>
    <x v="1"/>
    <n v="5.9221864999999999E-2"/>
  </r>
  <r>
    <x v="0"/>
    <x v="4"/>
    <x v="0"/>
    <x v="35"/>
    <x v="0"/>
    <x v="0"/>
    <n v="187.433546466"/>
  </r>
  <r>
    <x v="0"/>
    <x v="4"/>
    <x v="1"/>
    <x v="35"/>
    <x v="0"/>
    <x v="1"/>
    <n v="5.3790078999999998E-2"/>
  </r>
  <r>
    <x v="0"/>
    <x v="4"/>
    <x v="2"/>
    <x v="35"/>
    <x v="0"/>
    <x v="1"/>
    <n v="123.05679881099999"/>
  </r>
  <r>
    <x v="0"/>
    <x v="4"/>
    <x v="3"/>
    <x v="35"/>
    <x v="0"/>
    <x v="1"/>
    <n v="6.3650160999999997E-2"/>
  </r>
  <r>
    <x v="0"/>
    <x v="4"/>
    <x v="0"/>
    <x v="36"/>
    <x v="0"/>
    <x v="0"/>
    <n v="52.486107480999998"/>
  </r>
  <r>
    <x v="0"/>
    <x v="4"/>
    <x v="1"/>
    <x v="36"/>
    <x v="0"/>
    <x v="1"/>
    <n v="5.888931E-2"/>
  </r>
  <r>
    <x v="0"/>
    <x v="4"/>
    <x v="2"/>
    <x v="36"/>
    <x v="0"/>
    <x v="1"/>
    <n v="31.004779814999999"/>
  </r>
  <r>
    <x v="0"/>
    <x v="4"/>
    <x v="3"/>
    <x v="36"/>
    <x v="0"/>
    <x v="1"/>
    <n v="6.6152758000000006E-2"/>
  </r>
  <r>
    <x v="0"/>
    <x v="4"/>
    <x v="0"/>
    <x v="37"/>
    <x v="0"/>
    <x v="0"/>
    <n v="85.191640684999996"/>
  </r>
  <r>
    <x v="0"/>
    <x v="4"/>
    <x v="1"/>
    <x v="37"/>
    <x v="0"/>
    <x v="1"/>
    <n v="6.6222679000000007E-2"/>
  </r>
  <r>
    <x v="0"/>
    <x v="4"/>
    <x v="2"/>
    <x v="37"/>
    <x v="0"/>
    <x v="1"/>
    <n v="44.773323937999997"/>
  </r>
  <r>
    <x v="0"/>
    <x v="4"/>
    <x v="3"/>
    <x v="37"/>
    <x v="0"/>
    <x v="1"/>
    <n v="8.7610758999999996E-2"/>
  </r>
  <r>
    <x v="0"/>
    <x v="4"/>
    <x v="0"/>
    <x v="38"/>
    <x v="0"/>
    <x v="0"/>
    <n v="163.01475036799999"/>
  </r>
  <r>
    <x v="0"/>
    <x v="4"/>
    <x v="1"/>
    <x v="38"/>
    <x v="0"/>
    <x v="1"/>
    <n v="9.2958089999999993E-2"/>
  </r>
  <r>
    <x v="0"/>
    <x v="4"/>
    <x v="2"/>
    <x v="38"/>
    <x v="0"/>
    <x v="1"/>
    <n v="44.025247982000003"/>
  </r>
  <r>
    <x v="0"/>
    <x v="4"/>
    <x v="3"/>
    <x v="38"/>
    <x v="0"/>
    <x v="1"/>
    <n v="0.107898547"/>
  </r>
  <r>
    <x v="0"/>
    <x v="4"/>
    <x v="0"/>
    <x v="39"/>
    <x v="0"/>
    <x v="0"/>
    <n v="94.136708859999999"/>
  </r>
  <r>
    <x v="0"/>
    <x v="4"/>
    <x v="1"/>
    <x v="39"/>
    <x v="0"/>
    <x v="1"/>
    <n v="7.1835921999999997E-2"/>
  </r>
  <r>
    <x v="0"/>
    <x v="4"/>
    <x v="2"/>
    <x v="39"/>
    <x v="0"/>
    <x v="1"/>
    <n v="53.877674399"/>
  </r>
  <r>
    <x v="0"/>
    <x v="4"/>
    <x v="3"/>
    <x v="39"/>
    <x v="0"/>
    <x v="1"/>
    <n v="0.10472092700000001"/>
  </r>
  <r>
    <x v="0"/>
    <x v="4"/>
    <x v="0"/>
    <x v="40"/>
    <x v="0"/>
    <x v="0"/>
    <n v="45.053812545"/>
  </r>
  <r>
    <x v="0"/>
    <x v="4"/>
    <x v="1"/>
    <x v="40"/>
    <x v="0"/>
    <x v="1"/>
    <n v="5.8866995999999998E-2"/>
  </r>
  <r>
    <x v="0"/>
    <x v="4"/>
    <x v="2"/>
    <x v="40"/>
    <x v="0"/>
    <x v="1"/>
    <n v="24.146902834999999"/>
  </r>
  <r>
    <x v="0"/>
    <x v="4"/>
    <x v="3"/>
    <x v="40"/>
    <x v="0"/>
    <x v="1"/>
    <n v="6.5189493000000001E-2"/>
  </r>
  <r>
    <x v="0"/>
    <x v="4"/>
    <x v="0"/>
    <x v="41"/>
    <x v="0"/>
    <x v="0"/>
    <n v="360.32718011200001"/>
  </r>
  <r>
    <x v="0"/>
    <x v="4"/>
    <x v="1"/>
    <x v="41"/>
    <x v="0"/>
    <x v="1"/>
    <n v="8.6527620999999999E-2"/>
  </r>
  <r>
    <x v="0"/>
    <x v="4"/>
    <x v="2"/>
    <x v="41"/>
    <x v="0"/>
    <x v="1"/>
    <n v="145.00310497999999"/>
  </r>
  <r>
    <x v="0"/>
    <x v="4"/>
    <x v="3"/>
    <x v="41"/>
    <x v="0"/>
    <x v="1"/>
    <n v="0.109398974"/>
  </r>
  <r>
    <x v="0"/>
    <x v="4"/>
    <x v="4"/>
    <x v="0"/>
    <x v="1"/>
    <x v="0"/>
    <n v="132.54991667799999"/>
  </r>
  <r>
    <x v="0"/>
    <x v="4"/>
    <x v="5"/>
    <x v="0"/>
    <x v="1"/>
    <x v="1"/>
    <n v="2.66839E-4"/>
  </r>
  <r>
    <x v="0"/>
    <x v="4"/>
    <x v="6"/>
    <x v="0"/>
    <x v="1"/>
    <x v="1"/>
    <n v="0.48205439300000003"/>
  </r>
  <r>
    <x v="0"/>
    <x v="4"/>
    <x v="4"/>
    <x v="1"/>
    <x v="1"/>
    <x v="0"/>
    <n v="198.10457003600001"/>
  </r>
  <r>
    <x v="0"/>
    <x v="4"/>
    <x v="5"/>
    <x v="1"/>
    <x v="1"/>
    <x v="1"/>
    <n v="3.3626499999999998E-4"/>
  </r>
  <r>
    <x v="0"/>
    <x v="4"/>
    <x v="6"/>
    <x v="1"/>
    <x v="1"/>
    <x v="1"/>
    <n v="0.48205439300000003"/>
  </r>
  <r>
    <x v="0"/>
    <x v="4"/>
    <x v="4"/>
    <x v="2"/>
    <x v="1"/>
    <x v="0"/>
    <n v="302.088570538"/>
  </r>
  <r>
    <x v="0"/>
    <x v="4"/>
    <x v="5"/>
    <x v="2"/>
    <x v="1"/>
    <x v="1"/>
    <n v="7.8551200000000004E-4"/>
  </r>
  <r>
    <x v="0"/>
    <x v="4"/>
    <x v="6"/>
    <x v="2"/>
    <x v="1"/>
    <x v="1"/>
    <n v="0.48205439300000003"/>
  </r>
  <r>
    <x v="0"/>
    <x v="4"/>
    <x v="4"/>
    <x v="3"/>
    <x v="1"/>
    <x v="0"/>
    <n v="117.28823563100001"/>
  </r>
  <r>
    <x v="0"/>
    <x v="4"/>
    <x v="5"/>
    <x v="3"/>
    <x v="1"/>
    <x v="1"/>
    <n v="3.0983900000000001E-4"/>
  </r>
  <r>
    <x v="0"/>
    <x v="4"/>
    <x v="6"/>
    <x v="3"/>
    <x v="1"/>
    <x v="1"/>
    <n v="0.48205439300000003"/>
  </r>
  <r>
    <x v="0"/>
    <x v="4"/>
    <x v="4"/>
    <x v="4"/>
    <x v="1"/>
    <x v="0"/>
    <n v="52.117655116000002"/>
  </r>
  <r>
    <x v="0"/>
    <x v="4"/>
    <x v="5"/>
    <x v="4"/>
    <x v="1"/>
    <x v="1"/>
    <n v="2.9564199999999999E-4"/>
  </r>
  <r>
    <x v="0"/>
    <x v="4"/>
    <x v="6"/>
    <x v="4"/>
    <x v="1"/>
    <x v="1"/>
    <n v="0.48205439300000003"/>
  </r>
  <r>
    <x v="0"/>
    <x v="4"/>
    <x v="4"/>
    <x v="5"/>
    <x v="1"/>
    <x v="0"/>
    <n v="388.14116823400002"/>
  </r>
  <r>
    <x v="0"/>
    <x v="4"/>
    <x v="5"/>
    <x v="5"/>
    <x v="1"/>
    <x v="1"/>
    <n v="1.3882E-4"/>
  </r>
  <r>
    <x v="0"/>
    <x v="4"/>
    <x v="6"/>
    <x v="5"/>
    <x v="1"/>
    <x v="1"/>
    <n v="0.48205439300000003"/>
  </r>
  <r>
    <x v="0"/>
    <x v="4"/>
    <x v="4"/>
    <x v="6"/>
    <x v="1"/>
    <x v="0"/>
    <n v="112.777722647"/>
  </r>
  <r>
    <x v="0"/>
    <x v="4"/>
    <x v="5"/>
    <x v="6"/>
    <x v="1"/>
    <x v="1"/>
    <n v="9.0932000000000003E-5"/>
  </r>
  <r>
    <x v="0"/>
    <x v="4"/>
    <x v="6"/>
    <x v="6"/>
    <x v="1"/>
    <x v="1"/>
    <n v="0.48205439300000003"/>
  </r>
  <r>
    <x v="0"/>
    <x v="4"/>
    <x v="4"/>
    <x v="7"/>
    <x v="1"/>
    <x v="0"/>
    <n v="82.255960509000005"/>
  </r>
  <r>
    <x v="0"/>
    <x v="4"/>
    <x v="5"/>
    <x v="7"/>
    <x v="1"/>
    <x v="1"/>
    <n v="7.3405999999999995E-5"/>
  </r>
  <r>
    <x v="0"/>
    <x v="4"/>
    <x v="6"/>
    <x v="7"/>
    <x v="1"/>
    <x v="1"/>
    <n v="0.48205439300000003"/>
  </r>
  <r>
    <x v="0"/>
    <x v="4"/>
    <x v="4"/>
    <x v="8"/>
    <x v="1"/>
    <x v="0"/>
    <n v="66.782257416999997"/>
  </r>
  <r>
    <x v="0"/>
    <x v="4"/>
    <x v="5"/>
    <x v="8"/>
    <x v="1"/>
    <x v="1"/>
    <n v="8.7396000000000001E-5"/>
  </r>
  <r>
    <x v="0"/>
    <x v="4"/>
    <x v="6"/>
    <x v="8"/>
    <x v="1"/>
    <x v="1"/>
    <n v="0.48205439300000003"/>
  </r>
  <r>
    <x v="0"/>
    <x v="4"/>
    <x v="4"/>
    <x v="9"/>
    <x v="1"/>
    <x v="0"/>
    <n v="134.403521638"/>
  </r>
  <r>
    <x v="0"/>
    <x v="4"/>
    <x v="5"/>
    <x v="9"/>
    <x v="1"/>
    <x v="1"/>
    <n v="1.89927E-4"/>
  </r>
  <r>
    <x v="0"/>
    <x v="4"/>
    <x v="6"/>
    <x v="9"/>
    <x v="1"/>
    <x v="1"/>
    <n v="0.48205439300000003"/>
  </r>
  <r>
    <x v="0"/>
    <x v="4"/>
    <x v="4"/>
    <x v="10"/>
    <x v="1"/>
    <x v="0"/>
    <n v="102.251829758"/>
  </r>
  <r>
    <x v="0"/>
    <x v="4"/>
    <x v="5"/>
    <x v="10"/>
    <x v="1"/>
    <x v="1"/>
    <n v="2.0892799999999999E-4"/>
  </r>
  <r>
    <x v="0"/>
    <x v="4"/>
    <x v="6"/>
    <x v="10"/>
    <x v="1"/>
    <x v="1"/>
    <n v="0.48205439300000003"/>
  </r>
  <r>
    <x v="0"/>
    <x v="4"/>
    <x v="4"/>
    <x v="11"/>
    <x v="1"/>
    <x v="0"/>
    <n v="560.60855080299996"/>
  </r>
  <r>
    <x v="0"/>
    <x v="4"/>
    <x v="5"/>
    <x v="11"/>
    <x v="1"/>
    <x v="1"/>
    <n v="1.50042E-4"/>
  </r>
  <r>
    <x v="0"/>
    <x v="4"/>
    <x v="6"/>
    <x v="11"/>
    <x v="1"/>
    <x v="1"/>
    <n v="0.48205439300000003"/>
  </r>
  <r>
    <x v="0"/>
    <x v="4"/>
    <x v="4"/>
    <x v="12"/>
    <x v="1"/>
    <x v="0"/>
    <n v="203.20667933300001"/>
  </r>
  <r>
    <x v="0"/>
    <x v="4"/>
    <x v="5"/>
    <x v="12"/>
    <x v="1"/>
    <x v="1"/>
    <n v="1.04232E-4"/>
  </r>
  <r>
    <x v="0"/>
    <x v="4"/>
    <x v="6"/>
    <x v="12"/>
    <x v="1"/>
    <x v="1"/>
    <n v="0.48205439300000003"/>
  </r>
  <r>
    <x v="0"/>
    <x v="4"/>
    <x v="4"/>
    <x v="13"/>
    <x v="1"/>
    <x v="0"/>
    <n v="476.772015608"/>
  </r>
  <r>
    <x v="0"/>
    <x v="4"/>
    <x v="5"/>
    <x v="13"/>
    <x v="1"/>
    <x v="1"/>
    <n v="1.1434699999999999E-4"/>
  </r>
  <r>
    <x v="0"/>
    <x v="4"/>
    <x v="6"/>
    <x v="13"/>
    <x v="1"/>
    <x v="1"/>
    <n v="0.48205439300000003"/>
  </r>
  <r>
    <x v="0"/>
    <x v="4"/>
    <x v="4"/>
    <x v="14"/>
    <x v="1"/>
    <x v="0"/>
    <n v="116.520412549"/>
  </r>
  <r>
    <x v="0"/>
    <x v="4"/>
    <x v="5"/>
    <x v="14"/>
    <x v="1"/>
    <x v="1"/>
    <n v="1.21839E-4"/>
  </r>
  <r>
    <x v="0"/>
    <x v="4"/>
    <x v="6"/>
    <x v="14"/>
    <x v="1"/>
    <x v="1"/>
    <n v="0.48205439300000003"/>
  </r>
  <r>
    <x v="0"/>
    <x v="4"/>
    <x v="4"/>
    <x v="15"/>
    <x v="1"/>
    <x v="0"/>
    <n v="137.169854359"/>
  </r>
  <r>
    <x v="0"/>
    <x v="4"/>
    <x v="5"/>
    <x v="15"/>
    <x v="1"/>
    <x v="1"/>
    <n v="9.3537999999999998E-5"/>
  </r>
  <r>
    <x v="0"/>
    <x v="4"/>
    <x v="6"/>
    <x v="15"/>
    <x v="1"/>
    <x v="1"/>
    <n v="0.48205439300000003"/>
  </r>
  <r>
    <x v="0"/>
    <x v="4"/>
    <x v="4"/>
    <x v="16"/>
    <x v="1"/>
    <x v="0"/>
    <n v="99.674129484999995"/>
  </r>
  <r>
    <x v="0"/>
    <x v="4"/>
    <x v="5"/>
    <x v="16"/>
    <x v="1"/>
    <x v="1"/>
    <n v="7.1926000000000002E-5"/>
  </r>
  <r>
    <x v="0"/>
    <x v="4"/>
    <x v="6"/>
    <x v="16"/>
    <x v="1"/>
    <x v="1"/>
    <n v="0.48205439300000003"/>
  </r>
  <r>
    <x v="0"/>
    <x v="4"/>
    <x v="4"/>
    <x v="17"/>
    <x v="1"/>
    <x v="0"/>
    <n v="201.83914958700001"/>
  </r>
  <r>
    <x v="0"/>
    <x v="4"/>
    <x v="5"/>
    <x v="17"/>
    <x v="1"/>
    <x v="1"/>
    <n v="8.7262999999999994E-5"/>
  </r>
  <r>
    <x v="0"/>
    <x v="4"/>
    <x v="6"/>
    <x v="17"/>
    <x v="1"/>
    <x v="1"/>
    <n v="0.48205439300000003"/>
  </r>
  <r>
    <x v="0"/>
    <x v="4"/>
    <x v="4"/>
    <x v="18"/>
    <x v="1"/>
    <x v="0"/>
    <n v="162.486866867"/>
  </r>
  <r>
    <x v="0"/>
    <x v="4"/>
    <x v="5"/>
    <x v="18"/>
    <x v="1"/>
    <x v="1"/>
    <n v="9.8342000000000001E-5"/>
  </r>
  <r>
    <x v="0"/>
    <x v="4"/>
    <x v="6"/>
    <x v="18"/>
    <x v="1"/>
    <x v="1"/>
    <n v="0.48205439300000003"/>
  </r>
  <r>
    <x v="0"/>
    <x v="4"/>
    <x v="4"/>
    <x v="19"/>
    <x v="1"/>
    <x v="0"/>
    <n v="169.770656317"/>
  </r>
  <r>
    <x v="0"/>
    <x v="4"/>
    <x v="5"/>
    <x v="19"/>
    <x v="1"/>
    <x v="1"/>
    <n v="9.2051000000000003E-5"/>
  </r>
  <r>
    <x v="0"/>
    <x v="4"/>
    <x v="6"/>
    <x v="19"/>
    <x v="1"/>
    <x v="1"/>
    <n v="0.48205439300000003"/>
  </r>
  <r>
    <x v="0"/>
    <x v="4"/>
    <x v="4"/>
    <x v="20"/>
    <x v="1"/>
    <x v="0"/>
    <n v="26.455995131000002"/>
  </r>
  <r>
    <x v="0"/>
    <x v="4"/>
    <x v="5"/>
    <x v="20"/>
    <x v="1"/>
    <x v="1"/>
    <n v="1.64232E-4"/>
  </r>
  <r>
    <x v="0"/>
    <x v="4"/>
    <x v="6"/>
    <x v="20"/>
    <x v="1"/>
    <x v="1"/>
    <n v="0.48205439300000003"/>
  </r>
  <r>
    <x v="0"/>
    <x v="4"/>
    <x v="4"/>
    <x v="21"/>
    <x v="1"/>
    <x v="0"/>
    <n v="9.6527002710000005"/>
  </r>
  <r>
    <x v="0"/>
    <x v="4"/>
    <x v="5"/>
    <x v="21"/>
    <x v="1"/>
    <x v="1"/>
    <n v="1.5798299999999999E-4"/>
  </r>
  <r>
    <x v="0"/>
    <x v="4"/>
    <x v="6"/>
    <x v="21"/>
    <x v="1"/>
    <x v="1"/>
    <n v="0.48205439300000003"/>
  </r>
  <r>
    <x v="0"/>
    <x v="4"/>
    <x v="4"/>
    <x v="22"/>
    <x v="1"/>
    <x v="0"/>
    <n v="175.12212966800001"/>
  </r>
  <r>
    <x v="0"/>
    <x v="4"/>
    <x v="5"/>
    <x v="22"/>
    <x v="1"/>
    <x v="1"/>
    <n v="2.4680200000000001E-4"/>
  </r>
  <r>
    <x v="0"/>
    <x v="4"/>
    <x v="6"/>
    <x v="22"/>
    <x v="1"/>
    <x v="1"/>
    <n v="0.48205439300000003"/>
  </r>
  <r>
    <x v="0"/>
    <x v="4"/>
    <x v="4"/>
    <x v="23"/>
    <x v="1"/>
    <x v="0"/>
    <n v="1.925119808"/>
  </r>
  <r>
    <x v="0"/>
    <x v="4"/>
    <x v="5"/>
    <x v="23"/>
    <x v="1"/>
    <x v="1"/>
    <n v="2.5281199999999999E-4"/>
  </r>
  <r>
    <x v="0"/>
    <x v="4"/>
    <x v="6"/>
    <x v="23"/>
    <x v="1"/>
    <x v="1"/>
    <n v="0.48205439300000003"/>
  </r>
  <r>
    <x v="0"/>
    <x v="4"/>
    <x v="4"/>
    <x v="24"/>
    <x v="1"/>
    <x v="0"/>
    <n v="353.694949823"/>
  </r>
  <r>
    <x v="0"/>
    <x v="4"/>
    <x v="5"/>
    <x v="24"/>
    <x v="1"/>
    <x v="1"/>
    <n v="1.6973800000000001E-4"/>
  </r>
  <r>
    <x v="0"/>
    <x v="4"/>
    <x v="6"/>
    <x v="24"/>
    <x v="1"/>
    <x v="1"/>
    <n v="0.48205439300000003"/>
  </r>
  <r>
    <x v="0"/>
    <x v="4"/>
    <x v="4"/>
    <x v="25"/>
    <x v="1"/>
    <x v="0"/>
    <n v="20.881676511999999"/>
  </r>
  <r>
    <x v="0"/>
    <x v="4"/>
    <x v="5"/>
    <x v="25"/>
    <x v="1"/>
    <x v="1"/>
    <n v="1.6126700000000001E-4"/>
  </r>
  <r>
    <x v="0"/>
    <x v="4"/>
    <x v="6"/>
    <x v="25"/>
    <x v="1"/>
    <x v="1"/>
    <n v="0.48205439300000003"/>
  </r>
  <r>
    <x v="0"/>
    <x v="4"/>
    <x v="4"/>
    <x v="26"/>
    <x v="1"/>
    <x v="0"/>
    <n v="14.956057872000001"/>
  </r>
  <r>
    <x v="0"/>
    <x v="4"/>
    <x v="5"/>
    <x v="26"/>
    <x v="1"/>
    <x v="1"/>
    <n v="1.4650500000000001E-4"/>
  </r>
  <r>
    <x v="0"/>
    <x v="4"/>
    <x v="6"/>
    <x v="26"/>
    <x v="1"/>
    <x v="1"/>
    <n v="0.48205439300000003"/>
  </r>
  <r>
    <x v="0"/>
    <x v="4"/>
    <x v="4"/>
    <x v="27"/>
    <x v="1"/>
    <x v="0"/>
    <n v="360.94639959800003"/>
  </r>
  <r>
    <x v="0"/>
    <x v="4"/>
    <x v="5"/>
    <x v="27"/>
    <x v="1"/>
    <x v="1"/>
    <n v="6.9122000000000007E-5"/>
  </r>
  <r>
    <x v="0"/>
    <x v="4"/>
    <x v="6"/>
    <x v="27"/>
    <x v="1"/>
    <x v="1"/>
    <n v="0.48205439300000003"/>
  </r>
  <r>
    <x v="0"/>
    <x v="4"/>
    <x v="4"/>
    <x v="28"/>
    <x v="1"/>
    <x v="0"/>
    <n v="1011.839441351"/>
  </r>
  <r>
    <x v="0"/>
    <x v="4"/>
    <x v="5"/>
    <x v="28"/>
    <x v="1"/>
    <x v="1"/>
    <n v="2.0251700000000001E-4"/>
  </r>
  <r>
    <x v="0"/>
    <x v="4"/>
    <x v="6"/>
    <x v="28"/>
    <x v="1"/>
    <x v="1"/>
    <n v="0.48205439300000003"/>
  </r>
  <r>
    <x v="0"/>
    <x v="4"/>
    <x v="4"/>
    <x v="29"/>
    <x v="1"/>
    <x v="0"/>
    <n v="596.37726417900001"/>
  </r>
  <r>
    <x v="0"/>
    <x v="4"/>
    <x v="5"/>
    <x v="29"/>
    <x v="1"/>
    <x v="1"/>
    <n v="1.94942E-4"/>
  </r>
  <r>
    <x v="0"/>
    <x v="4"/>
    <x v="6"/>
    <x v="29"/>
    <x v="1"/>
    <x v="1"/>
    <n v="0.48205439300000003"/>
  </r>
  <r>
    <x v="0"/>
    <x v="4"/>
    <x v="4"/>
    <x v="30"/>
    <x v="1"/>
    <x v="0"/>
    <n v="105.022389107"/>
  </r>
  <r>
    <x v="0"/>
    <x v="4"/>
    <x v="5"/>
    <x v="30"/>
    <x v="1"/>
    <x v="1"/>
    <n v="1.15994E-4"/>
  </r>
  <r>
    <x v="0"/>
    <x v="4"/>
    <x v="6"/>
    <x v="30"/>
    <x v="1"/>
    <x v="1"/>
    <n v="0.48205439300000003"/>
  </r>
  <r>
    <x v="0"/>
    <x v="4"/>
    <x v="4"/>
    <x v="31"/>
    <x v="1"/>
    <x v="0"/>
    <n v="380.05017543399998"/>
  </r>
  <r>
    <x v="0"/>
    <x v="4"/>
    <x v="5"/>
    <x v="31"/>
    <x v="1"/>
    <x v="1"/>
    <n v="1.54795E-4"/>
  </r>
  <r>
    <x v="0"/>
    <x v="4"/>
    <x v="6"/>
    <x v="31"/>
    <x v="1"/>
    <x v="1"/>
    <n v="0.48205439300000003"/>
  </r>
  <r>
    <x v="0"/>
    <x v="4"/>
    <x v="4"/>
    <x v="32"/>
    <x v="1"/>
    <x v="0"/>
    <n v="1192.4279611090001"/>
  </r>
  <r>
    <x v="0"/>
    <x v="4"/>
    <x v="5"/>
    <x v="32"/>
    <x v="1"/>
    <x v="1"/>
    <n v="2.7046600000000002E-4"/>
  </r>
  <r>
    <x v="0"/>
    <x v="4"/>
    <x v="6"/>
    <x v="32"/>
    <x v="1"/>
    <x v="1"/>
    <n v="0.48205439300000003"/>
  </r>
  <r>
    <x v="0"/>
    <x v="4"/>
    <x v="4"/>
    <x v="33"/>
    <x v="1"/>
    <x v="0"/>
    <n v="1391.9293806359999"/>
  </r>
  <r>
    <x v="0"/>
    <x v="4"/>
    <x v="5"/>
    <x v="33"/>
    <x v="1"/>
    <x v="1"/>
    <n v="3.4873199999999998E-4"/>
  </r>
  <r>
    <x v="0"/>
    <x v="4"/>
    <x v="6"/>
    <x v="33"/>
    <x v="1"/>
    <x v="1"/>
    <n v="0.48205439300000003"/>
  </r>
  <r>
    <x v="0"/>
    <x v="4"/>
    <x v="4"/>
    <x v="34"/>
    <x v="1"/>
    <x v="0"/>
    <n v="260.30589131300002"/>
  </r>
  <r>
    <x v="0"/>
    <x v="4"/>
    <x v="5"/>
    <x v="34"/>
    <x v="1"/>
    <x v="1"/>
    <n v="2.4331400000000001E-4"/>
  </r>
  <r>
    <x v="0"/>
    <x v="4"/>
    <x v="6"/>
    <x v="34"/>
    <x v="1"/>
    <x v="1"/>
    <n v="0.48205439300000003"/>
  </r>
  <r>
    <x v="0"/>
    <x v="4"/>
    <x v="4"/>
    <x v="35"/>
    <x v="1"/>
    <x v="0"/>
    <n v="198.31900067000001"/>
  </r>
  <r>
    <x v="0"/>
    <x v="4"/>
    <x v="5"/>
    <x v="35"/>
    <x v="1"/>
    <x v="1"/>
    <n v="2.1538899999999999E-4"/>
  </r>
  <r>
    <x v="0"/>
    <x v="4"/>
    <x v="6"/>
    <x v="35"/>
    <x v="1"/>
    <x v="1"/>
    <n v="0.48205439300000003"/>
  </r>
  <r>
    <x v="0"/>
    <x v="4"/>
    <x v="4"/>
    <x v="36"/>
    <x v="1"/>
    <x v="0"/>
    <n v="60.446163734000002"/>
  </r>
  <r>
    <x v="0"/>
    <x v="4"/>
    <x v="5"/>
    <x v="36"/>
    <x v="1"/>
    <x v="1"/>
    <n v="2.7466900000000001E-4"/>
  </r>
  <r>
    <x v="0"/>
    <x v="4"/>
    <x v="6"/>
    <x v="36"/>
    <x v="1"/>
    <x v="1"/>
    <n v="0.48205439300000003"/>
  </r>
  <r>
    <x v="0"/>
    <x v="4"/>
    <x v="4"/>
    <x v="37"/>
    <x v="1"/>
    <x v="0"/>
    <n v="93.506671475000005"/>
  </r>
  <r>
    <x v="0"/>
    <x v="4"/>
    <x v="5"/>
    <x v="37"/>
    <x v="1"/>
    <x v="1"/>
    <n v="1.3553799999999999E-4"/>
  </r>
  <r>
    <x v="0"/>
    <x v="4"/>
    <x v="6"/>
    <x v="37"/>
    <x v="1"/>
    <x v="1"/>
    <n v="0.48205439300000003"/>
  </r>
  <r>
    <x v="0"/>
    <x v="4"/>
    <x v="4"/>
    <x v="38"/>
    <x v="1"/>
    <x v="0"/>
    <n v="128.580935971"/>
  </r>
  <r>
    <x v="0"/>
    <x v="4"/>
    <x v="5"/>
    <x v="38"/>
    <x v="1"/>
    <x v="1"/>
    <n v="2.5935999999999998E-4"/>
  </r>
  <r>
    <x v="0"/>
    <x v="4"/>
    <x v="6"/>
    <x v="38"/>
    <x v="1"/>
    <x v="1"/>
    <n v="0.48205439300000003"/>
  </r>
  <r>
    <x v="0"/>
    <x v="4"/>
    <x v="4"/>
    <x v="39"/>
    <x v="1"/>
    <x v="0"/>
    <n v="61.303334053999997"/>
  </r>
  <r>
    <x v="0"/>
    <x v="4"/>
    <x v="5"/>
    <x v="39"/>
    <x v="1"/>
    <x v="1"/>
    <n v="1.05153E-4"/>
  </r>
  <r>
    <x v="0"/>
    <x v="4"/>
    <x v="6"/>
    <x v="39"/>
    <x v="1"/>
    <x v="1"/>
    <n v="0.48205439300000003"/>
  </r>
  <r>
    <x v="0"/>
    <x v="4"/>
    <x v="4"/>
    <x v="40"/>
    <x v="1"/>
    <x v="0"/>
    <n v="67.425171019000004"/>
  </r>
  <r>
    <x v="0"/>
    <x v="4"/>
    <x v="5"/>
    <x v="40"/>
    <x v="1"/>
    <x v="1"/>
    <n v="1.6391800000000001E-4"/>
  </r>
  <r>
    <x v="0"/>
    <x v="4"/>
    <x v="6"/>
    <x v="40"/>
    <x v="1"/>
    <x v="1"/>
    <n v="0.48205439300000003"/>
  </r>
  <r>
    <x v="0"/>
    <x v="4"/>
    <x v="4"/>
    <x v="41"/>
    <x v="1"/>
    <x v="0"/>
    <n v="185.98230814600001"/>
  </r>
  <r>
    <x v="0"/>
    <x v="4"/>
    <x v="5"/>
    <x v="41"/>
    <x v="1"/>
    <x v="1"/>
    <n v="5.1086700000000003E-4"/>
  </r>
  <r>
    <x v="0"/>
    <x v="4"/>
    <x v="6"/>
    <x v="41"/>
    <x v="1"/>
    <x v="1"/>
    <n v="0.48205439300000003"/>
  </r>
  <r>
    <x v="0"/>
    <x v="4"/>
    <x v="7"/>
    <x v="0"/>
    <x v="2"/>
    <x v="2"/>
    <n v="394.80518608300002"/>
  </r>
  <r>
    <x v="0"/>
    <x v="4"/>
    <x v="7"/>
    <x v="1"/>
    <x v="2"/>
    <x v="2"/>
    <n v="47.732531538000003"/>
  </r>
  <r>
    <x v="0"/>
    <x v="4"/>
    <x v="7"/>
    <x v="2"/>
    <x v="2"/>
    <x v="2"/>
    <n v="20.397926064"/>
  </r>
  <r>
    <x v="0"/>
    <x v="4"/>
    <x v="7"/>
    <x v="3"/>
    <x v="2"/>
    <x v="2"/>
    <n v="16.740579356000001"/>
  </r>
  <r>
    <x v="0"/>
    <x v="4"/>
    <x v="7"/>
    <x v="4"/>
    <x v="2"/>
    <x v="2"/>
    <n v="9.572597386"/>
  </r>
  <r>
    <x v="0"/>
    <x v="4"/>
    <x v="7"/>
    <x v="5"/>
    <x v="2"/>
    <x v="2"/>
    <n v="33.377834546000003"/>
  </r>
  <r>
    <x v="0"/>
    <x v="4"/>
    <x v="7"/>
    <x v="6"/>
    <x v="2"/>
    <x v="2"/>
    <n v="13.633535167"/>
  </r>
  <r>
    <x v="0"/>
    <x v="4"/>
    <x v="7"/>
    <x v="7"/>
    <x v="2"/>
    <x v="2"/>
    <n v="12.743306145"/>
  </r>
  <r>
    <x v="0"/>
    <x v="4"/>
    <x v="7"/>
    <x v="8"/>
    <x v="2"/>
    <x v="2"/>
    <n v="7.4569706980000001"/>
  </r>
  <r>
    <x v="0"/>
    <x v="4"/>
    <x v="7"/>
    <x v="9"/>
    <x v="2"/>
    <x v="2"/>
    <n v="20.469357743"/>
  </r>
  <r>
    <x v="0"/>
    <x v="4"/>
    <x v="7"/>
    <x v="10"/>
    <x v="2"/>
    <x v="2"/>
    <n v="9.6686608780000007"/>
  </r>
  <r>
    <x v="0"/>
    <x v="4"/>
    <x v="7"/>
    <x v="11"/>
    <x v="2"/>
    <x v="2"/>
    <n v="43.316225858000003"/>
  </r>
  <r>
    <x v="0"/>
    <x v="4"/>
    <x v="7"/>
    <x v="12"/>
    <x v="2"/>
    <x v="2"/>
    <n v="20.781052159000001"/>
  </r>
  <r>
    <x v="0"/>
    <x v="4"/>
    <x v="7"/>
    <x v="13"/>
    <x v="2"/>
    <x v="2"/>
    <n v="28.934825517"/>
  </r>
  <r>
    <x v="0"/>
    <x v="4"/>
    <x v="7"/>
    <x v="14"/>
    <x v="2"/>
    <x v="2"/>
    <n v="13.641090111"/>
  </r>
  <r>
    <x v="0"/>
    <x v="4"/>
    <x v="7"/>
    <x v="15"/>
    <x v="2"/>
    <x v="2"/>
    <n v="17.316361453999999"/>
  </r>
  <r>
    <x v="0"/>
    <x v="4"/>
    <x v="7"/>
    <x v="16"/>
    <x v="2"/>
    <x v="2"/>
    <n v="11.54064533"/>
  </r>
  <r>
    <x v="0"/>
    <x v="4"/>
    <x v="7"/>
    <x v="17"/>
    <x v="2"/>
    <x v="2"/>
    <n v="23.262705958000002"/>
  </r>
  <r>
    <x v="0"/>
    <x v="4"/>
    <x v="7"/>
    <x v="18"/>
    <x v="2"/>
    <x v="2"/>
    <n v="14.48635112"/>
  </r>
  <r>
    <x v="0"/>
    <x v="4"/>
    <x v="7"/>
    <x v="19"/>
    <x v="2"/>
    <x v="2"/>
    <n v="24.449073469999998"/>
  </r>
  <r>
    <x v="0"/>
    <x v="4"/>
    <x v="7"/>
    <x v="20"/>
    <x v="2"/>
    <x v="2"/>
    <n v="3.214656663"/>
  </r>
  <r>
    <x v="0"/>
    <x v="4"/>
    <x v="7"/>
    <x v="21"/>
    <x v="2"/>
    <x v="2"/>
    <n v="1.4649594370000001"/>
  </r>
  <r>
    <x v="0"/>
    <x v="4"/>
    <x v="7"/>
    <x v="22"/>
    <x v="2"/>
    <x v="2"/>
    <n v="1.0970337080000001"/>
  </r>
  <r>
    <x v="0"/>
    <x v="4"/>
    <x v="7"/>
    <x v="23"/>
    <x v="2"/>
    <x v="2"/>
    <n v="0.95472571699999997"/>
  </r>
  <r>
    <x v="0"/>
    <x v="4"/>
    <x v="7"/>
    <x v="24"/>
    <x v="2"/>
    <x v="2"/>
    <n v="20.928070515999998"/>
  </r>
  <r>
    <x v="0"/>
    <x v="4"/>
    <x v="7"/>
    <x v="25"/>
    <x v="2"/>
    <x v="2"/>
    <n v="1.088942758"/>
  </r>
  <r>
    <x v="0"/>
    <x v="4"/>
    <x v="7"/>
    <x v="26"/>
    <x v="2"/>
    <x v="2"/>
    <n v="2.083552584"/>
  </r>
  <r>
    <x v="0"/>
    <x v="4"/>
    <x v="7"/>
    <x v="27"/>
    <x v="2"/>
    <x v="2"/>
    <n v="79.603472851000006"/>
  </r>
  <r>
    <x v="0"/>
    <x v="4"/>
    <x v="7"/>
    <x v="28"/>
    <x v="2"/>
    <x v="2"/>
    <n v="94.725870568000005"/>
  </r>
  <r>
    <x v="0"/>
    <x v="4"/>
    <x v="7"/>
    <x v="29"/>
    <x v="2"/>
    <x v="2"/>
    <n v="69.143569989"/>
  </r>
  <r>
    <x v="0"/>
    <x v="4"/>
    <x v="7"/>
    <x v="30"/>
    <x v="2"/>
    <x v="2"/>
    <n v="30.062520201000002"/>
  </r>
  <r>
    <x v="0"/>
    <x v="4"/>
    <x v="7"/>
    <x v="31"/>
    <x v="2"/>
    <x v="2"/>
    <n v="20.255082351999999"/>
  </r>
  <r>
    <x v="0"/>
    <x v="4"/>
    <x v="7"/>
    <x v="32"/>
    <x v="2"/>
    <x v="2"/>
    <n v="82.737380923000003"/>
  </r>
  <r>
    <x v="0"/>
    <x v="4"/>
    <x v="7"/>
    <x v="33"/>
    <x v="2"/>
    <x v="2"/>
    <n v="33.473049875000001"/>
  </r>
  <r>
    <x v="0"/>
    <x v="4"/>
    <x v="7"/>
    <x v="34"/>
    <x v="2"/>
    <x v="2"/>
    <n v="39.136037901999998"/>
  </r>
  <r>
    <x v="0"/>
    <x v="4"/>
    <x v="7"/>
    <x v="35"/>
    <x v="2"/>
    <x v="2"/>
    <n v="32.850236066000001"/>
  </r>
  <r>
    <x v="0"/>
    <x v="4"/>
    <x v="7"/>
    <x v="36"/>
    <x v="2"/>
    <x v="2"/>
    <n v="11.36314986"/>
  </r>
  <r>
    <x v="0"/>
    <x v="4"/>
    <x v="7"/>
    <x v="37"/>
    <x v="2"/>
    <x v="2"/>
    <n v="28.266956864000001"/>
  </r>
  <r>
    <x v="0"/>
    <x v="4"/>
    <x v="7"/>
    <x v="38"/>
    <x v="2"/>
    <x v="2"/>
    <n v="101.733542004"/>
  </r>
  <r>
    <x v="0"/>
    <x v="4"/>
    <x v="7"/>
    <x v="39"/>
    <x v="2"/>
    <x v="2"/>
    <n v="33.485335194000001"/>
  </r>
  <r>
    <x v="0"/>
    <x v="4"/>
    <x v="7"/>
    <x v="40"/>
    <x v="2"/>
    <x v="2"/>
    <n v="10.94368937"/>
  </r>
  <r>
    <x v="0"/>
    <x v="4"/>
    <x v="7"/>
    <x v="41"/>
    <x v="2"/>
    <x v="2"/>
    <n v="186.27680156900001"/>
  </r>
  <r>
    <x v="0"/>
    <x v="4"/>
    <x v="8"/>
    <x v="0"/>
    <x v="2"/>
    <x v="3"/>
    <n v="6.4281587000000001E-2"/>
  </r>
  <r>
    <x v="0"/>
    <x v="4"/>
    <x v="8"/>
    <x v="1"/>
    <x v="2"/>
    <x v="3"/>
    <n v="6.4281587000000001E-2"/>
  </r>
  <r>
    <x v="0"/>
    <x v="4"/>
    <x v="8"/>
    <x v="2"/>
    <x v="2"/>
    <x v="3"/>
    <n v="6.4281587000000001E-2"/>
  </r>
  <r>
    <x v="0"/>
    <x v="4"/>
    <x v="8"/>
    <x v="3"/>
    <x v="2"/>
    <x v="3"/>
    <n v="6.4281587000000001E-2"/>
  </r>
  <r>
    <x v="0"/>
    <x v="4"/>
    <x v="8"/>
    <x v="4"/>
    <x v="2"/>
    <x v="3"/>
    <n v="6.4281587000000001E-2"/>
  </r>
  <r>
    <x v="0"/>
    <x v="4"/>
    <x v="8"/>
    <x v="5"/>
    <x v="2"/>
    <x v="3"/>
    <n v="6.4281587000000001E-2"/>
  </r>
  <r>
    <x v="0"/>
    <x v="4"/>
    <x v="8"/>
    <x v="6"/>
    <x v="2"/>
    <x v="3"/>
    <n v="6.4281587000000001E-2"/>
  </r>
  <r>
    <x v="0"/>
    <x v="4"/>
    <x v="8"/>
    <x v="7"/>
    <x v="2"/>
    <x v="3"/>
    <n v="6.4281587000000001E-2"/>
  </r>
  <r>
    <x v="0"/>
    <x v="4"/>
    <x v="8"/>
    <x v="8"/>
    <x v="2"/>
    <x v="3"/>
    <n v="6.4281587000000001E-2"/>
  </r>
  <r>
    <x v="0"/>
    <x v="4"/>
    <x v="8"/>
    <x v="9"/>
    <x v="2"/>
    <x v="3"/>
    <n v="6.4281587000000001E-2"/>
  </r>
  <r>
    <x v="0"/>
    <x v="4"/>
    <x v="8"/>
    <x v="10"/>
    <x v="2"/>
    <x v="3"/>
    <n v="6.4281587000000001E-2"/>
  </r>
  <r>
    <x v="0"/>
    <x v="4"/>
    <x v="8"/>
    <x v="11"/>
    <x v="2"/>
    <x v="3"/>
    <n v="6.4281587000000001E-2"/>
  </r>
  <r>
    <x v="0"/>
    <x v="4"/>
    <x v="8"/>
    <x v="12"/>
    <x v="2"/>
    <x v="3"/>
    <n v="6.4281587000000001E-2"/>
  </r>
  <r>
    <x v="0"/>
    <x v="4"/>
    <x v="8"/>
    <x v="13"/>
    <x v="2"/>
    <x v="3"/>
    <n v="6.4281587000000001E-2"/>
  </r>
  <r>
    <x v="0"/>
    <x v="4"/>
    <x v="8"/>
    <x v="14"/>
    <x v="2"/>
    <x v="3"/>
    <n v="6.4281587000000001E-2"/>
  </r>
  <r>
    <x v="0"/>
    <x v="4"/>
    <x v="8"/>
    <x v="15"/>
    <x v="2"/>
    <x v="3"/>
    <n v="6.4281587000000001E-2"/>
  </r>
  <r>
    <x v="0"/>
    <x v="4"/>
    <x v="8"/>
    <x v="16"/>
    <x v="2"/>
    <x v="3"/>
    <n v="6.4281587000000001E-2"/>
  </r>
  <r>
    <x v="0"/>
    <x v="4"/>
    <x v="8"/>
    <x v="17"/>
    <x v="2"/>
    <x v="3"/>
    <n v="6.4281587000000001E-2"/>
  </r>
  <r>
    <x v="0"/>
    <x v="4"/>
    <x v="8"/>
    <x v="18"/>
    <x v="2"/>
    <x v="3"/>
    <n v="6.4281587000000001E-2"/>
  </r>
  <r>
    <x v="0"/>
    <x v="4"/>
    <x v="8"/>
    <x v="19"/>
    <x v="2"/>
    <x v="3"/>
    <n v="6.4281587000000001E-2"/>
  </r>
  <r>
    <x v="0"/>
    <x v="4"/>
    <x v="8"/>
    <x v="20"/>
    <x v="2"/>
    <x v="3"/>
    <n v="6.4281587000000001E-2"/>
  </r>
  <r>
    <x v="0"/>
    <x v="4"/>
    <x v="8"/>
    <x v="21"/>
    <x v="2"/>
    <x v="3"/>
    <n v="6.4281587000000001E-2"/>
  </r>
  <r>
    <x v="0"/>
    <x v="4"/>
    <x v="8"/>
    <x v="22"/>
    <x v="2"/>
    <x v="3"/>
    <n v="6.4281587000000001E-2"/>
  </r>
  <r>
    <x v="0"/>
    <x v="4"/>
    <x v="8"/>
    <x v="23"/>
    <x v="2"/>
    <x v="3"/>
    <n v="6.4281587000000001E-2"/>
  </r>
  <r>
    <x v="0"/>
    <x v="4"/>
    <x v="8"/>
    <x v="24"/>
    <x v="2"/>
    <x v="3"/>
    <n v="6.4281587000000001E-2"/>
  </r>
  <r>
    <x v="0"/>
    <x v="4"/>
    <x v="8"/>
    <x v="25"/>
    <x v="2"/>
    <x v="3"/>
    <n v="6.4281587000000001E-2"/>
  </r>
  <r>
    <x v="0"/>
    <x v="4"/>
    <x v="8"/>
    <x v="26"/>
    <x v="2"/>
    <x v="3"/>
    <n v="6.4281587000000001E-2"/>
  </r>
  <r>
    <x v="0"/>
    <x v="4"/>
    <x v="8"/>
    <x v="27"/>
    <x v="2"/>
    <x v="3"/>
    <n v="6.4281587000000001E-2"/>
  </r>
  <r>
    <x v="0"/>
    <x v="4"/>
    <x v="8"/>
    <x v="28"/>
    <x v="2"/>
    <x v="3"/>
    <n v="6.4281587000000001E-2"/>
  </r>
  <r>
    <x v="0"/>
    <x v="4"/>
    <x v="8"/>
    <x v="29"/>
    <x v="2"/>
    <x v="3"/>
    <n v="6.4281587000000001E-2"/>
  </r>
  <r>
    <x v="0"/>
    <x v="4"/>
    <x v="8"/>
    <x v="30"/>
    <x v="2"/>
    <x v="3"/>
    <n v="6.4281587000000001E-2"/>
  </r>
  <r>
    <x v="0"/>
    <x v="4"/>
    <x v="8"/>
    <x v="31"/>
    <x v="2"/>
    <x v="3"/>
    <n v="6.4281587000000001E-2"/>
  </r>
  <r>
    <x v="0"/>
    <x v="4"/>
    <x v="8"/>
    <x v="32"/>
    <x v="2"/>
    <x v="3"/>
    <n v="6.4281587000000001E-2"/>
  </r>
  <r>
    <x v="0"/>
    <x v="4"/>
    <x v="8"/>
    <x v="33"/>
    <x v="2"/>
    <x v="3"/>
    <n v="6.4281587000000001E-2"/>
  </r>
  <r>
    <x v="0"/>
    <x v="4"/>
    <x v="8"/>
    <x v="34"/>
    <x v="2"/>
    <x v="3"/>
    <n v="6.4281587000000001E-2"/>
  </r>
  <r>
    <x v="0"/>
    <x v="4"/>
    <x v="8"/>
    <x v="35"/>
    <x v="2"/>
    <x v="3"/>
    <n v="6.4281587000000001E-2"/>
  </r>
  <r>
    <x v="0"/>
    <x v="4"/>
    <x v="8"/>
    <x v="36"/>
    <x v="2"/>
    <x v="3"/>
    <n v="6.4281587000000001E-2"/>
  </r>
  <r>
    <x v="0"/>
    <x v="4"/>
    <x v="8"/>
    <x v="37"/>
    <x v="2"/>
    <x v="3"/>
    <n v="6.4281587000000001E-2"/>
  </r>
  <r>
    <x v="0"/>
    <x v="4"/>
    <x v="8"/>
    <x v="38"/>
    <x v="2"/>
    <x v="3"/>
    <n v="6.4281587000000001E-2"/>
  </r>
  <r>
    <x v="0"/>
    <x v="4"/>
    <x v="8"/>
    <x v="39"/>
    <x v="2"/>
    <x v="3"/>
    <n v="6.4281587000000001E-2"/>
  </r>
  <r>
    <x v="0"/>
    <x v="4"/>
    <x v="8"/>
    <x v="40"/>
    <x v="2"/>
    <x v="3"/>
    <n v="6.4281587000000001E-2"/>
  </r>
  <r>
    <x v="0"/>
    <x v="4"/>
    <x v="8"/>
    <x v="41"/>
    <x v="2"/>
    <x v="3"/>
    <n v="6.4281587000000001E-2"/>
  </r>
  <r>
    <x v="0"/>
    <x v="4"/>
    <x v="7"/>
    <x v="0"/>
    <x v="3"/>
    <x v="2"/>
    <n v="396.86795675000002"/>
  </r>
  <r>
    <x v="0"/>
    <x v="4"/>
    <x v="7"/>
    <x v="1"/>
    <x v="3"/>
    <x v="2"/>
    <n v="45.954041355999998"/>
  </r>
  <r>
    <x v="0"/>
    <x v="4"/>
    <x v="7"/>
    <x v="2"/>
    <x v="3"/>
    <x v="2"/>
    <n v="18.513358920999998"/>
  </r>
  <r>
    <x v="0"/>
    <x v="4"/>
    <x v="7"/>
    <x v="3"/>
    <x v="3"/>
    <x v="2"/>
    <n v="15.813930129999999"/>
  </r>
  <r>
    <x v="0"/>
    <x v="4"/>
    <x v="7"/>
    <x v="4"/>
    <x v="3"/>
    <x v="2"/>
    <n v="9.1363934770000004"/>
  </r>
  <r>
    <x v="0"/>
    <x v="4"/>
    <x v="7"/>
    <x v="5"/>
    <x v="3"/>
    <x v="2"/>
    <n v="31.077022172"/>
  </r>
  <r>
    <x v="0"/>
    <x v="4"/>
    <x v="7"/>
    <x v="6"/>
    <x v="3"/>
    <x v="2"/>
    <n v="12.936709191"/>
  </r>
  <r>
    <x v="0"/>
    <x v="4"/>
    <x v="7"/>
    <x v="7"/>
    <x v="3"/>
    <x v="2"/>
    <n v="12.230225246"/>
  </r>
  <r>
    <x v="0"/>
    <x v="4"/>
    <x v="7"/>
    <x v="8"/>
    <x v="3"/>
    <x v="2"/>
    <n v="7.0556267369999999"/>
  </r>
  <r>
    <x v="0"/>
    <x v="4"/>
    <x v="7"/>
    <x v="9"/>
    <x v="3"/>
    <x v="2"/>
    <n v="19.470039757999999"/>
  </r>
  <r>
    <x v="0"/>
    <x v="4"/>
    <x v="7"/>
    <x v="10"/>
    <x v="3"/>
    <x v="2"/>
    <n v="9.0044506759999994"/>
  </r>
  <r>
    <x v="0"/>
    <x v="4"/>
    <x v="7"/>
    <x v="11"/>
    <x v="3"/>
    <x v="2"/>
    <n v="40.097005969000001"/>
  </r>
  <r>
    <x v="0"/>
    <x v="4"/>
    <x v="7"/>
    <x v="12"/>
    <x v="3"/>
    <x v="2"/>
    <n v="19.555659370000001"/>
  </r>
  <r>
    <x v="0"/>
    <x v="4"/>
    <x v="7"/>
    <x v="13"/>
    <x v="3"/>
    <x v="2"/>
    <n v="26.549535005999999"/>
  </r>
  <r>
    <x v="0"/>
    <x v="4"/>
    <x v="7"/>
    <x v="14"/>
    <x v="3"/>
    <x v="2"/>
    <n v="12.890743176000001"/>
  </r>
  <r>
    <x v="0"/>
    <x v="4"/>
    <x v="7"/>
    <x v="15"/>
    <x v="3"/>
    <x v="2"/>
    <n v="16.455422633000001"/>
  </r>
  <r>
    <x v="0"/>
    <x v="4"/>
    <x v="7"/>
    <x v="16"/>
    <x v="3"/>
    <x v="2"/>
    <n v="10.956257243"/>
  </r>
  <r>
    <x v="0"/>
    <x v="4"/>
    <x v="7"/>
    <x v="17"/>
    <x v="3"/>
    <x v="2"/>
    <n v="22.039680552"/>
  </r>
  <r>
    <x v="0"/>
    <x v="4"/>
    <x v="7"/>
    <x v="18"/>
    <x v="3"/>
    <x v="2"/>
    <n v="13.558150397"/>
  </r>
  <r>
    <x v="0"/>
    <x v="4"/>
    <x v="7"/>
    <x v="19"/>
    <x v="3"/>
    <x v="2"/>
    <n v="23.355656720999999"/>
  </r>
  <r>
    <x v="0"/>
    <x v="4"/>
    <x v="7"/>
    <x v="20"/>
    <x v="3"/>
    <x v="2"/>
    <n v="3.0339061919999999"/>
  </r>
  <r>
    <x v="0"/>
    <x v="4"/>
    <x v="7"/>
    <x v="21"/>
    <x v="3"/>
    <x v="2"/>
    <n v="1.3955192359999999"/>
  </r>
  <r>
    <x v="0"/>
    <x v="4"/>
    <x v="7"/>
    <x v="22"/>
    <x v="3"/>
    <x v="2"/>
    <n v="0.89396178400000004"/>
  </r>
  <r>
    <x v="0"/>
    <x v="4"/>
    <x v="7"/>
    <x v="23"/>
    <x v="3"/>
    <x v="2"/>
    <n v="0.93942696299999995"/>
  </r>
  <r>
    <x v="0"/>
    <x v="4"/>
    <x v="7"/>
    <x v="24"/>
    <x v="3"/>
    <x v="2"/>
    <n v="19.097693026999998"/>
  </r>
  <r>
    <x v="0"/>
    <x v="4"/>
    <x v="7"/>
    <x v="25"/>
    <x v="3"/>
    <x v="2"/>
    <n v="0.98790844499999997"/>
  </r>
  <r>
    <x v="0"/>
    <x v="4"/>
    <x v="7"/>
    <x v="26"/>
    <x v="3"/>
    <x v="2"/>
    <n v="1.979494358"/>
  </r>
  <r>
    <x v="0"/>
    <x v="4"/>
    <x v="7"/>
    <x v="27"/>
    <x v="3"/>
    <x v="2"/>
    <n v="77.322882027999995"/>
  </r>
  <r>
    <x v="0"/>
    <x v="4"/>
    <x v="7"/>
    <x v="28"/>
    <x v="3"/>
    <x v="2"/>
    <n v="88.205109430999997"/>
  </r>
  <r>
    <x v="0"/>
    <x v="4"/>
    <x v="7"/>
    <x v="29"/>
    <x v="3"/>
    <x v="2"/>
    <n v="65.020557042999997"/>
  </r>
  <r>
    <x v="0"/>
    <x v="4"/>
    <x v="7"/>
    <x v="30"/>
    <x v="3"/>
    <x v="2"/>
    <n v="29.315398398999999"/>
  </r>
  <r>
    <x v="0"/>
    <x v="4"/>
    <x v="7"/>
    <x v="31"/>
    <x v="3"/>
    <x v="2"/>
    <n v="18.404076942"/>
  </r>
  <r>
    <x v="0"/>
    <x v="4"/>
    <x v="7"/>
    <x v="32"/>
    <x v="3"/>
    <x v="2"/>
    <n v="75.748169837999995"/>
  </r>
  <r>
    <x v="0"/>
    <x v="4"/>
    <x v="7"/>
    <x v="33"/>
    <x v="3"/>
    <x v="2"/>
    <n v="29.010112437"/>
  </r>
  <r>
    <x v="0"/>
    <x v="4"/>
    <x v="7"/>
    <x v="34"/>
    <x v="3"/>
    <x v="2"/>
    <n v="37.125593846000001"/>
  </r>
  <r>
    <x v="0"/>
    <x v="4"/>
    <x v="7"/>
    <x v="35"/>
    <x v="3"/>
    <x v="2"/>
    <n v="31.313768054000001"/>
  </r>
  <r>
    <x v="0"/>
    <x v="4"/>
    <x v="7"/>
    <x v="36"/>
    <x v="3"/>
    <x v="2"/>
    <n v="10.86122709"/>
  </r>
  <r>
    <x v="0"/>
    <x v="4"/>
    <x v="7"/>
    <x v="37"/>
    <x v="3"/>
    <x v="2"/>
    <n v="27.577654525"/>
  </r>
  <r>
    <x v="0"/>
    <x v="4"/>
    <x v="7"/>
    <x v="38"/>
    <x v="3"/>
    <x v="2"/>
    <n v="100.970816486"/>
  </r>
  <r>
    <x v="0"/>
    <x v="4"/>
    <x v="7"/>
    <x v="39"/>
    <x v="3"/>
    <x v="2"/>
    <n v="33.147871451999997"/>
  </r>
  <r>
    <x v="0"/>
    <x v="4"/>
    <x v="7"/>
    <x v="40"/>
    <x v="3"/>
    <x v="2"/>
    <n v="10.448307709"/>
  </r>
  <r>
    <x v="0"/>
    <x v="4"/>
    <x v="7"/>
    <x v="41"/>
    <x v="3"/>
    <x v="2"/>
    <n v="185.10763099299999"/>
  </r>
  <r>
    <x v="0"/>
    <x v="4"/>
    <x v="8"/>
    <x v="0"/>
    <x v="3"/>
    <x v="3"/>
    <n v="6.2056070999999997E-2"/>
  </r>
  <r>
    <x v="0"/>
    <x v="4"/>
    <x v="8"/>
    <x v="1"/>
    <x v="3"/>
    <x v="3"/>
    <n v="6.2056070999999997E-2"/>
  </r>
  <r>
    <x v="0"/>
    <x v="4"/>
    <x v="8"/>
    <x v="2"/>
    <x v="3"/>
    <x v="3"/>
    <n v="6.2056070999999997E-2"/>
  </r>
  <r>
    <x v="0"/>
    <x v="4"/>
    <x v="8"/>
    <x v="3"/>
    <x v="3"/>
    <x v="3"/>
    <n v="6.2056070999999997E-2"/>
  </r>
  <r>
    <x v="0"/>
    <x v="4"/>
    <x v="8"/>
    <x v="4"/>
    <x v="3"/>
    <x v="3"/>
    <n v="6.2056070999999997E-2"/>
  </r>
  <r>
    <x v="0"/>
    <x v="4"/>
    <x v="8"/>
    <x v="5"/>
    <x v="3"/>
    <x v="3"/>
    <n v="6.2056070999999997E-2"/>
  </r>
  <r>
    <x v="0"/>
    <x v="4"/>
    <x v="8"/>
    <x v="6"/>
    <x v="3"/>
    <x v="3"/>
    <n v="6.2056070999999997E-2"/>
  </r>
  <r>
    <x v="0"/>
    <x v="4"/>
    <x v="8"/>
    <x v="7"/>
    <x v="3"/>
    <x v="3"/>
    <n v="6.2056070999999997E-2"/>
  </r>
  <r>
    <x v="0"/>
    <x v="4"/>
    <x v="8"/>
    <x v="8"/>
    <x v="3"/>
    <x v="3"/>
    <n v="6.2056070999999997E-2"/>
  </r>
  <r>
    <x v="0"/>
    <x v="4"/>
    <x v="8"/>
    <x v="9"/>
    <x v="3"/>
    <x v="3"/>
    <n v="6.2056070999999997E-2"/>
  </r>
  <r>
    <x v="0"/>
    <x v="4"/>
    <x v="8"/>
    <x v="10"/>
    <x v="3"/>
    <x v="3"/>
    <n v="6.2056070999999997E-2"/>
  </r>
  <r>
    <x v="0"/>
    <x v="4"/>
    <x v="8"/>
    <x v="11"/>
    <x v="3"/>
    <x v="3"/>
    <n v="6.2056070999999997E-2"/>
  </r>
  <r>
    <x v="0"/>
    <x v="4"/>
    <x v="8"/>
    <x v="12"/>
    <x v="3"/>
    <x v="3"/>
    <n v="6.2056070999999997E-2"/>
  </r>
  <r>
    <x v="0"/>
    <x v="4"/>
    <x v="8"/>
    <x v="13"/>
    <x v="3"/>
    <x v="3"/>
    <n v="6.2056070999999997E-2"/>
  </r>
  <r>
    <x v="0"/>
    <x v="4"/>
    <x v="8"/>
    <x v="14"/>
    <x v="3"/>
    <x v="3"/>
    <n v="6.2056070999999997E-2"/>
  </r>
  <r>
    <x v="0"/>
    <x v="4"/>
    <x v="8"/>
    <x v="15"/>
    <x v="3"/>
    <x v="3"/>
    <n v="6.2056070999999997E-2"/>
  </r>
  <r>
    <x v="0"/>
    <x v="4"/>
    <x v="8"/>
    <x v="16"/>
    <x v="3"/>
    <x v="3"/>
    <n v="6.2056070999999997E-2"/>
  </r>
  <r>
    <x v="0"/>
    <x v="4"/>
    <x v="8"/>
    <x v="17"/>
    <x v="3"/>
    <x v="3"/>
    <n v="6.2056070999999997E-2"/>
  </r>
  <r>
    <x v="0"/>
    <x v="4"/>
    <x v="8"/>
    <x v="18"/>
    <x v="3"/>
    <x v="3"/>
    <n v="6.2056070999999997E-2"/>
  </r>
  <r>
    <x v="0"/>
    <x v="4"/>
    <x v="8"/>
    <x v="19"/>
    <x v="3"/>
    <x v="3"/>
    <n v="6.2056070999999997E-2"/>
  </r>
  <r>
    <x v="0"/>
    <x v="4"/>
    <x v="8"/>
    <x v="20"/>
    <x v="3"/>
    <x v="3"/>
    <n v="6.2056070999999997E-2"/>
  </r>
  <r>
    <x v="0"/>
    <x v="4"/>
    <x v="8"/>
    <x v="21"/>
    <x v="3"/>
    <x v="3"/>
    <n v="6.2056070999999997E-2"/>
  </r>
  <r>
    <x v="0"/>
    <x v="4"/>
    <x v="8"/>
    <x v="22"/>
    <x v="3"/>
    <x v="3"/>
    <n v="6.2056070999999997E-2"/>
  </r>
  <r>
    <x v="0"/>
    <x v="4"/>
    <x v="8"/>
    <x v="23"/>
    <x v="3"/>
    <x v="3"/>
    <n v="6.2056070999999997E-2"/>
  </r>
  <r>
    <x v="0"/>
    <x v="4"/>
    <x v="8"/>
    <x v="24"/>
    <x v="3"/>
    <x v="3"/>
    <n v="6.2056070999999997E-2"/>
  </r>
  <r>
    <x v="0"/>
    <x v="4"/>
    <x v="8"/>
    <x v="25"/>
    <x v="3"/>
    <x v="3"/>
    <n v="6.2056070999999997E-2"/>
  </r>
  <r>
    <x v="0"/>
    <x v="4"/>
    <x v="8"/>
    <x v="26"/>
    <x v="3"/>
    <x v="3"/>
    <n v="6.2056070999999997E-2"/>
  </r>
  <r>
    <x v="0"/>
    <x v="4"/>
    <x v="8"/>
    <x v="27"/>
    <x v="3"/>
    <x v="3"/>
    <n v="6.2056070999999997E-2"/>
  </r>
  <r>
    <x v="0"/>
    <x v="4"/>
    <x v="8"/>
    <x v="28"/>
    <x v="3"/>
    <x v="3"/>
    <n v="6.2056070999999997E-2"/>
  </r>
  <r>
    <x v="0"/>
    <x v="4"/>
    <x v="8"/>
    <x v="29"/>
    <x v="3"/>
    <x v="3"/>
    <n v="6.2056070999999997E-2"/>
  </r>
  <r>
    <x v="0"/>
    <x v="4"/>
    <x v="8"/>
    <x v="30"/>
    <x v="3"/>
    <x v="3"/>
    <n v="6.2056070999999997E-2"/>
  </r>
  <r>
    <x v="0"/>
    <x v="4"/>
    <x v="8"/>
    <x v="31"/>
    <x v="3"/>
    <x v="3"/>
    <n v="6.2056070999999997E-2"/>
  </r>
  <r>
    <x v="0"/>
    <x v="4"/>
    <x v="8"/>
    <x v="32"/>
    <x v="3"/>
    <x v="3"/>
    <n v="6.2056070999999997E-2"/>
  </r>
  <r>
    <x v="0"/>
    <x v="4"/>
    <x v="8"/>
    <x v="33"/>
    <x v="3"/>
    <x v="3"/>
    <n v="6.2056070999999997E-2"/>
  </r>
  <r>
    <x v="0"/>
    <x v="4"/>
    <x v="8"/>
    <x v="34"/>
    <x v="3"/>
    <x v="3"/>
    <n v="6.2056070999999997E-2"/>
  </r>
  <r>
    <x v="0"/>
    <x v="4"/>
    <x v="8"/>
    <x v="35"/>
    <x v="3"/>
    <x v="3"/>
    <n v="6.2056070999999997E-2"/>
  </r>
  <r>
    <x v="0"/>
    <x v="4"/>
    <x v="8"/>
    <x v="36"/>
    <x v="3"/>
    <x v="3"/>
    <n v="6.2056070999999997E-2"/>
  </r>
  <r>
    <x v="0"/>
    <x v="4"/>
    <x v="8"/>
    <x v="37"/>
    <x v="3"/>
    <x v="3"/>
    <n v="6.2056070999999997E-2"/>
  </r>
  <r>
    <x v="0"/>
    <x v="4"/>
    <x v="8"/>
    <x v="38"/>
    <x v="3"/>
    <x v="3"/>
    <n v="6.2056070999999997E-2"/>
  </r>
  <r>
    <x v="0"/>
    <x v="4"/>
    <x v="8"/>
    <x v="39"/>
    <x v="3"/>
    <x v="3"/>
    <n v="6.2056070999999997E-2"/>
  </r>
  <r>
    <x v="0"/>
    <x v="4"/>
    <x v="8"/>
    <x v="40"/>
    <x v="3"/>
    <x v="3"/>
    <n v="6.2056070999999997E-2"/>
  </r>
  <r>
    <x v="0"/>
    <x v="4"/>
    <x v="8"/>
    <x v="41"/>
    <x v="3"/>
    <x v="3"/>
    <n v="6.2056070999999997E-2"/>
  </r>
  <r>
    <x v="0"/>
    <x v="4"/>
    <x v="9"/>
    <x v="42"/>
    <x v="4"/>
    <x v="4"/>
    <n v="72.672723289000004"/>
  </r>
  <r>
    <x v="0"/>
    <x v="4"/>
    <x v="9"/>
    <x v="42"/>
    <x v="5"/>
    <x v="4"/>
    <n v="1.0357982189999999"/>
  </r>
  <r>
    <x v="0"/>
    <x v="4"/>
    <x v="9"/>
    <x v="42"/>
    <x v="6"/>
    <x v="4"/>
    <n v="0"/>
  </r>
  <r>
    <x v="0"/>
    <x v="4"/>
    <x v="9"/>
    <x v="42"/>
    <x v="7"/>
    <x v="4"/>
    <n v="0"/>
  </r>
  <r>
    <x v="0"/>
    <x v="4"/>
    <x v="9"/>
    <x v="42"/>
    <x v="8"/>
    <x v="4"/>
    <n v="0"/>
  </r>
  <r>
    <x v="0"/>
    <x v="4"/>
    <x v="9"/>
    <x v="42"/>
    <x v="9"/>
    <x v="4"/>
    <n v="82.927916303000003"/>
  </r>
  <r>
    <x v="0"/>
    <x v="4"/>
    <x v="9"/>
    <x v="42"/>
    <x v="10"/>
    <x v="4"/>
    <n v="2.400002513"/>
  </r>
  <r>
    <x v="0"/>
    <x v="4"/>
    <x v="9"/>
    <x v="42"/>
    <x v="11"/>
    <x v="4"/>
    <n v="14.557313892"/>
  </r>
  <r>
    <x v="0"/>
    <x v="4"/>
    <x v="9"/>
    <x v="42"/>
    <x v="12"/>
    <x v="4"/>
    <n v="2.0690051220000001"/>
  </r>
  <r>
    <x v="0"/>
    <x v="4"/>
    <x v="9"/>
    <x v="42"/>
    <x v="13"/>
    <x v="4"/>
    <n v="3.3159679209999999"/>
  </r>
  <r>
    <x v="0"/>
    <x v="4"/>
    <x v="9"/>
    <x v="42"/>
    <x v="14"/>
    <x v="4"/>
    <n v="2.5950272320000001"/>
  </r>
  <r>
    <x v="0"/>
    <x v="4"/>
    <x v="9"/>
    <x v="42"/>
    <x v="15"/>
    <x v="4"/>
    <n v="11.550914917"/>
  </r>
  <r>
    <x v="0"/>
    <x v="4"/>
    <x v="9"/>
    <x v="42"/>
    <x v="16"/>
    <x v="4"/>
    <n v="1.55638524"/>
  </r>
  <r>
    <x v="0"/>
    <x v="4"/>
    <x v="9"/>
    <x v="42"/>
    <x v="17"/>
    <x v="4"/>
    <n v="0"/>
  </r>
  <r>
    <x v="0"/>
    <x v="4"/>
    <x v="9"/>
    <x v="42"/>
    <x v="18"/>
    <x v="4"/>
    <n v="0.95682255400000005"/>
  </r>
  <r>
    <x v="0"/>
    <x v="4"/>
    <x v="9"/>
    <x v="42"/>
    <x v="19"/>
    <x v="4"/>
    <n v="0.50025122300000002"/>
  </r>
  <r>
    <x v="0"/>
    <x v="4"/>
    <x v="9"/>
    <x v="42"/>
    <x v="20"/>
    <x v="4"/>
    <n v="0.12760787400000001"/>
  </r>
  <r>
    <x v="0"/>
    <x v="4"/>
    <x v="9"/>
    <x v="42"/>
    <x v="21"/>
    <x v="4"/>
    <n v="8.6198863209999992"/>
  </r>
  <r>
    <x v="0"/>
    <x v="4"/>
    <x v="9"/>
    <x v="42"/>
    <x v="22"/>
    <x v="4"/>
    <n v="9.1740565499999995"/>
  </r>
  <r>
    <x v="0"/>
    <x v="4"/>
    <x v="9"/>
    <x v="42"/>
    <x v="23"/>
    <x v="4"/>
    <n v="8.6147969700000004"/>
  </r>
  <r>
    <x v="0"/>
    <x v="4"/>
    <x v="9"/>
    <x v="42"/>
    <x v="24"/>
    <x v="4"/>
    <n v="0.61798158199999997"/>
  </r>
  <r>
    <x v="0"/>
    <x v="4"/>
    <x v="9"/>
    <x v="42"/>
    <x v="25"/>
    <x v="4"/>
    <n v="0.64321003399999999"/>
  </r>
  <r>
    <x v="0"/>
    <x v="4"/>
    <x v="9"/>
    <x v="42"/>
    <x v="26"/>
    <x v="4"/>
    <n v="0"/>
  </r>
  <r>
    <x v="0"/>
    <x v="4"/>
    <x v="9"/>
    <x v="42"/>
    <x v="27"/>
    <x v="4"/>
    <n v="0"/>
  </r>
  <r>
    <x v="0"/>
    <x v="4"/>
    <x v="9"/>
    <x v="42"/>
    <x v="28"/>
    <x v="4"/>
    <n v="8.8226713669999999"/>
  </r>
  <r>
    <x v="0"/>
    <x v="4"/>
    <x v="9"/>
    <x v="42"/>
    <x v="29"/>
    <x v="4"/>
    <n v="1.184469872"/>
  </r>
  <r>
    <x v="0"/>
    <x v="4"/>
    <x v="9"/>
    <x v="42"/>
    <x v="30"/>
    <x v="4"/>
    <n v="0.54832316400000003"/>
  </r>
  <r>
    <x v="0"/>
    <x v="4"/>
    <x v="9"/>
    <x v="42"/>
    <x v="31"/>
    <x v="4"/>
    <n v="0"/>
  </r>
  <r>
    <x v="0"/>
    <x v="4"/>
    <x v="9"/>
    <x v="42"/>
    <x v="32"/>
    <x v="4"/>
    <n v="36.769110204999997"/>
  </r>
  <r>
    <x v="0"/>
    <x v="4"/>
    <x v="9"/>
    <x v="42"/>
    <x v="33"/>
    <x v="4"/>
    <n v="12.429962010000001"/>
  </r>
  <r>
    <x v="0"/>
    <x v="4"/>
    <x v="9"/>
    <x v="42"/>
    <x v="34"/>
    <x v="4"/>
    <n v="2.08958581"/>
  </r>
  <r>
    <x v="0"/>
    <x v="4"/>
    <x v="9"/>
    <x v="42"/>
    <x v="35"/>
    <x v="4"/>
    <n v="18.193033330999999"/>
  </r>
  <r>
    <x v="0"/>
    <x v="4"/>
    <x v="9"/>
    <x v="42"/>
    <x v="36"/>
    <x v="4"/>
    <n v="23.277681745999999"/>
  </r>
  <r>
    <x v="0"/>
    <x v="4"/>
    <x v="9"/>
    <x v="42"/>
    <x v="37"/>
    <x v="4"/>
    <n v="157.82170622999999"/>
  </r>
  <r>
    <x v="0"/>
    <x v="4"/>
    <x v="9"/>
    <x v="42"/>
    <x v="38"/>
    <x v="4"/>
    <n v="0.466066494"/>
  </r>
  <r>
    <x v="0"/>
    <x v="4"/>
    <x v="9"/>
    <x v="42"/>
    <x v="39"/>
    <x v="4"/>
    <n v="0.21049881200000001"/>
  </r>
  <r>
    <x v="0"/>
    <x v="4"/>
    <x v="9"/>
    <x v="42"/>
    <x v="40"/>
    <x v="4"/>
    <n v="0.29597663099999999"/>
  </r>
  <r>
    <x v="0"/>
    <x v="4"/>
    <x v="9"/>
    <x v="42"/>
    <x v="41"/>
    <x v="4"/>
    <n v="3.3976076279999998"/>
  </r>
  <r>
    <x v="0"/>
    <x v="4"/>
    <x v="9"/>
    <x v="42"/>
    <x v="42"/>
    <x v="4"/>
    <n v="-4.362593232"/>
  </r>
  <r>
    <x v="0"/>
    <x v="4"/>
    <x v="9"/>
    <x v="42"/>
    <x v="43"/>
    <x v="4"/>
    <n v="2.4507464E-2"/>
  </r>
  <r>
    <x v="0"/>
    <x v="4"/>
    <x v="9"/>
    <x v="42"/>
    <x v="44"/>
    <x v="4"/>
    <n v="2.2497642170000001"/>
  </r>
  <r>
    <x v="0"/>
    <x v="4"/>
    <x v="9"/>
    <x v="42"/>
    <x v="45"/>
    <x v="4"/>
    <n v="-9.6246473999999999E-2"/>
  </r>
  <r>
    <x v="0"/>
    <x v="4"/>
    <x v="10"/>
    <x v="42"/>
    <x v="0"/>
    <x v="4"/>
    <n v="0.55365220400000004"/>
  </r>
  <r>
    <x v="0"/>
    <x v="4"/>
    <x v="11"/>
    <x v="42"/>
    <x v="0"/>
    <x v="4"/>
    <n v="13.637966690000001"/>
  </r>
  <r>
    <x v="0"/>
    <x v="4"/>
    <x v="9"/>
    <x v="43"/>
    <x v="4"/>
    <x v="4"/>
    <n v="130.24441777300001"/>
  </r>
  <r>
    <x v="0"/>
    <x v="4"/>
    <x v="9"/>
    <x v="43"/>
    <x v="5"/>
    <x v="4"/>
    <n v="0.66671914200000004"/>
  </r>
  <r>
    <x v="0"/>
    <x v="4"/>
    <x v="9"/>
    <x v="43"/>
    <x v="6"/>
    <x v="4"/>
    <n v="0"/>
  </r>
  <r>
    <x v="0"/>
    <x v="4"/>
    <x v="9"/>
    <x v="43"/>
    <x v="7"/>
    <x v="4"/>
    <n v="0"/>
  </r>
  <r>
    <x v="0"/>
    <x v="4"/>
    <x v="9"/>
    <x v="43"/>
    <x v="8"/>
    <x v="4"/>
    <n v="0"/>
  </r>
  <r>
    <x v="0"/>
    <x v="4"/>
    <x v="9"/>
    <x v="43"/>
    <x v="9"/>
    <x v="4"/>
    <n v="292.149808329"/>
  </r>
  <r>
    <x v="0"/>
    <x v="4"/>
    <x v="9"/>
    <x v="43"/>
    <x v="10"/>
    <x v="4"/>
    <n v="3.4733523320000002"/>
  </r>
  <r>
    <x v="0"/>
    <x v="4"/>
    <x v="9"/>
    <x v="43"/>
    <x v="11"/>
    <x v="4"/>
    <n v="63.327352107000003"/>
  </r>
  <r>
    <x v="0"/>
    <x v="4"/>
    <x v="9"/>
    <x v="43"/>
    <x v="12"/>
    <x v="4"/>
    <n v="6.356555416"/>
  </r>
  <r>
    <x v="0"/>
    <x v="4"/>
    <x v="9"/>
    <x v="43"/>
    <x v="13"/>
    <x v="4"/>
    <n v="11.883875382999999"/>
  </r>
  <r>
    <x v="0"/>
    <x v="4"/>
    <x v="9"/>
    <x v="43"/>
    <x v="14"/>
    <x v="4"/>
    <n v="22.989675114000001"/>
  </r>
  <r>
    <x v="0"/>
    <x v="4"/>
    <x v="9"/>
    <x v="43"/>
    <x v="15"/>
    <x v="4"/>
    <n v="45.223375060999999"/>
  </r>
  <r>
    <x v="0"/>
    <x v="4"/>
    <x v="9"/>
    <x v="43"/>
    <x v="16"/>
    <x v="4"/>
    <n v="3.147195891"/>
  </r>
  <r>
    <x v="0"/>
    <x v="4"/>
    <x v="9"/>
    <x v="43"/>
    <x v="17"/>
    <x v="4"/>
    <n v="0"/>
  </r>
  <r>
    <x v="0"/>
    <x v="4"/>
    <x v="9"/>
    <x v="43"/>
    <x v="18"/>
    <x v="4"/>
    <n v="3.7226901969999999"/>
  </r>
  <r>
    <x v="0"/>
    <x v="4"/>
    <x v="9"/>
    <x v="43"/>
    <x v="19"/>
    <x v="4"/>
    <n v="1.0039192850000001"/>
  </r>
  <r>
    <x v="0"/>
    <x v="4"/>
    <x v="9"/>
    <x v="43"/>
    <x v="20"/>
    <x v="4"/>
    <n v="0.99617157899999997"/>
  </r>
  <r>
    <x v="0"/>
    <x v="4"/>
    <x v="9"/>
    <x v="43"/>
    <x v="21"/>
    <x v="4"/>
    <n v="53.699732605999998"/>
  </r>
  <r>
    <x v="0"/>
    <x v="4"/>
    <x v="9"/>
    <x v="43"/>
    <x v="22"/>
    <x v="4"/>
    <n v="24.361661889000001"/>
  </r>
  <r>
    <x v="0"/>
    <x v="4"/>
    <x v="9"/>
    <x v="43"/>
    <x v="23"/>
    <x v="4"/>
    <n v="26.846066513"/>
  </r>
  <r>
    <x v="0"/>
    <x v="4"/>
    <x v="9"/>
    <x v="43"/>
    <x v="24"/>
    <x v="4"/>
    <n v="1.335043406"/>
  </r>
  <r>
    <x v="0"/>
    <x v="4"/>
    <x v="9"/>
    <x v="43"/>
    <x v="25"/>
    <x v="4"/>
    <n v="1.251632316"/>
  </r>
  <r>
    <x v="0"/>
    <x v="4"/>
    <x v="9"/>
    <x v="43"/>
    <x v="26"/>
    <x v="4"/>
    <n v="0"/>
  </r>
  <r>
    <x v="0"/>
    <x v="4"/>
    <x v="9"/>
    <x v="43"/>
    <x v="27"/>
    <x v="4"/>
    <n v="0"/>
  </r>
  <r>
    <x v="0"/>
    <x v="4"/>
    <x v="9"/>
    <x v="43"/>
    <x v="28"/>
    <x v="4"/>
    <n v="20.238856029000001"/>
  </r>
  <r>
    <x v="0"/>
    <x v="4"/>
    <x v="9"/>
    <x v="43"/>
    <x v="29"/>
    <x v="4"/>
    <n v="15.199104675999999"/>
  </r>
  <r>
    <x v="0"/>
    <x v="4"/>
    <x v="9"/>
    <x v="43"/>
    <x v="30"/>
    <x v="4"/>
    <n v="2.4782278880000002"/>
  </r>
  <r>
    <x v="0"/>
    <x v="4"/>
    <x v="9"/>
    <x v="43"/>
    <x v="31"/>
    <x v="4"/>
    <n v="0"/>
  </r>
  <r>
    <x v="0"/>
    <x v="4"/>
    <x v="9"/>
    <x v="43"/>
    <x v="32"/>
    <x v="4"/>
    <n v="82.132690342000004"/>
  </r>
  <r>
    <x v="0"/>
    <x v="4"/>
    <x v="9"/>
    <x v="43"/>
    <x v="33"/>
    <x v="4"/>
    <n v="33.148893571000002"/>
  </r>
  <r>
    <x v="0"/>
    <x v="4"/>
    <x v="9"/>
    <x v="43"/>
    <x v="34"/>
    <x v="4"/>
    <n v="3.4006995889999998"/>
  </r>
  <r>
    <x v="0"/>
    <x v="4"/>
    <x v="9"/>
    <x v="43"/>
    <x v="35"/>
    <x v="4"/>
    <n v="52.076975122999997"/>
  </r>
  <r>
    <x v="0"/>
    <x v="4"/>
    <x v="9"/>
    <x v="43"/>
    <x v="36"/>
    <x v="4"/>
    <n v="92.483271020999993"/>
  </r>
  <r>
    <x v="0"/>
    <x v="4"/>
    <x v="9"/>
    <x v="43"/>
    <x v="37"/>
    <x v="4"/>
    <n v="369.38776284599999"/>
  </r>
  <r>
    <x v="0"/>
    <x v="4"/>
    <x v="9"/>
    <x v="43"/>
    <x v="38"/>
    <x v="4"/>
    <n v="5.04094044"/>
  </r>
  <r>
    <x v="0"/>
    <x v="4"/>
    <x v="9"/>
    <x v="43"/>
    <x v="39"/>
    <x v="4"/>
    <n v="0.67395581500000001"/>
  </r>
  <r>
    <x v="0"/>
    <x v="4"/>
    <x v="9"/>
    <x v="43"/>
    <x v="40"/>
    <x v="4"/>
    <n v="0.48282062599999997"/>
  </r>
  <r>
    <x v="0"/>
    <x v="4"/>
    <x v="9"/>
    <x v="43"/>
    <x v="41"/>
    <x v="4"/>
    <n v="4.9918370169999999"/>
  </r>
  <r>
    <x v="0"/>
    <x v="4"/>
    <x v="9"/>
    <x v="43"/>
    <x v="42"/>
    <x v="4"/>
    <n v="-19.593955327"/>
  </r>
  <r>
    <x v="0"/>
    <x v="4"/>
    <x v="9"/>
    <x v="43"/>
    <x v="43"/>
    <x v="4"/>
    <n v="-7.9774438419999996"/>
  </r>
  <r>
    <x v="0"/>
    <x v="4"/>
    <x v="9"/>
    <x v="43"/>
    <x v="44"/>
    <x v="4"/>
    <n v="7.4122113680000004"/>
  </r>
  <r>
    <x v="0"/>
    <x v="4"/>
    <x v="9"/>
    <x v="43"/>
    <x v="45"/>
    <x v="4"/>
    <n v="-1.281966046"/>
  </r>
  <r>
    <x v="0"/>
    <x v="4"/>
    <x v="10"/>
    <x v="43"/>
    <x v="0"/>
    <x v="4"/>
    <n v="2.2707611829999998"/>
  </r>
  <r>
    <x v="0"/>
    <x v="4"/>
    <x v="11"/>
    <x v="43"/>
    <x v="0"/>
    <x v="4"/>
    <n v="59.094354961999997"/>
  </r>
  <r>
    <x v="0"/>
    <x v="4"/>
    <x v="12"/>
    <x v="0"/>
    <x v="0"/>
    <x v="0"/>
    <n v="678.21920627899999"/>
  </r>
  <r>
    <x v="0"/>
    <x v="4"/>
    <x v="13"/>
    <x v="0"/>
    <x v="0"/>
    <x v="0"/>
    <n v="284.02720779100002"/>
  </r>
  <r>
    <x v="0"/>
    <x v="4"/>
    <x v="14"/>
    <x v="0"/>
    <x v="0"/>
    <x v="0"/>
    <n v="0.93625364300000002"/>
  </r>
  <r>
    <x v="0"/>
    <x v="4"/>
    <x v="15"/>
    <x v="0"/>
    <x v="0"/>
    <x v="1"/>
    <n v="9.1804379000000005E-2"/>
  </r>
  <r>
    <x v="0"/>
    <x v="4"/>
    <x v="16"/>
    <x v="0"/>
    <x v="0"/>
    <x v="1"/>
    <n v="9.8111536999999999E-2"/>
  </r>
  <r>
    <x v="0"/>
    <x v="4"/>
    <x v="12"/>
    <x v="1"/>
    <x v="0"/>
    <x v="0"/>
    <n v="223.119518599"/>
  </r>
  <r>
    <x v="0"/>
    <x v="4"/>
    <x v="13"/>
    <x v="1"/>
    <x v="0"/>
    <x v="0"/>
    <n v="36.967788788999997"/>
  </r>
  <r>
    <x v="0"/>
    <x v="4"/>
    <x v="14"/>
    <x v="1"/>
    <x v="0"/>
    <x v="0"/>
    <n v="0.30598735300000002"/>
  </r>
  <r>
    <x v="0"/>
    <x v="4"/>
    <x v="15"/>
    <x v="1"/>
    <x v="0"/>
    <x v="1"/>
    <n v="5.2862467000000003E-2"/>
  </r>
  <r>
    <x v="0"/>
    <x v="4"/>
    <x v="16"/>
    <x v="1"/>
    <x v="0"/>
    <x v="1"/>
    <n v="5.4000685E-2"/>
  </r>
  <r>
    <x v="0"/>
    <x v="4"/>
    <x v="12"/>
    <x v="2"/>
    <x v="0"/>
    <x v="0"/>
    <n v="273.49814370399997"/>
  </r>
  <r>
    <x v="0"/>
    <x v="4"/>
    <x v="13"/>
    <x v="2"/>
    <x v="0"/>
    <x v="0"/>
    <n v="98.564685460000007"/>
  </r>
  <r>
    <x v="0"/>
    <x v="4"/>
    <x v="14"/>
    <x v="2"/>
    <x v="0"/>
    <x v="0"/>
    <n v="2.2202247989999999"/>
  </r>
  <r>
    <x v="0"/>
    <x v="4"/>
    <x v="15"/>
    <x v="2"/>
    <x v="0"/>
    <x v="1"/>
    <n v="3.3276795999999997E-2"/>
  </r>
  <r>
    <x v="0"/>
    <x v="4"/>
    <x v="16"/>
    <x v="2"/>
    <x v="0"/>
    <x v="1"/>
    <n v="3.1166234000000001E-2"/>
  </r>
  <r>
    <x v="0"/>
    <x v="4"/>
    <x v="12"/>
    <x v="3"/>
    <x v="0"/>
    <x v="0"/>
    <n v="132.38167614"/>
  </r>
  <r>
    <x v="0"/>
    <x v="4"/>
    <x v="13"/>
    <x v="3"/>
    <x v="0"/>
    <x v="0"/>
    <n v="81.917992600999995"/>
  </r>
  <r>
    <x v="0"/>
    <x v="4"/>
    <x v="14"/>
    <x v="3"/>
    <x v="0"/>
    <x v="0"/>
    <n v="0.30057629600000002"/>
  </r>
  <r>
    <x v="0"/>
    <x v="4"/>
    <x v="15"/>
    <x v="3"/>
    <x v="0"/>
    <x v="1"/>
    <n v="4.1321987999999997E-2"/>
  </r>
  <r>
    <x v="0"/>
    <x v="4"/>
    <x v="16"/>
    <x v="3"/>
    <x v="0"/>
    <x v="1"/>
    <n v="4.2360419000000003E-2"/>
  </r>
  <r>
    <x v="0"/>
    <x v="4"/>
    <x v="12"/>
    <x v="4"/>
    <x v="0"/>
    <x v="0"/>
    <n v="59.356425428999998"/>
  </r>
  <r>
    <x v="0"/>
    <x v="4"/>
    <x v="13"/>
    <x v="4"/>
    <x v="0"/>
    <x v="0"/>
    <n v="6.7181435179999998"/>
  </r>
  <r>
    <x v="0"/>
    <x v="4"/>
    <x v="14"/>
    <x v="4"/>
    <x v="0"/>
    <x v="0"/>
    <n v="0.49358012000000001"/>
  </r>
  <r>
    <x v="0"/>
    <x v="4"/>
    <x v="15"/>
    <x v="4"/>
    <x v="0"/>
    <x v="1"/>
    <n v="4.8098161E-2"/>
  </r>
  <r>
    <x v="0"/>
    <x v="4"/>
    <x v="16"/>
    <x v="4"/>
    <x v="0"/>
    <x v="1"/>
    <n v="4.8647271999999998E-2"/>
  </r>
  <r>
    <x v="0"/>
    <x v="4"/>
    <x v="12"/>
    <x v="5"/>
    <x v="0"/>
    <x v="0"/>
    <n v="543.94200377799996"/>
  </r>
  <r>
    <x v="0"/>
    <x v="4"/>
    <x v="13"/>
    <x v="5"/>
    <x v="0"/>
    <x v="0"/>
    <n v="145.96882765500001"/>
  </r>
  <r>
    <x v="0"/>
    <x v="4"/>
    <x v="14"/>
    <x v="5"/>
    <x v="0"/>
    <x v="0"/>
    <n v="4.8994275700000003"/>
  </r>
  <r>
    <x v="0"/>
    <x v="4"/>
    <x v="15"/>
    <x v="5"/>
    <x v="0"/>
    <x v="1"/>
    <n v="6.9290721E-2"/>
  </r>
  <r>
    <x v="0"/>
    <x v="4"/>
    <x v="16"/>
    <x v="5"/>
    <x v="0"/>
    <x v="1"/>
    <n v="7.1835532999999993E-2"/>
  </r>
  <r>
    <x v="0"/>
    <x v="4"/>
    <x v="12"/>
    <x v="6"/>
    <x v="0"/>
    <x v="0"/>
    <n v="164.76948669199999"/>
  </r>
  <r>
    <x v="0"/>
    <x v="4"/>
    <x v="13"/>
    <x v="6"/>
    <x v="0"/>
    <x v="0"/>
    <n v="22.041431582000001"/>
  </r>
  <r>
    <x v="0"/>
    <x v="4"/>
    <x v="14"/>
    <x v="6"/>
    <x v="0"/>
    <x v="0"/>
    <n v="9.0186832609999996"/>
  </r>
  <r>
    <x v="0"/>
    <x v="4"/>
    <x v="15"/>
    <x v="6"/>
    <x v="0"/>
    <x v="1"/>
    <n v="6.2795155000000005E-2"/>
  </r>
  <r>
    <x v="0"/>
    <x v="4"/>
    <x v="16"/>
    <x v="6"/>
    <x v="0"/>
    <x v="1"/>
    <n v="6.3883750000000003E-2"/>
  </r>
  <r>
    <x v="0"/>
    <x v="4"/>
    <x v="12"/>
    <x v="7"/>
    <x v="0"/>
    <x v="0"/>
    <n v="93.255304917000004"/>
  </r>
  <r>
    <x v="0"/>
    <x v="4"/>
    <x v="13"/>
    <x v="7"/>
    <x v="0"/>
    <x v="0"/>
    <n v="36.119496501999997"/>
  </r>
  <r>
    <x v="0"/>
    <x v="4"/>
    <x v="14"/>
    <x v="7"/>
    <x v="0"/>
    <x v="0"/>
    <n v="18.955707519000001"/>
  </r>
  <r>
    <x v="0"/>
    <x v="4"/>
    <x v="15"/>
    <x v="7"/>
    <x v="0"/>
    <x v="1"/>
    <n v="6.4571989999999996E-2"/>
  </r>
  <r>
    <x v="0"/>
    <x v="4"/>
    <x v="16"/>
    <x v="7"/>
    <x v="0"/>
    <x v="1"/>
    <n v="6.7819700999999996E-2"/>
  </r>
  <r>
    <x v="0"/>
    <x v="4"/>
    <x v="12"/>
    <x v="8"/>
    <x v="0"/>
    <x v="0"/>
    <n v="79.424187144000001"/>
  </r>
  <r>
    <x v="0"/>
    <x v="4"/>
    <x v="13"/>
    <x v="8"/>
    <x v="0"/>
    <x v="0"/>
    <n v="10.584531897"/>
  </r>
  <r>
    <x v="0"/>
    <x v="4"/>
    <x v="14"/>
    <x v="8"/>
    <x v="0"/>
    <x v="0"/>
    <n v="7.429086335"/>
  </r>
  <r>
    <x v="0"/>
    <x v="4"/>
    <x v="15"/>
    <x v="8"/>
    <x v="0"/>
    <x v="1"/>
    <n v="5.8494272E-2"/>
  </r>
  <r>
    <x v="0"/>
    <x v="4"/>
    <x v="16"/>
    <x v="8"/>
    <x v="0"/>
    <x v="1"/>
    <n v="5.9470696000000003E-2"/>
  </r>
  <r>
    <x v="0"/>
    <x v="4"/>
    <x v="12"/>
    <x v="9"/>
    <x v="0"/>
    <x v="0"/>
    <n v="190.48975114000001"/>
  </r>
  <r>
    <x v="0"/>
    <x v="4"/>
    <x v="13"/>
    <x v="9"/>
    <x v="0"/>
    <x v="0"/>
    <n v="34.022701638999997"/>
  </r>
  <r>
    <x v="0"/>
    <x v="4"/>
    <x v="14"/>
    <x v="9"/>
    <x v="0"/>
    <x v="0"/>
    <n v="16.752502365000002"/>
  </r>
  <r>
    <x v="0"/>
    <x v="4"/>
    <x v="15"/>
    <x v="9"/>
    <x v="0"/>
    <x v="1"/>
    <n v="5.1698894000000002E-2"/>
  </r>
  <r>
    <x v="0"/>
    <x v="4"/>
    <x v="16"/>
    <x v="9"/>
    <x v="0"/>
    <x v="1"/>
    <n v="5.2680962999999997E-2"/>
  </r>
  <r>
    <x v="0"/>
    <x v="4"/>
    <x v="12"/>
    <x v="10"/>
    <x v="0"/>
    <x v="0"/>
    <n v="321.03718742799998"/>
  </r>
  <r>
    <x v="0"/>
    <x v="4"/>
    <x v="13"/>
    <x v="10"/>
    <x v="0"/>
    <x v="0"/>
    <n v="34.149164847000002"/>
  </r>
  <r>
    <x v="0"/>
    <x v="4"/>
    <x v="14"/>
    <x v="10"/>
    <x v="0"/>
    <x v="0"/>
    <n v="6.427816247"/>
  </r>
  <r>
    <x v="0"/>
    <x v="4"/>
    <x v="15"/>
    <x v="10"/>
    <x v="0"/>
    <x v="1"/>
    <n v="3.7002754999999998E-2"/>
  </r>
  <r>
    <x v="0"/>
    <x v="4"/>
    <x v="16"/>
    <x v="10"/>
    <x v="0"/>
    <x v="1"/>
    <n v="3.6886918999999997E-2"/>
  </r>
  <r>
    <x v="0"/>
    <x v="4"/>
    <x v="12"/>
    <x v="11"/>
    <x v="0"/>
    <x v="0"/>
    <n v="809.22505722599999"/>
  </r>
  <r>
    <x v="0"/>
    <x v="4"/>
    <x v="13"/>
    <x v="11"/>
    <x v="0"/>
    <x v="0"/>
    <n v="186.90687439999999"/>
  </r>
  <r>
    <x v="0"/>
    <x v="4"/>
    <x v="14"/>
    <x v="11"/>
    <x v="0"/>
    <x v="0"/>
    <n v="35.861680628000002"/>
  </r>
  <r>
    <x v="0"/>
    <x v="4"/>
    <x v="15"/>
    <x v="11"/>
    <x v="0"/>
    <x v="1"/>
    <n v="4.4801413999999998E-2"/>
  </r>
  <r>
    <x v="0"/>
    <x v="4"/>
    <x v="16"/>
    <x v="11"/>
    <x v="0"/>
    <x v="1"/>
    <n v="4.5481278999999999E-2"/>
  </r>
  <r>
    <x v="0"/>
    <x v="4"/>
    <x v="12"/>
    <x v="12"/>
    <x v="0"/>
    <x v="0"/>
    <n v="242.958020777"/>
  </r>
  <r>
    <x v="0"/>
    <x v="4"/>
    <x v="13"/>
    <x v="12"/>
    <x v="0"/>
    <x v="0"/>
    <n v="8.1798747390000006"/>
  </r>
  <r>
    <x v="0"/>
    <x v="4"/>
    <x v="14"/>
    <x v="12"/>
    <x v="0"/>
    <x v="0"/>
    <n v="8.40978548"/>
  </r>
  <r>
    <x v="0"/>
    <x v="4"/>
    <x v="15"/>
    <x v="12"/>
    <x v="0"/>
    <x v="1"/>
    <n v="4.5836935000000002E-2"/>
  </r>
  <r>
    <x v="0"/>
    <x v="4"/>
    <x v="16"/>
    <x v="12"/>
    <x v="0"/>
    <x v="1"/>
    <n v="4.5951841E-2"/>
  </r>
  <r>
    <x v="0"/>
    <x v="4"/>
    <x v="12"/>
    <x v="13"/>
    <x v="0"/>
    <x v="0"/>
    <n v="668.85286948600003"/>
  </r>
  <r>
    <x v="0"/>
    <x v="4"/>
    <x v="13"/>
    <x v="13"/>
    <x v="0"/>
    <x v="0"/>
    <n v="80.185859734999994"/>
  </r>
  <r>
    <x v="0"/>
    <x v="4"/>
    <x v="14"/>
    <x v="13"/>
    <x v="0"/>
    <x v="0"/>
    <n v="20.847456032"/>
  </r>
  <r>
    <x v="0"/>
    <x v="4"/>
    <x v="15"/>
    <x v="13"/>
    <x v="0"/>
    <x v="1"/>
    <n v="3.7529667000000003E-2"/>
  </r>
  <r>
    <x v="0"/>
    <x v="4"/>
    <x v="16"/>
    <x v="13"/>
    <x v="0"/>
    <x v="1"/>
    <n v="3.7438207000000001E-2"/>
  </r>
  <r>
    <x v="0"/>
    <x v="4"/>
    <x v="12"/>
    <x v="14"/>
    <x v="0"/>
    <x v="0"/>
    <n v="166.83660853800001"/>
  </r>
  <r>
    <x v="0"/>
    <x v="4"/>
    <x v="13"/>
    <x v="14"/>
    <x v="0"/>
    <x v="0"/>
    <n v="10.446967041000001"/>
  </r>
  <r>
    <x v="0"/>
    <x v="4"/>
    <x v="14"/>
    <x v="14"/>
    <x v="0"/>
    <x v="0"/>
    <n v="15.235529973"/>
  </r>
  <r>
    <x v="0"/>
    <x v="4"/>
    <x v="15"/>
    <x v="14"/>
    <x v="0"/>
    <x v="1"/>
    <n v="4.3769031E-2"/>
  </r>
  <r>
    <x v="0"/>
    <x v="4"/>
    <x v="16"/>
    <x v="14"/>
    <x v="0"/>
    <x v="1"/>
    <n v="4.3922646000000003E-2"/>
  </r>
  <r>
    <x v="0"/>
    <x v="4"/>
    <x v="12"/>
    <x v="15"/>
    <x v="0"/>
    <x v="0"/>
    <n v="176.68626128299999"/>
  </r>
  <r>
    <x v="0"/>
    <x v="4"/>
    <x v="13"/>
    <x v="15"/>
    <x v="0"/>
    <x v="0"/>
    <n v="69.001395592999998"/>
  </r>
  <r>
    <x v="0"/>
    <x v="4"/>
    <x v="14"/>
    <x v="15"/>
    <x v="0"/>
    <x v="0"/>
    <n v="21.798981012999999"/>
  </r>
  <r>
    <x v="0"/>
    <x v="4"/>
    <x v="15"/>
    <x v="15"/>
    <x v="0"/>
    <x v="1"/>
    <n v="4.6514574000000003E-2"/>
  </r>
  <r>
    <x v="0"/>
    <x v="4"/>
    <x v="16"/>
    <x v="15"/>
    <x v="0"/>
    <x v="1"/>
    <n v="4.7942651000000003E-2"/>
  </r>
  <r>
    <x v="0"/>
    <x v="4"/>
    <x v="12"/>
    <x v="16"/>
    <x v="0"/>
    <x v="0"/>
    <n v="112.118278624"/>
  </r>
  <r>
    <x v="0"/>
    <x v="4"/>
    <x v="13"/>
    <x v="16"/>
    <x v="0"/>
    <x v="0"/>
    <n v="58.993821511999997"/>
  </r>
  <r>
    <x v="0"/>
    <x v="4"/>
    <x v="14"/>
    <x v="16"/>
    <x v="0"/>
    <x v="0"/>
    <n v="10.234657863000001"/>
  </r>
  <r>
    <x v="0"/>
    <x v="4"/>
    <x v="15"/>
    <x v="16"/>
    <x v="0"/>
    <x v="1"/>
    <n v="4.8387205000000003E-2"/>
  </r>
  <r>
    <x v="0"/>
    <x v="4"/>
    <x v="16"/>
    <x v="16"/>
    <x v="0"/>
    <x v="1"/>
    <n v="5.0657137999999997E-2"/>
  </r>
  <r>
    <x v="0"/>
    <x v="4"/>
    <x v="12"/>
    <x v="17"/>
    <x v="0"/>
    <x v="0"/>
    <n v="272.175341995"/>
  </r>
  <r>
    <x v="0"/>
    <x v="4"/>
    <x v="13"/>
    <x v="17"/>
    <x v="0"/>
    <x v="0"/>
    <n v="97.531154274000002"/>
  </r>
  <r>
    <x v="0"/>
    <x v="4"/>
    <x v="14"/>
    <x v="17"/>
    <x v="0"/>
    <x v="0"/>
    <n v="16.850392286000002"/>
  </r>
  <r>
    <x v="0"/>
    <x v="4"/>
    <x v="15"/>
    <x v="17"/>
    <x v="0"/>
    <x v="1"/>
    <n v="4.8700067E-2"/>
  </r>
  <r>
    <x v="0"/>
    <x v="4"/>
    <x v="16"/>
    <x v="17"/>
    <x v="0"/>
    <x v="1"/>
    <n v="5.0277188E-2"/>
  </r>
  <r>
    <x v="0"/>
    <x v="4"/>
    <x v="12"/>
    <x v="18"/>
    <x v="0"/>
    <x v="0"/>
    <n v="216.4356822"/>
  </r>
  <r>
    <x v="0"/>
    <x v="4"/>
    <x v="13"/>
    <x v="18"/>
    <x v="0"/>
    <x v="0"/>
    <n v="53.603131712"/>
  </r>
  <r>
    <x v="0"/>
    <x v="4"/>
    <x v="14"/>
    <x v="18"/>
    <x v="0"/>
    <x v="0"/>
    <n v="37.317664688999997"/>
  </r>
  <r>
    <x v="0"/>
    <x v="4"/>
    <x v="15"/>
    <x v="18"/>
    <x v="0"/>
    <x v="1"/>
    <n v="4.4107476E-2"/>
  </r>
  <r>
    <x v="0"/>
    <x v="4"/>
    <x v="16"/>
    <x v="18"/>
    <x v="0"/>
    <x v="1"/>
    <n v="4.4748255000000001E-2"/>
  </r>
  <r>
    <x v="0"/>
    <x v="4"/>
    <x v="12"/>
    <x v="19"/>
    <x v="0"/>
    <x v="0"/>
    <n v="204.55970038699999"/>
  </r>
  <r>
    <x v="0"/>
    <x v="4"/>
    <x v="13"/>
    <x v="19"/>
    <x v="0"/>
    <x v="0"/>
    <n v="281.41948170400002"/>
  </r>
  <r>
    <x v="0"/>
    <x v="4"/>
    <x v="14"/>
    <x v="19"/>
    <x v="0"/>
    <x v="0"/>
    <n v="95.074677554000004"/>
  </r>
  <r>
    <x v="0"/>
    <x v="4"/>
    <x v="15"/>
    <x v="19"/>
    <x v="0"/>
    <x v="1"/>
    <n v="4.4222523E-2"/>
  </r>
  <r>
    <x v="0"/>
    <x v="4"/>
    <x v="16"/>
    <x v="19"/>
    <x v="0"/>
    <x v="1"/>
    <n v="4.7967398000000001E-2"/>
  </r>
  <r>
    <x v="0"/>
    <x v="4"/>
    <x v="12"/>
    <x v="20"/>
    <x v="0"/>
    <x v="0"/>
    <n v="30.274298651999999"/>
  </r>
  <r>
    <x v="0"/>
    <x v="4"/>
    <x v="13"/>
    <x v="20"/>
    <x v="0"/>
    <x v="0"/>
    <n v="36.705211925"/>
  </r>
  <r>
    <x v="0"/>
    <x v="4"/>
    <x v="14"/>
    <x v="20"/>
    <x v="0"/>
    <x v="0"/>
    <n v="7.2383679320000001"/>
  </r>
  <r>
    <x v="0"/>
    <x v="4"/>
    <x v="15"/>
    <x v="20"/>
    <x v="0"/>
    <x v="1"/>
    <n v="4.2777588999999998E-2"/>
  </r>
  <r>
    <x v="0"/>
    <x v="4"/>
    <x v="16"/>
    <x v="20"/>
    <x v="0"/>
    <x v="1"/>
    <n v="4.5494618000000001E-2"/>
  </r>
  <r>
    <x v="0"/>
    <x v="4"/>
    <x v="12"/>
    <x v="21"/>
    <x v="0"/>
    <x v="0"/>
    <n v="14.299639640000001"/>
  </r>
  <r>
    <x v="0"/>
    <x v="4"/>
    <x v="13"/>
    <x v="21"/>
    <x v="0"/>
    <x v="0"/>
    <n v="0.88297104999999998"/>
  </r>
  <r>
    <x v="0"/>
    <x v="4"/>
    <x v="14"/>
    <x v="21"/>
    <x v="0"/>
    <x v="0"/>
    <n v="1.3195113999999999"/>
  </r>
  <r>
    <x v="0"/>
    <x v="4"/>
    <x v="15"/>
    <x v="21"/>
    <x v="0"/>
    <x v="1"/>
    <n v="5.4627163999999999E-2"/>
  </r>
  <r>
    <x v="0"/>
    <x v="4"/>
    <x v="16"/>
    <x v="21"/>
    <x v="0"/>
    <x v="1"/>
    <n v="5.5013633999999999E-2"/>
  </r>
  <r>
    <x v="0"/>
    <x v="4"/>
    <x v="12"/>
    <x v="22"/>
    <x v="0"/>
    <x v="0"/>
    <n v="78.435933740999999"/>
  </r>
  <r>
    <x v="0"/>
    <x v="4"/>
    <x v="13"/>
    <x v="22"/>
    <x v="0"/>
    <x v="0"/>
    <n v="1.464277284"/>
  </r>
  <r>
    <x v="0"/>
    <x v="4"/>
    <x v="14"/>
    <x v="22"/>
    <x v="0"/>
    <x v="0"/>
    <n v="4.1716234830000003"/>
  </r>
  <r>
    <x v="0"/>
    <x v="4"/>
    <x v="15"/>
    <x v="22"/>
    <x v="0"/>
    <x v="1"/>
    <n v="1.1556921E-2"/>
  </r>
  <r>
    <x v="0"/>
    <x v="4"/>
    <x v="16"/>
    <x v="22"/>
    <x v="0"/>
    <x v="1"/>
    <n v="9.7980629999999992E-3"/>
  </r>
  <r>
    <x v="0"/>
    <x v="4"/>
    <x v="12"/>
    <x v="23"/>
    <x v="0"/>
    <x v="0"/>
    <n v="7.2213437599999999"/>
  </r>
  <r>
    <x v="0"/>
    <x v="4"/>
    <x v="13"/>
    <x v="23"/>
    <x v="0"/>
    <x v="0"/>
    <n v="0"/>
  </r>
  <r>
    <x v="0"/>
    <x v="4"/>
    <x v="14"/>
    <x v="23"/>
    <x v="0"/>
    <x v="0"/>
    <n v="0"/>
  </r>
  <r>
    <x v="0"/>
    <x v="4"/>
    <x v="15"/>
    <x v="23"/>
    <x v="0"/>
    <x v="1"/>
    <n v="5.2388298E-2"/>
  </r>
  <r>
    <x v="0"/>
    <x v="4"/>
    <x v="16"/>
    <x v="23"/>
    <x v="0"/>
    <x v="1"/>
    <n v="5.2388298E-2"/>
  </r>
  <r>
    <x v="0"/>
    <x v="4"/>
    <x v="12"/>
    <x v="24"/>
    <x v="0"/>
    <x v="0"/>
    <n v="386.940485201"/>
  </r>
  <r>
    <x v="0"/>
    <x v="4"/>
    <x v="13"/>
    <x v="24"/>
    <x v="0"/>
    <x v="0"/>
    <n v="0.302988272"/>
  </r>
  <r>
    <x v="0"/>
    <x v="4"/>
    <x v="14"/>
    <x v="24"/>
    <x v="0"/>
    <x v="0"/>
    <n v="0.35624496500000002"/>
  </r>
  <r>
    <x v="0"/>
    <x v="4"/>
    <x v="15"/>
    <x v="24"/>
    <x v="0"/>
    <x v="1"/>
    <n v="4.0708794999999999E-2"/>
  </r>
  <r>
    <x v="0"/>
    <x v="4"/>
    <x v="16"/>
    <x v="24"/>
    <x v="0"/>
    <x v="1"/>
    <n v="4.0709602999999997E-2"/>
  </r>
  <r>
    <x v="0"/>
    <x v="4"/>
    <x v="12"/>
    <x v="25"/>
    <x v="0"/>
    <x v="0"/>
    <n v="23.475653316999999"/>
  </r>
  <r>
    <x v="0"/>
    <x v="4"/>
    <x v="13"/>
    <x v="25"/>
    <x v="0"/>
    <x v="0"/>
    <n v="2.1E-7"/>
  </r>
  <r>
    <x v="0"/>
    <x v="4"/>
    <x v="14"/>
    <x v="25"/>
    <x v="0"/>
    <x v="0"/>
    <n v="0"/>
  </r>
  <r>
    <x v="0"/>
    <x v="4"/>
    <x v="15"/>
    <x v="25"/>
    <x v="0"/>
    <x v="1"/>
    <n v="3.6905858999999999E-2"/>
  </r>
  <r>
    <x v="0"/>
    <x v="4"/>
    <x v="16"/>
    <x v="25"/>
    <x v="0"/>
    <x v="1"/>
    <n v="3.6905858999999999E-2"/>
  </r>
  <r>
    <x v="0"/>
    <x v="4"/>
    <x v="12"/>
    <x v="26"/>
    <x v="0"/>
    <x v="0"/>
    <n v="10.49967193"/>
  </r>
  <r>
    <x v="0"/>
    <x v="4"/>
    <x v="13"/>
    <x v="26"/>
    <x v="0"/>
    <x v="0"/>
    <n v="0"/>
  </r>
  <r>
    <x v="0"/>
    <x v="4"/>
    <x v="14"/>
    <x v="26"/>
    <x v="0"/>
    <x v="0"/>
    <n v="0"/>
  </r>
  <r>
    <x v="0"/>
    <x v="4"/>
    <x v="15"/>
    <x v="26"/>
    <x v="0"/>
    <x v="1"/>
    <n v="5.2257603999999999E-2"/>
  </r>
  <r>
    <x v="0"/>
    <x v="4"/>
    <x v="16"/>
    <x v="26"/>
    <x v="0"/>
    <x v="1"/>
    <n v="5.2257603999999999E-2"/>
  </r>
  <r>
    <x v="0"/>
    <x v="4"/>
    <x v="12"/>
    <x v="27"/>
    <x v="0"/>
    <x v="0"/>
    <n v="474.02924837"/>
  </r>
  <r>
    <x v="0"/>
    <x v="4"/>
    <x v="13"/>
    <x v="27"/>
    <x v="0"/>
    <x v="0"/>
    <n v="5.2608362260000003"/>
  </r>
  <r>
    <x v="0"/>
    <x v="4"/>
    <x v="14"/>
    <x v="27"/>
    <x v="0"/>
    <x v="0"/>
    <n v="1.6715744749999999"/>
  </r>
  <r>
    <x v="0"/>
    <x v="4"/>
    <x v="15"/>
    <x v="27"/>
    <x v="0"/>
    <x v="1"/>
    <n v="5.9535735999999999E-2"/>
  </r>
  <r>
    <x v="0"/>
    <x v="4"/>
    <x v="16"/>
    <x v="27"/>
    <x v="0"/>
    <x v="1"/>
    <n v="5.9622094E-2"/>
  </r>
  <r>
    <x v="0"/>
    <x v="4"/>
    <x v="12"/>
    <x v="28"/>
    <x v="0"/>
    <x v="0"/>
    <n v="527.45901819300002"/>
  </r>
  <r>
    <x v="0"/>
    <x v="4"/>
    <x v="13"/>
    <x v="28"/>
    <x v="0"/>
    <x v="0"/>
    <n v="0"/>
  </r>
  <r>
    <x v="0"/>
    <x v="4"/>
    <x v="14"/>
    <x v="28"/>
    <x v="0"/>
    <x v="0"/>
    <n v="65.608678608000005"/>
  </r>
  <r>
    <x v="0"/>
    <x v="4"/>
    <x v="15"/>
    <x v="28"/>
    <x v="0"/>
    <x v="1"/>
    <n v="4.2246093999999998E-2"/>
  </r>
  <r>
    <x v="0"/>
    <x v="4"/>
    <x v="16"/>
    <x v="28"/>
    <x v="0"/>
    <x v="1"/>
    <n v="4.2246093999999998E-2"/>
  </r>
  <r>
    <x v="0"/>
    <x v="4"/>
    <x v="12"/>
    <x v="29"/>
    <x v="0"/>
    <x v="0"/>
    <n v="449.305929472"/>
  </r>
  <r>
    <x v="0"/>
    <x v="4"/>
    <x v="13"/>
    <x v="29"/>
    <x v="0"/>
    <x v="0"/>
    <n v="53.298055849999997"/>
  </r>
  <r>
    <x v="0"/>
    <x v="4"/>
    <x v="14"/>
    <x v="29"/>
    <x v="0"/>
    <x v="0"/>
    <n v="21.970539342999999"/>
  </r>
  <r>
    <x v="0"/>
    <x v="4"/>
    <x v="15"/>
    <x v="29"/>
    <x v="0"/>
    <x v="1"/>
    <n v="4.6542081999999999E-2"/>
  </r>
  <r>
    <x v="0"/>
    <x v="4"/>
    <x v="16"/>
    <x v="29"/>
    <x v="0"/>
    <x v="1"/>
    <n v="4.7015136999999999E-2"/>
  </r>
  <r>
    <x v="0"/>
    <x v="4"/>
    <x v="12"/>
    <x v="30"/>
    <x v="0"/>
    <x v="0"/>
    <n v="114.161641127"/>
  </r>
  <r>
    <x v="0"/>
    <x v="4"/>
    <x v="13"/>
    <x v="30"/>
    <x v="0"/>
    <x v="0"/>
    <n v="34.906961031000002"/>
  </r>
  <r>
    <x v="0"/>
    <x v="4"/>
    <x v="14"/>
    <x v="30"/>
    <x v="0"/>
    <x v="0"/>
    <n v="0.88808415900000004"/>
  </r>
  <r>
    <x v="0"/>
    <x v="4"/>
    <x v="15"/>
    <x v="30"/>
    <x v="0"/>
    <x v="1"/>
    <n v="7.1520265999999999E-2"/>
  </r>
  <r>
    <x v="0"/>
    <x v="4"/>
    <x v="16"/>
    <x v="30"/>
    <x v="0"/>
    <x v="1"/>
    <n v="7.4837572000000005E-2"/>
  </r>
  <r>
    <x v="0"/>
    <x v="4"/>
    <x v="12"/>
    <x v="31"/>
    <x v="0"/>
    <x v="0"/>
    <n v="180.39435665799999"/>
  </r>
  <r>
    <x v="0"/>
    <x v="4"/>
    <x v="13"/>
    <x v="31"/>
    <x v="0"/>
    <x v="0"/>
    <n v="8.3376177560000002"/>
  </r>
  <r>
    <x v="0"/>
    <x v="4"/>
    <x v="14"/>
    <x v="31"/>
    <x v="0"/>
    <x v="0"/>
    <n v="6.218663555"/>
  </r>
  <r>
    <x v="0"/>
    <x v="4"/>
    <x v="15"/>
    <x v="31"/>
    <x v="0"/>
    <x v="1"/>
    <n v="3.7834349000000003E-2"/>
  </r>
  <r>
    <x v="0"/>
    <x v="4"/>
    <x v="16"/>
    <x v="31"/>
    <x v="0"/>
    <x v="1"/>
    <n v="3.7803361000000001E-2"/>
  </r>
  <r>
    <x v="0"/>
    <x v="4"/>
    <x v="12"/>
    <x v="32"/>
    <x v="0"/>
    <x v="0"/>
    <n v="615.28615208600002"/>
  </r>
  <r>
    <x v="0"/>
    <x v="4"/>
    <x v="13"/>
    <x v="32"/>
    <x v="0"/>
    <x v="0"/>
    <n v="4.5896338529999996"/>
  </r>
  <r>
    <x v="0"/>
    <x v="4"/>
    <x v="14"/>
    <x v="32"/>
    <x v="0"/>
    <x v="0"/>
    <n v="2.9040752959999998"/>
  </r>
  <r>
    <x v="0"/>
    <x v="4"/>
    <x v="15"/>
    <x v="32"/>
    <x v="0"/>
    <x v="1"/>
    <n v="3.7205182000000003E-2"/>
  </r>
  <r>
    <x v="0"/>
    <x v="4"/>
    <x v="16"/>
    <x v="32"/>
    <x v="0"/>
    <x v="1"/>
    <n v="3.7196188999999998E-2"/>
  </r>
  <r>
    <x v="0"/>
    <x v="4"/>
    <x v="12"/>
    <x v="33"/>
    <x v="0"/>
    <x v="0"/>
    <n v="624.65323224999997"/>
  </r>
  <r>
    <x v="0"/>
    <x v="4"/>
    <x v="13"/>
    <x v="33"/>
    <x v="0"/>
    <x v="0"/>
    <n v="0"/>
  </r>
  <r>
    <x v="0"/>
    <x v="4"/>
    <x v="14"/>
    <x v="33"/>
    <x v="0"/>
    <x v="0"/>
    <n v="0"/>
  </r>
  <r>
    <x v="0"/>
    <x v="4"/>
    <x v="15"/>
    <x v="33"/>
    <x v="0"/>
    <x v="1"/>
    <n v="2.3473883000000001E-2"/>
  </r>
  <r>
    <x v="0"/>
    <x v="4"/>
    <x v="16"/>
    <x v="33"/>
    <x v="0"/>
    <x v="1"/>
    <n v="2.3473883000000001E-2"/>
  </r>
  <r>
    <x v="0"/>
    <x v="4"/>
    <x v="12"/>
    <x v="34"/>
    <x v="0"/>
    <x v="0"/>
    <n v="274.09416210299997"/>
  </r>
  <r>
    <x v="0"/>
    <x v="4"/>
    <x v="13"/>
    <x v="34"/>
    <x v="0"/>
    <x v="0"/>
    <n v="57.495168184999997"/>
  </r>
  <r>
    <x v="0"/>
    <x v="4"/>
    <x v="14"/>
    <x v="34"/>
    <x v="0"/>
    <x v="0"/>
    <n v="14.340933864"/>
  </r>
  <r>
    <x v="0"/>
    <x v="4"/>
    <x v="15"/>
    <x v="34"/>
    <x v="0"/>
    <x v="1"/>
    <n v="4.9430065000000002E-2"/>
  </r>
  <r>
    <x v="0"/>
    <x v="4"/>
    <x v="16"/>
    <x v="34"/>
    <x v="0"/>
    <x v="1"/>
    <n v="5.0484068E-2"/>
  </r>
  <r>
    <x v="0"/>
    <x v="4"/>
    <x v="12"/>
    <x v="35"/>
    <x v="0"/>
    <x v="0"/>
    <n v="188.57525549600001"/>
  </r>
  <r>
    <x v="0"/>
    <x v="4"/>
    <x v="13"/>
    <x v="35"/>
    <x v="0"/>
    <x v="0"/>
    <n v="5.0693734189999997"/>
  </r>
  <r>
    <x v="0"/>
    <x v="4"/>
    <x v="14"/>
    <x v="35"/>
    <x v="0"/>
    <x v="0"/>
    <n v="8.2600663000000005E-2"/>
  </r>
  <r>
    <x v="0"/>
    <x v="4"/>
    <x v="15"/>
    <x v="35"/>
    <x v="0"/>
    <x v="1"/>
    <n v="5.3269601999999999E-2"/>
  </r>
  <r>
    <x v="0"/>
    <x v="4"/>
    <x v="16"/>
    <x v="35"/>
    <x v="0"/>
    <x v="1"/>
    <n v="5.3443072000000001E-2"/>
  </r>
  <r>
    <x v="0"/>
    <x v="4"/>
    <x v="12"/>
    <x v="36"/>
    <x v="0"/>
    <x v="0"/>
    <n v="49.710640957999999"/>
  </r>
  <r>
    <x v="0"/>
    <x v="4"/>
    <x v="13"/>
    <x v="36"/>
    <x v="0"/>
    <x v="0"/>
    <n v="9.032590549"/>
  </r>
  <r>
    <x v="0"/>
    <x v="4"/>
    <x v="14"/>
    <x v="36"/>
    <x v="0"/>
    <x v="0"/>
    <n v="0.31398099000000002"/>
  </r>
  <r>
    <x v="0"/>
    <x v="4"/>
    <x v="15"/>
    <x v="36"/>
    <x v="0"/>
    <x v="1"/>
    <n v="6.0294575000000003E-2"/>
  </r>
  <r>
    <x v="0"/>
    <x v="4"/>
    <x v="16"/>
    <x v="36"/>
    <x v="0"/>
    <x v="1"/>
    <n v="6.1858898000000002E-2"/>
  </r>
  <r>
    <x v="0"/>
    <x v="4"/>
    <x v="12"/>
    <x v="37"/>
    <x v="0"/>
    <x v="0"/>
    <n v="85.027428200000003"/>
  </r>
  <r>
    <x v="0"/>
    <x v="4"/>
    <x v="13"/>
    <x v="37"/>
    <x v="0"/>
    <x v="0"/>
    <n v="3.1663412900000001"/>
  </r>
  <r>
    <x v="0"/>
    <x v="4"/>
    <x v="14"/>
    <x v="37"/>
    <x v="0"/>
    <x v="0"/>
    <n v="0.244116954"/>
  </r>
  <r>
    <x v="0"/>
    <x v="4"/>
    <x v="15"/>
    <x v="37"/>
    <x v="0"/>
    <x v="1"/>
    <n v="6.5786747000000007E-2"/>
  </r>
  <r>
    <x v="0"/>
    <x v="4"/>
    <x v="16"/>
    <x v="37"/>
    <x v="0"/>
    <x v="1"/>
    <n v="6.6185503000000007E-2"/>
  </r>
  <r>
    <x v="0"/>
    <x v="4"/>
    <x v="12"/>
    <x v="38"/>
    <x v="0"/>
    <x v="0"/>
    <n v="157.34024794699999"/>
  </r>
  <r>
    <x v="0"/>
    <x v="4"/>
    <x v="13"/>
    <x v="38"/>
    <x v="0"/>
    <x v="0"/>
    <n v="8.713462539"/>
  </r>
  <r>
    <x v="0"/>
    <x v="4"/>
    <x v="14"/>
    <x v="38"/>
    <x v="0"/>
    <x v="0"/>
    <n v="6.7542055000000004E-2"/>
  </r>
  <r>
    <x v="0"/>
    <x v="4"/>
    <x v="15"/>
    <x v="38"/>
    <x v="0"/>
    <x v="1"/>
    <n v="9.5284773000000003E-2"/>
  </r>
  <r>
    <x v="0"/>
    <x v="4"/>
    <x v="16"/>
    <x v="38"/>
    <x v="0"/>
    <x v="1"/>
    <n v="9.6281984000000001E-2"/>
  </r>
  <r>
    <x v="0"/>
    <x v="4"/>
    <x v="12"/>
    <x v="39"/>
    <x v="0"/>
    <x v="0"/>
    <n v="86.348047722000004"/>
  </r>
  <r>
    <x v="0"/>
    <x v="4"/>
    <x v="13"/>
    <x v="39"/>
    <x v="0"/>
    <x v="0"/>
    <n v="3.5449234239999998"/>
  </r>
  <r>
    <x v="0"/>
    <x v="4"/>
    <x v="14"/>
    <x v="39"/>
    <x v="0"/>
    <x v="0"/>
    <n v="6.7812464000000003E-2"/>
  </r>
  <r>
    <x v="0"/>
    <x v="4"/>
    <x v="15"/>
    <x v="39"/>
    <x v="0"/>
    <x v="1"/>
    <n v="7.7760563000000005E-2"/>
  </r>
  <r>
    <x v="0"/>
    <x v="4"/>
    <x v="16"/>
    <x v="39"/>
    <x v="0"/>
    <x v="1"/>
    <n v="7.8267054000000003E-2"/>
  </r>
  <r>
    <x v="0"/>
    <x v="4"/>
    <x v="12"/>
    <x v="40"/>
    <x v="0"/>
    <x v="0"/>
    <n v="43.112223497999999"/>
  </r>
  <r>
    <x v="0"/>
    <x v="4"/>
    <x v="13"/>
    <x v="40"/>
    <x v="0"/>
    <x v="0"/>
    <n v="28.142011996000001"/>
  </r>
  <r>
    <x v="0"/>
    <x v="4"/>
    <x v="14"/>
    <x v="40"/>
    <x v="0"/>
    <x v="0"/>
    <n v="1.5674460800000001"/>
  </r>
  <r>
    <x v="0"/>
    <x v="4"/>
    <x v="15"/>
    <x v="40"/>
    <x v="0"/>
    <x v="1"/>
    <n v="5.4824924999999997E-2"/>
  </r>
  <r>
    <x v="0"/>
    <x v="4"/>
    <x v="16"/>
    <x v="40"/>
    <x v="0"/>
    <x v="1"/>
    <n v="5.9611086000000001E-2"/>
  </r>
  <r>
    <x v="0"/>
    <x v="4"/>
    <x v="12"/>
    <x v="41"/>
    <x v="0"/>
    <x v="0"/>
    <n v="338.97330383299999"/>
  </r>
  <r>
    <x v="0"/>
    <x v="4"/>
    <x v="13"/>
    <x v="41"/>
    <x v="0"/>
    <x v="0"/>
    <n v="7.0556701390000001"/>
  </r>
  <r>
    <x v="0"/>
    <x v="4"/>
    <x v="14"/>
    <x v="41"/>
    <x v="0"/>
    <x v="0"/>
    <n v="0.116235238"/>
  </r>
  <r>
    <x v="0"/>
    <x v="4"/>
    <x v="15"/>
    <x v="41"/>
    <x v="0"/>
    <x v="1"/>
    <n v="9.1626596000000005E-2"/>
  </r>
  <r>
    <x v="0"/>
    <x v="4"/>
    <x v="16"/>
    <x v="41"/>
    <x v="0"/>
    <x v="1"/>
    <n v="9.1957653E-2"/>
  </r>
  <r>
    <x v="0"/>
    <x v="4"/>
    <x v="17"/>
    <x v="0"/>
    <x v="46"/>
    <x v="1"/>
    <n v="66.607167605000001"/>
  </r>
  <r>
    <x v="0"/>
    <x v="4"/>
    <x v="17"/>
    <x v="0"/>
    <x v="47"/>
    <x v="1"/>
    <n v="66.607167605000001"/>
  </r>
  <r>
    <x v="0"/>
    <x v="4"/>
    <x v="17"/>
    <x v="0"/>
    <x v="48"/>
    <x v="1"/>
    <n v="66.607167605000001"/>
  </r>
  <r>
    <x v="0"/>
    <x v="4"/>
    <x v="17"/>
    <x v="0"/>
    <x v="49"/>
    <x v="1"/>
    <n v="0"/>
  </r>
  <r>
    <x v="0"/>
    <x v="4"/>
    <x v="17"/>
    <x v="0"/>
    <x v="50"/>
    <x v="1"/>
    <n v="0"/>
  </r>
  <r>
    <x v="0"/>
    <x v="4"/>
    <x v="17"/>
    <x v="0"/>
    <x v="51"/>
    <x v="1"/>
    <n v="0"/>
  </r>
  <r>
    <x v="0"/>
    <x v="4"/>
    <x v="17"/>
    <x v="0"/>
    <x v="52"/>
    <x v="1"/>
    <n v="0"/>
  </r>
  <r>
    <x v="0"/>
    <x v="4"/>
    <x v="17"/>
    <x v="0"/>
    <x v="53"/>
    <x v="1"/>
    <n v="0"/>
  </r>
  <r>
    <x v="0"/>
    <x v="4"/>
    <x v="17"/>
    <x v="0"/>
    <x v="54"/>
    <x v="1"/>
    <n v="0"/>
  </r>
  <r>
    <x v="0"/>
    <x v="4"/>
    <x v="17"/>
    <x v="0"/>
    <x v="55"/>
    <x v="1"/>
    <n v="0"/>
  </r>
  <r>
    <x v="0"/>
    <x v="4"/>
    <x v="17"/>
    <x v="1"/>
    <x v="46"/>
    <x v="1"/>
    <n v="12.063648559000001"/>
  </r>
  <r>
    <x v="0"/>
    <x v="4"/>
    <x v="17"/>
    <x v="1"/>
    <x v="47"/>
    <x v="1"/>
    <n v="12.063648559000001"/>
  </r>
  <r>
    <x v="0"/>
    <x v="4"/>
    <x v="17"/>
    <x v="1"/>
    <x v="48"/>
    <x v="1"/>
    <n v="12.063648559000001"/>
  </r>
  <r>
    <x v="0"/>
    <x v="4"/>
    <x v="17"/>
    <x v="1"/>
    <x v="49"/>
    <x v="1"/>
    <n v="0"/>
  </r>
  <r>
    <x v="0"/>
    <x v="4"/>
    <x v="17"/>
    <x v="1"/>
    <x v="50"/>
    <x v="1"/>
    <n v="0"/>
  </r>
  <r>
    <x v="0"/>
    <x v="4"/>
    <x v="17"/>
    <x v="1"/>
    <x v="51"/>
    <x v="1"/>
    <n v="0"/>
  </r>
  <r>
    <x v="0"/>
    <x v="4"/>
    <x v="17"/>
    <x v="1"/>
    <x v="52"/>
    <x v="1"/>
    <n v="0"/>
  </r>
  <r>
    <x v="0"/>
    <x v="4"/>
    <x v="17"/>
    <x v="1"/>
    <x v="53"/>
    <x v="1"/>
    <n v="0"/>
  </r>
  <r>
    <x v="0"/>
    <x v="4"/>
    <x v="17"/>
    <x v="1"/>
    <x v="54"/>
    <x v="1"/>
    <n v="0"/>
  </r>
  <r>
    <x v="0"/>
    <x v="4"/>
    <x v="17"/>
    <x v="1"/>
    <x v="55"/>
    <x v="1"/>
    <n v="0"/>
  </r>
  <r>
    <x v="0"/>
    <x v="4"/>
    <x v="17"/>
    <x v="2"/>
    <x v="46"/>
    <x v="1"/>
    <n v="8.6009965420000007"/>
  </r>
  <r>
    <x v="0"/>
    <x v="4"/>
    <x v="17"/>
    <x v="2"/>
    <x v="47"/>
    <x v="1"/>
    <n v="8.6009965420000007"/>
  </r>
  <r>
    <x v="0"/>
    <x v="4"/>
    <x v="17"/>
    <x v="2"/>
    <x v="48"/>
    <x v="1"/>
    <n v="8.6009965420000007"/>
  </r>
  <r>
    <x v="0"/>
    <x v="4"/>
    <x v="17"/>
    <x v="2"/>
    <x v="49"/>
    <x v="1"/>
    <n v="0"/>
  </r>
  <r>
    <x v="0"/>
    <x v="4"/>
    <x v="17"/>
    <x v="2"/>
    <x v="50"/>
    <x v="1"/>
    <n v="0"/>
  </r>
  <r>
    <x v="0"/>
    <x v="4"/>
    <x v="17"/>
    <x v="2"/>
    <x v="51"/>
    <x v="1"/>
    <n v="0"/>
  </r>
  <r>
    <x v="0"/>
    <x v="4"/>
    <x v="17"/>
    <x v="2"/>
    <x v="52"/>
    <x v="1"/>
    <n v="0"/>
  </r>
  <r>
    <x v="0"/>
    <x v="4"/>
    <x v="17"/>
    <x v="2"/>
    <x v="53"/>
    <x v="1"/>
    <n v="0"/>
  </r>
  <r>
    <x v="0"/>
    <x v="4"/>
    <x v="17"/>
    <x v="2"/>
    <x v="54"/>
    <x v="1"/>
    <n v="0"/>
  </r>
  <r>
    <x v="0"/>
    <x v="4"/>
    <x v="17"/>
    <x v="2"/>
    <x v="55"/>
    <x v="1"/>
    <n v="0"/>
  </r>
  <r>
    <x v="0"/>
    <x v="4"/>
    <x v="17"/>
    <x v="3"/>
    <x v="46"/>
    <x v="1"/>
    <n v="5.6209372899999996"/>
  </r>
  <r>
    <x v="0"/>
    <x v="4"/>
    <x v="17"/>
    <x v="3"/>
    <x v="47"/>
    <x v="1"/>
    <n v="5.6209372899999996"/>
  </r>
  <r>
    <x v="0"/>
    <x v="4"/>
    <x v="17"/>
    <x v="3"/>
    <x v="48"/>
    <x v="1"/>
    <n v="5.6209372899999996"/>
  </r>
  <r>
    <x v="0"/>
    <x v="4"/>
    <x v="17"/>
    <x v="3"/>
    <x v="49"/>
    <x v="1"/>
    <n v="0"/>
  </r>
  <r>
    <x v="0"/>
    <x v="4"/>
    <x v="17"/>
    <x v="3"/>
    <x v="50"/>
    <x v="1"/>
    <n v="0"/>
  </r>
  <r>
    <x v="0"/>
    <x v="4"/>
    <x v="17"/>
    <x v="3"/>
    <x v="51"/>
    <x v="1"/>
    <n v="0"/>
  </r>
  <r>
    <x v="0"/>
    <x v="4"/>
    <x v="17"/>
    <x v="3"/>
    <x v="52"/>
    <x v="1"/>
    <n v="0"/>
  </r>
  <r>
    <x v="0"/>
    <x v="4"/>
    <x v="17"/>
    <x v="3"/>
    <x v="53"/>
    <x v="1"/>
    <n v="0"/>
  </r>
  <r>
    <x v="0"/>
    <x v="4"/>
    <x v="17"/>
    <x v="3"/>
    <x v="54"/>
    <x v="1"/>
    <n v="0"/>
  </r>
  <r>
    <x v="0"/>
    <x v="4"/>
    <x v="17"/>
    <x v="3"/>
    <x v="55"/>
    <x v="1"/>
    <n v="0"/>
  </r>
  <r>
    <x v="0"/>
    <x v="4"/>
    <x v="17"/>
    <x v="4"/>
    <x v="46"/>
    <x v="1"/>
    <n v="2.910412832"/>
  </r>
  <r>
    <x v="0"/>
    <x v="4"/>
    <x v="17"/>
    <x v="4"/>
    <x v="47"/>
    <x v="1"/>
    <n v="2.910412832"/>
  </r>
  <r>
    <x v="0"/>
    <x v="4"/>
    <x v="17"/>
    <x v="4"/>
    <x v="48"/>
    <x v="1"/>
    <n v="2.910412832"/>
  </r>
  <r>
    <x v="0"/>
    <x v="4"/>
    <x v="17"/>
    <x v="4"/>
    <x v="49"/>
    <x v="1"/>
    <n v="0"/>
  </r>
  <r>
    <x v="0"/>
    <x v="4"/>
    <x v="17"/>
    <x v="4"/>
    <x v="50"/>
    <x v="1"/>
    <n v="0"/>
  </r>
  <r>
    <x v="0"/>
    <x v="4"/>
    <x v="17"/>
    <x v="4"/>
    <x v="51"/>
    <x v="1"/>
    <n v="0"/>
  </r>
  <r>
    <x v="0"/>
    <x v="4"/>
    <x v="17"/>
    <x v="4"/>
    <x v="52"/>
    <x v="1"/>
    <n v="0"/>
  </r>
  <r>
    <x v="0"/>
    <x v="4"/>
    <x v="17"/>
    <x v="4"/>
    <x v="53"/>
    <x v="1"/>
    <n v="0"/>
  </r>
  <r>
    <x v="0"/>
    <x v="4"/>
    <x v="17"/>
    <x v="4"/>
    <x v="54"/>
    <x v="1"/>
    <n v="0"/>
  </r>
  <r>
    <x v="0"/>
    <x v="4"/>
    <x v="17"/>
    <x v="4"/>
    <x v="55"/>
    <x v="1"/>
    <n v="0"/>
  </r>
  <r>
    <x v="0"/>
    <x v="4"/>
    <x v="17"/>
    <x v="5"/>
    <x v="46"/>
    <x v="1"/>
    <n v="39.35736928"/>
  </r>
  <r>
    <x v="0"/>
    <x v="4"/>
    <x v="17"/>
    <x v="5"/>
    <x v="47"/>
    <x v="1"/>
    <n v="39.35736928"/>
  </r>
  <r>
    <x v="0"/>
    <x v="4"/>
    <x v="17"/>
    <x v="5"/>
    <x v="48"/>
    <x v="1"/>
    <n v="39.35736928"/>
  </r>
  <r>
    <x v="0"/>
    <x v="4"/>
    <x v="17"/>
    <x v="5"/>
    <x v="49"/>
    <x v="1"/>
    <n v="0"/>
  </r>
  <r>
    <x v="0"/>
    <x v="4"/>
    <x v="17"/>
    <x v="5"/>
    <x v="50"/>
    <x v="1"/>
    <n v="0"/>
  </r>
  <r>
    <x v="0"/>
    <x v="4"/>
    <x v="17"/>
    <x v="5"/>
    <x v="51"/>
    <x v="1"/>
    <n v="0"/>
  </r>
  <r>
    <x v="0"/>
    <x v="4"/>
    <x v="17"/>
    <x v="5"/>
    <x v="52"/>
    <x v="1"/>
    <n v="0"/>
  </r>
  <r>
    <x v="0"/>
    <x v="4"/>
    <x v="17"/>
    <x v="5"/>
    <x v="53"/>
    <x v="1"/>
    <n v="0"/>
  </r>
  <r>
    <x v="0"/>
    <x v="4"/>
    <x v="17"/>
    <x v="5"/>
    <x v="54"/>
    <x v="1"/>
    <n v="0"/>
  </r>
  <r>
    <x v="0"/>
    <x v="4"/>
    <x v="17"/>
    <x v="5"/>
    <x v="55"/>
    <x v="1"/>
    <n v="0"/>
  </r>
  <r>
    <x v="0"/>
    <x v="4"/>
    <x v="17"/>
    <x v="6"/>
    <x v="46"/>
    <x v="1"/>
    <n v="11.042356514"/>
  </r>
  <r>
    <x v="0"/>
    <x v="4"/>
    <x v="17"/>
    <x v="6"/>
    <x v="47"/>
    <x v="1"/>
    <n v="11.042356514"/>
  </r>
  <r>
    <x v="0"/>
    <x v="4"/>
    <x v="17"/>
    <x v="6"/>
    <x v="48"/>
    <x v="1"/>
    <n v="11.042356514"/>
  </r>
  <r>
    <x v="0"/>
    <x v="4"/>
    <x v="17"/>
    <x v="6"/>
    <x v="49"/>
    <x v="1"/>
    <n v="0"/>
  </r>
  <r>
    <x v="0"/>
    <x v="4"/>
    <x v="17"/>
    <x v="6"/>
    <x v="50"/>
    <x v="1"/>
    <n v="0"/>
  </r>
  <r>
    <x v="0"/>
    <x v="4"/>
    <x v="17"/>
    <x v="6"/>
    <x v="51"/>
    <x v="1"/>
    <n v="0"/>
  </r>
  <r>
    <x v="0"/>
    <x v="4"/>
    <x v="17"/>
    <x v="6"/>
    <x v="52"/>
    <x v="1"/>
    <n v="0"/>
  </r>
  <r>
    <x v="0"/>
    <x v="4"/>
    <x v="17"/>
    <x v="6"/>
    <x v="53"/>
    <x v="1"/>
    <n v="0"/>
  </r>
  <r>
    <x v="0"/>
    <x v="4"/>
    <x v="17"/>
    <x v="6"/>
    <x v="54"/>
    <x v="1"/>
    <n v="0"/>
  </r>
  <r>
    <x v="0"/>
    <x v="4"/>
    <x v="17"/>
    <x v="6"/>
    <x v="55"/>
    <x v="1"/>
    <n v="0"/>
  </r>
  <r>
    <x v="0"/>
    <x v="4"/>
    <x v="17"/>
    <x v="7"/>
    <x v="46"/>
    <x v="1"/>
    <n v="7.4123165220000002"/>
  </r>
  <r>
    <x v="0"/>
    <x v="4"/>
    <x v="17"/>
    <x v="7"/>
    <x v="47"/>
    <x v="1"/>
    <n v="7.4123165220000002"/>
  </r>
  <r>
    <x v="0"/>
    <x v="4"/>
    <x v="17"/>
    <x v="7"/>
    <x v="48"/>
    <x v="1"/>
    <n v="7.4123165220000002"/>
  </r>
  <r>
    <x v="0"/>
    <x v="4"/>
    <x v="17"/>
    <x v="7"/>
    <x v="49"/>
    <x v="1"/>
    <n v="0"/>
  </r>
  <r>
    <x v="0"/>
    <x v="4"/>
    <x v="17"/>
    <x v="7"/>
    <x v="50"/>
    <x v="1"/>
    <n v="0"/>
  </r>
  <r>
    <x v="0"/>
    <x v="4"/>
    <x v="17"/>
    <x v="7"/>
    <x v="51"/>
    <x v="1"/>
    <n v="0"/>
  </r>
  <r>
    <x v="0"/>
    <x v="4"/>
    <x v="17"/>
    <x v="7"/>
    <x v="52"/>
    <x v="1"/>
    <n v="0"/>
  </r>
  <r>
    <x v="0"/>
    <x v="4"/>
    <x v="17"/>
    <x v="7"/>
    <x v="53"/>
    <x v="1"/>
    <n v="0"/>
  </r>
  <r>
    <x v="0"/>
    <x v="4"/>
    <x v="17"/>
    <x v="7"/>
    <x v="54"/>
    <x v="1"/>
    <n v="0"/>
  </r>
  <r>
    <x v="0"/>
    <x v="4"/>
    <x v="17"/>
    <x v="7"/>
    <x v="55"/>
    <x v="1"/>
    <n v="0"/>
  </r>
  <r>
    <x v="0"/>
    <x v="4"/>
    <x v="17"/>
    <x v="8"/>
    <x v="46"/>
    <x v="1"/>
    <n v="5.12884619"/>
  </r>
  <r>
    <x v="0"/>
    <x v="4"/>
    <x v="17"/>
    <x v="8"/>
    <x v="47"/>
    <x v="1"/>
    <n v="5.12884619"/>
  </r>
  <r>
    <x v="0"/>
    <x v="4"/>
    <x v="17"/>
    <x v="8"/>
    <x v="48"/>
    <x v="1"/>
    <n v="5.12884619"/>
  </r>
  <r>
    <x v="0"/>
    <x v="4"/>
    <x v="17"/>
    <x v="8"/>
    <x v="49"/>
    <x v="1"/>
    <n v="0"/>
  </r>
  <r>
    <x v="0"/>
    <x v="4"/>
    <x v="17"/>
    <x v="8"/>
    <x v="50"/>
    <x v="1"/>
    <n v="0"/>
  </r>
  <r>
    <x v="0"/>
    <x v="4"/>
    <x v="17"/>
    <x v="8"/>
    <x v="51"/>
    <x v="1"/>
    <n v="0"/>
  </r>
  <r>
    <x v="0"/>
    <x v="4"/>
    <x v="17"/>
    <x v="8"/>
    <x v="52"/>
    <x v="1"/>
    <n v="0"/>
  </r>
  <r>
    <x v="0"/>
    <x v="4"/>
    <x v="17"/>
    <x v="8"/>
    <x v="53"/>
    <x v="1"/>
    <n v="0"/>
  </r>
  <r>
    <x v="0"/>
    <x v="4"/>
    <x v="17"/>
    <x v="8"/>
    <x v="54"/>
    <x v="1"/>
    <n v="0"/>
  </r>
  <r>
    <x v="0"/>
    <x v="4"/>
    <x v="17"/>
    <x v="8"/>
    <x v="55"/>
    <x v="1"/>
    <n v="0"/>
  </r>
  <r>
    <x v="0"/>
    <x v="4"/>
    <x v="17"/>
    <x v="9"/>
    <x v="46"/>
    <x v="1"/>
    <n v="10.845503387000001"/>
  </r>
  <r>
    <x v="0"/>
    <x v="4"/>
    <x v="17"/>
    <x v="9"/>
    <x v="47"/>
    <x v="1"/>
    <n v="10.845503387000001"/>
  </r>
  <r>
    <x v="0"/>
    <x v="4"/>
    <x v="17"/>
    <x v="9"/>
    <x v="48"/>
    <x v="1"/>
    <n v="10.845503387000001"/>
  </r>
  <r>
    <x v="0"/>
    <x v="4"/>
    <x v="17"/>
    <x v="9"/>
    <x v="49"/>
    <x v="1"/>
    <n v="0"/>
  </r>
  <r>
    <x v="0"/>
    <x v="4"/>
    <x v="17"/>
    <x v="9"/>
    <x v="50"/>
    <x v="1"/>
    <n v="0"/>
  </r>
  <r>
    <x v="0"/>
    <x v="4"/>
    <x v="17"/>
    <x v="9"/>
    <x v="51"/>
    <x v="1"/>
    <n v="0"/>
  </r>
  <r>
    <x v="0"/>
    <x v="4"/>
    <x v="17"/>
    <x v="9"/>
    <x v="52"/>
    <x v="1"/>
    <n v="0"/>
  </r>
  <r>
    <x v="0"/>
    <x v="4"/>
    <x v="17"/>
    <x v="9"/>
    <x v="53"/>
    <x v="1"/>
    <n v="0"/>
  </r>
  <r>
    <x v="0"/>
    <x v="4"/>
    <x v="17"/>
    <x v="9"/>
    <x v="54"/>
    <x v="1"/>
    <n v="0"/>
  </r>
  <r>
    <x v="0"/>
    <x v="4"/>
    <x v="17"/>
    <x v="9"/>
    <x v="55"/>
    <x v="1"/>
    <n v="0"/>
  </r>
  <r>
    <x v="0"/>
    <x v="4"/>
    <x v="17"/>
    <x v="10"/>
    <x v="46"/>
    <x v="1"/>
    <n v="12.094785037999999"/>
  </r>
  <r>
    <x v="0"/>
    <x v="4"/>
    <x v="17"/>
    <x v="10"/>
    <x v="47"/>
    <x v="1"/>
    <n v="12.094785037999999"/>
  </r>
  <r>
    <x v="0"/>
    <x v="4"/>
    <x v="17"/>
    <x v="10"/>
    <x v="48"/>
    <x v="1"/>
    <n v="12.094785037999999"/>
  </r>
  <r>
    <x v="0"/>
    <x v="4"/>
    <x v="17"/>
    <x v="10"/>
    <x v="49"/>
    <x v="1"/>
    <n v="0"/>
  </r>
  <r>
    <x v="0"/>
    <x v="4"/>
    <x v="17"/>
    <x v="10"/>
    <x v="50"/>
    <x v="1"/>
    <n v="0"/>
  </r>
  <r>
    <x v="0"/>
    <x v="4"/>
    <x v="17"/>
    <x v="10"/>
    <x v="51"/>
    <x v="1"/>
    <n v="0"/>
  </r>
  <r>
    <x v="0"/>
    <x v="4"/>
    <x v="17"/>
    <x v="10"/>
    <x v="52"/>
    <x v="1"/>
    <n v="0"/>
  </r>
  <r>
    <x v="0"/>
    <x v="4"/>
    <x v="17"/>
    <x v="10"/>
    <x v="53"/>
    <x v="1"/>
    <n v="0"/>
  </r>
  <r>
    <x v="0"/>
    <x v="4"/>
    <x v="17"/>
    <x v="10"/>
    <x v="54"/>
    <x v="1"/>
    <n v="0"/>
  </r>
  <r>
    <x v="0"/>
    <x v="4"/>
    <x v="17"/>
    <x v="10"/>
    <x v="55"/>
    <x v="1"/>
    <n v="0"/>
  </r>
  <r>
    <x v="0"/>
    <x v="4"/>
    <x v="17"/>
    <x v="11"/>
    <x v="46"/>
    <x v="1"/>
    <n v="38.429597909999998"/>
  </r>
  <r>
    <x v="0"/>
    <x v="4"/>
    <x v="17"/>
    <x v="11"/>
    <x v="47"/>
    <x v="1"/>
    <n v="38.429597909999998"/>
  </r>
  <r>
    <x v="0"/>
    <x v="4"/>
    <x v="17"/>
    <x v="11"/>
    <x v="48"/>
    <x v="1"/>
    <n v="38.429597909999998"/>
  </r>
  <r>
    <x v="0"/>
    <x v="4"/>
    <x v="17"/>
    <x v="11"/>
    <x v="49"/>
    <x v="1"/>
    <n v="0"/>
  </r>
  <r>
    <x v="0"/>
    <x v="4"/>
    <x v="17"/>
    <x v="11"/>
    <x v="50"/>
    <x v="1"/>
    <n v="0"/>
  </r>
  <r>
    <x v="0"/>
    <x v="4"/>
    <x v="17"/>
    <x v="11"/>
    <x v="51"/>
    <x v="1"/>
    <n v="0"/>
  </r>
  <r>
    <x v="0"/>
    <x v="4"/>
    <x v="17"/>
    <x v="11"/>
    <x v="52"/>
    <x v="1"/>
    <n v="0"/>
  </r>
  <r>
    <x v="0"/>
    <x v="4"/>
    <x v="17"/>
    <x v="11"/>
    <x v="53"/>
    <x v="1"/>
    <n v="0"/>
  </r>
  <r>
    <x v="0"/>
    <x v="4"/>
    <x v="17"/>
    <x v="11"/>
    <x v="54"/>
    <x v="1"/>
    <n v="0"/>
  </r>
  <r>
    <x v="0"/>
    <x v="4"/>
    <x v="17"/>
    <x v="11"/>
    <x v="55"/>
    <x v="1"/>
    <n v="0"/>
  </r>
  <r>
    <x v="0"/>
    <x v="4"/>
    <x v="17"/>
    <x v="12"/>
    <x v="46"/>
    <x v="1"/>
    <n v="11.563786972000001"/>
  </r>
  <r>
    <x v="0"/>
    <x v="4"/>
    <x v="17"/>
    <x v="12"/>
    <x v="47"/>
    <x v="1"/>
    <n v="11.563786972000001"/>
  </r>
  <r>
    <x v="0"/>
    <x v="4"/>
    <x v="17"/>
    <x v="12"/>
    <x v="48"/>
    <x v="1"/>
    <n v="11.563786972000001"/>
  </r>
  <r>
    <x v="0"/>
    <x v="4"/>
    <x v="17"/>
    <x v="12"/>
    <x v="49"/>
    <x v="1"/>
    <n v="0"/>
  </r>
  <r>
    <x v="0"/>
    <x v="4"/>
    <x v="17"/>
    <x v="12"/>
    <x v="50"/>
    <x v="1"/>
    <n v="0"/>
  </r>
  <r>
    <x v="0"/>
    <x v="4"/>
    <x v="17"/>
    <x v="12"/>
    <x v="51"/>
    <x v="1"/>
    <n v="0"/>
  </r>
  <r>
    <x v="0"/>
    <x v="4"/>
    <x v="17"/>
    <x v="12"/>
    <x v="52"/>
    <x v="1"/>
    <n v="0"/>
  </r>
  <r>
    <x v="0"/>
    <x v="4"/>
    <x v="17"/>
    <x v="12"/>
    <x v="53"/>
    <x v="1"/>
    <n v="0"/>
  </r>
  <r>
    <x v="0"/>
    <x v="4"/>
    <x v="17"/>
    <x v="12"/>
    <x v="54"/>
    <x v="1"/>
    <n v="0"/>
  </r>
  <r>
    <x v="0"/>
    <x v="4"/>
    <x v="17"/>
    <x v="12"/>
    <x v="55"/>
    <x v="1"/>
    <n v="0"/>
  </r>
  <r>
    <x v="0"/>
    <x v="4"/>
    <x v="17"/>
    <x v="13"/>
    <x v="46"/>
    <x v="1"/>
    <n v="25.904556413000002"/>
  </r>
  <r>
    <x v="0"/>
    <x v="4"/>
    <x v="17"/>
    <x v="13"/>
    <x v="47"/>
    <x v="1"/>
    <n v="25.904556413000002"/>
  </r>
  <r>
    <x v="0"/>
    <x v="4"/>
    <x v="17"/>
    <x v="13"/>
    <x v="48"/>
    <x v="1"/>
    <n v="25.904556413000002"/>
  </r>
  <r>
    <x v="0"/>
    <x v="4"/>
    <x v="17"/>
    <x v="13"/>
    <x v="49"/>
    <x v="1"/>
    <n v="0"/>
  </r>
  <r>
    <x v="0"/>
    <x v="4"/>
    <x v="17"/>
    <x v="13"/>
    <x v="50"/>
    <x v="1"/>
    <n v="0"/>
  </r>
  <r>
    <x v="0"/>
    <x v="4"/>
    <x v="17"/>
    <x v="13"/>
    <x v="51"/>
    <x v="1"/>
    <n v="0"/>
  </r>
  <r>
    <x v="0"/>
    <x v="4"/>
    <x v="17"/>
    <x v="13"/>
    <x v="52"/>
    <x v="1"/>
    <n v="0"/>
  </r>
  <r>
    <x v="0"/>
    <x v="4"/>
    <x v="17"/>
    <x v="13"/>
    <x v="53"/>
    <x v="1"/>
    <n v="0"/>
  </r>
  <r>
    <x v="0"/>
    <x v="4"/>
    <x v="17"/>
    <x v="13"/>
    <x v="54"/>
    <x v="1"/>
    <n v="0"/>
  </r>
  <r>
    <x v="0"/>
    <x v="4"/>
    <x v="17"/>
    <x v="13"/>
    <x v="55"/>
    <x v="1"/>
    <n v="0"/>
  </r>
  <r>
    <x v="0"/>
    <x v="4"/>
    <x v="17"/>
    <x v="14"/>
    <x v="46"/>
    <x v="1"/>
    <n v="8.0167359230000006"/>
  </r>
  <r>
    <x v="0"/>
    <x v="4"/>
    <x v="17"/>
    <x v="14"/>
    <x v="47"/>
    <x v="1"/>
    <n v="8.0167359230000006"/>
  </r>
  <r>
    <x v="0"/>
    <x v="4"/>
    <x v="17"/>
    <x v="14"/>
    <x v="48"/>
    <x v="1"/>
    <n v="8.0167359230000006"/>
  </r>
  <r>
    <x v="0"/>
    <x v="4"/>
    <x v="17"/>
    <x v="14"/>
    <x v="49"/>
    <x v="1"/>
    <n v="0"/>
  </r>
  <r>
    <x v="0"/>
    <x v="4"/>
    <x v="17"/>
    <x v="14"/>
    <x v="50"/>
    <x v="1"/>
    <n v="0"/>
  </r>
  <r>
    <x v="0"/>
    <x v="4"/>
    <x v="17"/>
    <x v="14"/>
    <x v="51"/>
    <x v="1"/>
    <n v="0"/>
  </r>
  <r>
    <x v="0"/>
    <x v="4"/>
    <x v="17"/>
    <x v="14"/>
    <x v="52"/>
    <x v="1"/>
    <n v="0"/>
  </r>
  <r>
    <x v="0"/>
    <x v="4"/>
    <x v="17"/>
    <x v="14"/>
    <x v="53"/>
    <x v="1"/>
    <n v="0"/>
  </r>
  <r>
    <x v="0"/>
    <x v="4"/>
    <x v="17"/>
    <x v="14"/>
    <x v="54"/>
    <x v="1"/>
    <n v="0"/>
  </r>
  <r>
    <x v="0"/>
    <x v="4"/>
    <x v="17"/>
    <x v="14"/>
    <x v="55"/>
    <x v="1"/>
    <n v="0"/>
  </r>
  <r>
    <x v="0"/>
    <x v="4"/>
    <x v="17"/>
    <x v="15"/>
    <x v="46"/>
    <x v="1"/>
    <n v="9.5191426319999994"/>
  </r>
  <r>
    <x v="0"/>
    <x v="4"/>
    <x v="17"/>
    <x v="15"/>
    <x v="47"/>
    <x v="1"/>
    <n v="9.5191426319999994"/>
  </r>
  <r>
    <x v="0"/>
    <x v="4"/>
    <x v="17"/>
    <x v="15"/>
    <x v="48"/>
    <x v="1"/>
    <n v="9.5191426319999994"/>
  </r>
  <r>
    <x v="0"/>
    <x v="4"/>
    <x v="17"/>
    <x v="15"/>
    <x v="49"/>
    <x v="1"/>
    <n v="0"/>
  </r>
  <r>
    <x v="0"/>
    <x v="4"/>
    <x v="17"/>
    <x v="15"/>
    <x v="50"/>
    <x v="1"/>
    <n v="0"/>
  </r>
  <r>
    <x v="0"/>
    <x v="4"/>
    <x v="17"/>
    <x v="15"/>
    <x v="51"/>
    <x v="1"/>
    <n v="0"/>
  </r>
  <r>
    <x v="0"/>
    <x v="4"/>
    <x v="17"/>
    <x v="15"/>
    <x v="52"/>
    <x v="1"/>
    <n v="0"/>
  </r>
  <r>
    <x v="0"/>
    <x v="4"/>
    <x v="17"/>
    <x v="15"/>
    <x v="53"/>
    <x v="1"/>
    <n v="0"/>
  </r>
  <r>
    <x v="0"/>
    <x v="4"/>
    <x v="17"/>
    <x v="15"/>
    <x v="54"/>
    <x v="1"/>
    <n v="0"/>
  </r>
  <r>
    <x v="0"/>
    <x v="4"/>
    <x v="17"/>
    <x v="15"/>
    <x v="55"/>
    <x v="1"/>
    <n v="0"/>
  </r>
  <r>
    <x v="0"/>
    <x v="4"/>
    <x v="17"/>
    <x v="16"/>
    <x v="46"/>
    <x v="1"/>
    <n v="6.1855443020000003"/>
  </r>
  <r>
    <x v="0"/>
    <x v="4"/>
    <x v="17"/>
    <x v="16"/>
    <x v="47"/>
    <x v="1"/>
    <n v="6.1855443020000003"/>
  </r>
  <r>
    <x v="0"/>
    <x v="4"/>
    <x v="17"/>
    <x v="16"/>
    <x v="48"/>
    <x v="1"/>
    <n v="6.1855443020000003"/>
  </r>
  <r>
    <x v="0"/>
    <x v="4"/>
    <x v="17"/>
    <x v="16"/>
    <x v="49"/>
    <x v="1"/>
    <n v="0"/>
  </r>
  <r>
    <x v="0"/>
    <x v="4"/>
    <x v="17"/>
    <x v="16"/>
    <x v="50"/>
    <x v="1"/>
    <n v="0"/>
  </r>
  <r>
    <x v="0"/>
    <x v="4"/>
    <x v="17"/>
    <x v="16"/>
    <x v="51"/>
    <x v="1"/>
    <n v="0"/>
  </r>
  <r>
    <x v="0"/>
    <x v="4"/>
    <x v="17"/>
    <x v="16"/>
    <x v="52"/>
    <x v="1"/>
    <n v="0"/>
  </r>
  <r>
    <x v="0"/>
    <x v="4"/>
    <x v="17"/>
    <x v="16"/>
    <x v="53"/>
    <x v="1"/>
    <n v="0"/>
  </r>
  <r>
    <x v="0"/>
    <x v="4"/>
    <x v="17"/>
    <x v="16"/>
    <x v="54"/>
    <x v="1"/>
    <n v="0"/>
  </r>
  <r>
    <x v="0"/>
    <x v="4"/>
    <x v="17"/>
    <x v="16"/>
    <x v="55"/>
    <x v="1"/>
    <n v="0"/>
  </r>
  <r>
    <x v="0"/>
    <x v="4"/>
    <x v="17"/>
    <x v="17"/>
    <x v="46"/>
    <x v="1"/>
    <n v="14.508575972999999"/>
  </r>
  <r>
    <x v="0"/>
    <x v="4"/>
    <x v="17"/>
    <x v="17"/>
    <x v="47"/>
    <x v="1"/>
    <n v="14.508575972999999"/>
  </r>
  <r>
    <x v="0"/>
    <x v="4"/>
    <x v="17"/>
    <x v="17"/>
    <x v="48"/>
    <x v="1"/>
    <n v="14.508575972999999"/>
  </r>
  <r>
    <x v="0"/>
    <x v="4"/>
    <x v="17"/>
    <x v="17"/>
    <x v="49"/>
    <x v="1"/>
    <n v="0"/>
  </r>
  <r>
    <x v="0"/>
    <x v="4"/>
    <x v="17"/>
    <x v="17"/>
    <x v="50"/>
    <x v="1"/>
    <n v="0"/>
  </r>
  <r>
    <x v="0"/>
    <x v="4"/>
    <x v="17"/>
    <x v="17"/>
    <x v="51"/>
    <x v="1"/>
    <n v="0"/>
  </r>
  <r>
    <x v="0"/>
    <x v="4"/>
    <x v="17"/>
    <x v="17"/>
    <x v="52"/>
    <x v="1"/>
    <n v="0"/>
  </r>
  <r>
    <x v="0"/>
    <x v="4"/>
    <x v="17"/>
    <x v="17"/>
    <x v="53"/>
    <x v="1"/>
    <n v="0"/>
  </r>
  <r>
    <x v="0"/>
    <x v="4"/>
    <x v="17"/>
    <x v="17"/>
    <x v="54"/>
    <x v="1"/>
    <n v="0"/>
  </r>
  <r>
    <x v="0"/>
    <x v="4"/>
    <x v="17"/>
    <x v="17"/>
    <x v="55"/>
    <x v="1"/>
    <n v="0"/>
  </r>
  <r>
    <x v="0"/>
    <x v="4"/>
    <x v="17"/>
    <x v="18"/>
    <x v="46"/>
    <x v="1"/>
    <n v="11.387384922000001"/>
  </r>
  <r>
    <x v="0"/>
    <x v="4"/>
    <x v="17"/>
    <x v="18"/>
    <x v="47"/>
    <x v="1"/>
    <n v="11.387384922000001"/>
  </r>
  <r>
    <x v="0"/>
    <x v="4"/>
    <x v="17"/>
    <x v="18"/>
    <x v="48"/>
    <x v="1"/>
    <n v="11.387384922000001"/>
  </r>
  <r>
    <x v="0"/>
    <x v="4"/>
    <x v="17"/>
    <x v="18"/>
    <x v="49"/>
    <x v="1"/>
    <n v="0"/>
  </r>
  <r>
    <x v="0"/>
    <x v="4"/>
    <x v="17"/>
    <x v="18"/>
    <x v="50"/>
    <x v="1"/>
    <n v="0"/>
  </r>
  <r>
    <x v="0"/>
    <x v="4"/>
    <x v="17"/>
    <x v="18"/>
    <x v="51"/>
    <x v="1"/>
    <n v="0"/>
  </r>
  <r>
    <x v="0"/>
    <x v="4"/>
    <x v="17"/>
    <x v="18"/>
    <x v="52"/>
    <x v="1"/>
    <n v="0"/>
  </r>
  <r>
    <x v="0"/>
    <x v="4"/>
    <x v="17"/>
    <x v="18"/>
    <x v="53"/>
    <x v="1"/>
    <n v="0"/>
  </r>
  <r>
    <x v="0"/>
    <x v="4"/>
    <x v="17"/>
    <x v="18"/>
    <x v="54"/>
    <x v="1"/>
    <n v="0"/>
  </r>
  <r>
    <x v="0"/>
    <x v="4"/>
    <x v="17"/>
    <x v="18"/>
    <x v="55"/>
    <x v="1"/>
    <n v="0"/>
  </r>
  <r>
    <x v="0"/>
    <x v="4"/>
    <x v="17"/>
    <x v="19"/>
    <x v="46"/>
    <x v="1"/>
    <n v="14.440341258"/>
  </r>
  <r>
    <x v="0"/>
    <x v="4"/>
    <x v="17"/>
    <x v="19"/>
    <x v="47"/>
    <x v="1"/>
    <n v="14.440341258"/>
  </r>
  <r>
    <x v="0"/>
    <x v="4"/>
    <x v="17"/>
    <x v="19"/>
    <x v="48"/>
    <x v="1"/>
    <n v="14.440341258"/>
  </r>
  <r>
    <x v="0"/>
    <x v="4"/>
    <x v="17"/>
    <x v="19"/>
    <x v="49"/>
    <x v="1"/>
    <n v="0"/>
  </r>
  <r>
    <x v="0"/>
    <x v="4"/>
    <x v="17"/>
    <x v="19"/>
    <x v="50"/>
    <x v="1"/>
    <n v="0"/>
  </r>
  <r>
    <x v="0"/>
    <x v="4"/>
    <x v="17"/>
    <x v="19"/>
    <x v="51"/>
    <x v="1"/>
    <n v="0"/>
  </r>
  <r>
    <x v="0"/>
    <x v="4"/>
    <x v="17"/>
    <x v="19"/>
    <x v="52"/>
    <x v="1"/>
    <n v="0"/>
  </r>
  <r>
    <x v="0"/>
    <x v="4"/>
    <x v="17"/>
    <x v="19"/>
    <x v="53"/>
    <x v="1"/>
    <n v="0"/>
  </r>
  <r>
    <x v="0"/>
    <x v="4"/>
    <x v="17"/>
    <x v="19"/>
    <x v="54"/>
    <x v="1"/>
    <n v="0"/>
  </r>
  <r>
    <x v="0"/>
    <x v="4"/>
    <x v="17"/>
    <x v="19"/>
    <x v="55"/>
    <x v="1"/>
    <n v="0"/>
  </r>
  <r>
    <x v="0"/>
    <x v="4"/>
    <x v="17"/>
    <x v="20"/>
    <x v="46"/>
    <x v="1"/>
    <n v="1.707402842"/>
  </r>
  <r>
    <x v="0"/>
    <x v="4"/>
    <x v="17"/>
    <x v="20"/>
    <x v="47"/>
    <x v="1"/>
    <n v="1.707402842"/>
  </r>
  <r>
    <x v="0"/>
    <x v="4"/>
    <x v="17"/>
    <x v="20"/>
    <x v="48"/>
    <x v="1"/>
    <n v="1.707402842"/>
  </r>
  <r>
    <x v="0"/>
    <x v="4"/>
    <x v="17"/>
    <x v="20"/>
    <x v="49"/>
    <x v="1"/>
    <n v="0"/>
  </r>
  <r>
    <x v="0"/>
    <x v="4"/>
    <x v="17"/>
    <x v="20"/>
    <x v="50"/>
    <x v="1"/>
    <n v="0"/>
  </r>
  <r>
    <x v="0"/>
    <x v="4"/>
    <x v="17"/>
    <x v="20"/>
    <x v="51"/>
    <x v="1"/>
    <n v="0"/>
  </r>
  <r>
    <x v="0"/>
    <x v="4"/>
    <x v="17"/>
    <x v="20"/>
    <x v="52"/>
    <x v="1"/>
    <n v="0"/>
  </r>
  <r>
    <x v="0"/>
    <x v="4"/>
    <x v="17"/>
    <x v="20"/>
    <x v="53"/>
    <x v="1"/>
    <n v="0"/>
  </r>
  <r>
    <x v="0"/>
    <x v="4"/>
    <x v="17"/>
    <x v="20"/>
    <x v="54"/>
    <x v="1"/>
    <n v="0"/>
  </r>
  <r>
    <x v="0"/>
    <x v="4"/>
    <x v="17"/>
    <x v="20"/>
    <x v="55"/>
    <x v="1"/>
    <n v="0"/>
  </r>
  <r>
    <x v="0"/>
    <x v="4"/>
    <x v="17"/>
    <x v="21"/>
    <x v="46"/>
    <x v="1"/>
    <n v="0.85225485300000003"/>
  </r>
  <r>
    <x v="0"/>
    <x v="4"/>
    <x v="17"/>
    <x v="21"/>
    <x v="47"/>
    <x v="1"/>
    <n v="0.85225485300000003"/>
  </r>
  <r>
    <x v="0"/>
    <x v="4"/>
    <x v="17"/>
    <x v="21"/>
    <x v="48"/>
    <x v="1"/>
    <n v="0.85225485300000003"/>
  </r>
  <r>
    <x v="0"/>
    <x v="4"/>
    <x v="17"/>
    <x v="21"/>
    <x v="49"/>
    <x v="1"/>
    <n v="0"/>
  </r>
  <r>
    <x v="0"/>
    <x v="4"/>
    <x v="17"/>
    <x v="21"/>
    <x v="50"/>
    <x v="1"/>
    <n v="0"/>
  </r>
  <r>
    <x v="0"/>
    <x v="4"/>
    <x v="17"/>
    <x v="21"/>
    <x v="51"/>
    <x v="1"/>
    <n v="0"/>
  </r>
  <r>
    <x v="0"/>
    <x v="4"/>
    <x v="17"/>
    <x v="21"/>
    <x v="52"/>
    <x v="1"/>
    <n v="0"/>
  </r>
  <r>
    <x v="0"/>
    <x v="4"/>
    <x v="17"/>
    <x v="21"/>
    <x v="53"/>
    <x v="1"/>
    <n v="0"/>
  </r>
  <r>
    <x v="0"/>
    <x v="4"/>
    <x v="17"/>
    <x v="21"/>
    <x v="54"/>
    <x v="1"/>
    <n v="0"/>
  </r>
  <r>
    <x v="0"/>
    <x v="4"/>
    <x v="17"/>
    <x v="21"/>
    <x v="55"/>
    <x v="1"/>
    <n v="0"/>
  </r>
  <r>
    <x v="0"/>
    <x v="4"/>
    <x v="17"/>
    <x v="22"/>
    <x v="46"/>
    <x v="1"/>
    <n v="0.84372311"/>
  </r>
  <r>
    <x v="0"/>
    <x v="4"/>
    <x v="17"/>
    <x v="22"/>
    <x v="47"/>
    <x v="1"/>
    <n v="0.84372311"/>
  </r>
  <r>
    <x v="0"/>
    <x v="4"/>
    <x v="17"/>
    <x v="22"/>
    <x v="48"/>
    <x v="1"/>
    <n v="0.84372311"/>
  </r>
  <r>
    <x v="0"/>
    <x v="4"/>
    <x v="17"/>
    <x v="22"/>
    <x v="49"/>
    <x v="1"/>
    <n v="0"/>
  </r>
  <r>
    <x v="0"/>
    <x v="4"/>
    <x v="17"/>
    <x v="22"/>
    <x v="50"/>
    <x v="1"/>
    <n v="0"/>
  </r>
  <r>
    <x v="0"/>
    <x v="4"/>
    <x v="17"/>
    <x v="22"/>
    <x v="51"/>
    <x v="1"/>
    <n v="0"/>
  </r>
  <r>
    <x v="0"/>
    <x v="4"/>
    <x v="17"/>
    <x v="22"/>
    <x v="52"/>
    <x v="1"/>
    <n v="0"/>
  </r>
  <r>
    <x v="0"/>
    <x v="4"/>
    <x v="17"/>
    <x v="22"/>
    <x v="53"/>
    <x v="1"/>
    <n v="0"/>
  </r>
  <r>
    <x v="0"/>
    <x v="4"/>
    <x v="17"/>
    <x v="22"/>
    <x v="54"/>
    <x v="1"/>
    <n v="0"/>
  </r>
  <r>
    <x v="0"/>
    <x v="4"/>
    <x v="17"/>
    <x v="22"/>
    <x v="55"/>
    <x v="1"/>
    <n v="0"/>
  </r>
  <r>
    <x v="0"/>
    <x v="4"/>
    <x v="17"/>
    <x v="23"/>
    <x v="46"/>
    <x v="1"/>
    <n v="0.37831390799999998"/>
  </r>
  <r>
    <x v="0"/>
    <x v="4"/>
    <x v="17"/>
    <x v="23"/>
    <x v="47"/>
    <x v="1"/>
    <n v="0.37831390799999998"/>
  </r>
  <r>
    <x v="0"/>
    <x v="4"/>
    <x v="17"/>
    <x v="23"/>
    <x v="48"/>
    <x v="1"/>
    <n v="0.37831390799999998"/>
  </r>
  <r>
    <x v="0"/>
    <x v="4"/>
    <x v="17"/>
    <x v="23"/>
    <x v="49"/>
    <x v="1"/>
    <n v="0"/>
  </r>
  <r>
    <x v="0"/>
    <x v="4"/>
    <x v="17"/>
    <x v="23"/>
    <x v="50"/>
    <x v="1"/>
    <n v="0"/>
  </r>
  <r>
    <x v="0"/>
    <x v="4"/>
    <x v="17"/>
    <x v="23"/>
    <x v="51"/>
    <x v="1"/>
    <n v="0"/>
  </r>
  <r>
    <x v="0"/>
    <x v="4"/>
    <x v="17"/>
    <x v="23"/>
    <x v="52"/>
    <x v="1"/>
    <n v="0"/>
  </r>
  <r>
    <x v="0"/>
    <x v="4"/>
    <x v="17"/>
    <x v="23"/>
    <x v="53"/>
    <x v="1"/>
    <n v="0"/>
  </r>
  <r>
    <x v="0"/>
    <x v="4"/>
    <x v="17"/>
    <x v="23"/>
    <x v="54"/>
    <x v="1"/>
    <n v="0"/>
  </r>
  <r>
    <x v="0"/>
    <x v="4"/>
    <x v="17"/>
    <x v="23"/>
    <x v="55"/>
    <x v="1"/>
    <n v="0"/>
  </r>
  <r>
    <x v="0"/>
    <x v="4"/>
    <x v="17"/>
    <x v="24"/>
    <x v="46"/>
    <x v="1"/>
    <n v="15.767107856000001"/>
  </r>
  <r>
    <x v="0"/>
    <x v="4"/>
    <x v="17"/>
    <x v="24"/>
    <x v="47"/>
    <x v="1"/>
    <n v="15.767107856000001"/>
  </r>
  <r>
    <x v="0"/>
    <x v="4"/>
    <x v="17"/>
    <x v="24"/>
    <x v="48"/>
    <x v="1"/>
    <n v="15.767107856000001"/>
  </r>
  <r>
    <x v="0"/>
    <x v="4"/>
    <x v="17"/>
    <x v="24"/>
    <x v="49"/>
    <x v="1"/>
    <n v="0"/>
  </r>
  <r>
    <x v="0"/>
    <x v="4"/>
    <x v="17"/>
    <x v="24"/>
    <x v="50"/>
    <x v="1"/>
    <n v="0"/>
  </r>
  <r>
    <x v="0"/>
    <x v="4"/>
    <x v="17"/>
    <x v="24"/>
    <x v="51"/>
    <x v="1"/>
    <n v="0"/>
  </r>
  <r>
    <x v="0"/>
    <x v="4"/>
    <x v="17"/>
    <x v="24"/>
    <x v="52"/>
    <x v="1"/>
    <n v="0"/>
  </r>
  <r>
    <x v="0"/>
    <x v="4"/>
    <x v="17"/>
    <x v="24"/>
    <x v="53"/>
    <x v="1"/>
    <n v="0"/>
  </r>
  <r>
    <x v="0"/>
    <x v="4"/>
    <x v="17"/>
    <x v="24"/>
    <x v="54"/>
    <x v="1"/>
    <n v="0"/>
  </r>
  <r>
    <x v="0"/>
    <x v="4"/>
    <x v="17"/>
    <x v="24"/>
    <x v="55"/>
    <x v="1"/>
    <n v="0"/>
  </r>
  <r>
    <x v="0"/>
    <x v="4"/>
    <x v="17"/>
    <x v="25"/>
    <x v="46"/>
    <x v="1"/>
    <n v="0.86638914099999997"/>
  </r>
  <r>
    <x v="0"/>
    <x v="4"/>
    <x v="17"/>
    <x v="25"/>
    <x v="47"/>
    <x v="1"/>
    <n v="0.86638914099999997"/>
  </r>
  <r>
    <x v="0"/>
    <x v="4"/>
    <x v="17"/>
    <x v="25"/>
    <x v="48"/>
    <x v="1"/>
    <n v="0.86638914099999997"/>
  </r>
  <r>
    <x v="0"/>
    <x v="4"/>
    <x v="17"/>
    <x v="25"/>
    <x v="49"/>
    <x v="1"/>
    <n v="0"/>
  </r>
  <r>
    <x v="0"/>
    <x v="4"/>
    <x v="17"/>
    <x v="25"/>
    <x v="50"/>
    <x v="1"/>
    <n v="0"/>
  </r>
  <r>
    <x v="0"/>
    <x v="4"/>
    <x v="17"/>
    <x v="25"/>
    <x v="51"/>
    <x v="1"/>
    <n v="0"/>
  </r>
  <r>
    <x v="0"/>
    <x v="4"/>
    <x v="17"/>
    <x v="25"/>
    <x v="52"/>
    <x v="1"/>
    <n v="0"/>
  </r>
  <r>
    <x v="0"/>
    <x v="4"/>
    <x v="17"/>
    <x v="25"/>
    <x v="53"/>
    <x v="1"/>
    <n v="0"/>
  </r>
  <r>
    <x v="0"/>
    <x v="4"/>
    <x v="17"/>
    <x v="25"/>
    <x v="54"/>
    <x v="1"/>
    <n v="0"/>
  </r>
  <r>
    <x v="0"/>
    <x v="4"/>
    <x v="17"/>
    <x v="25"/>
    <x v="55"/>
    <x v="1"/>
    <n v="0"/>
  </r>
  <r>
    <x v="0"/>
    <x v="4"/>
    <x v="17"/>
    <x v="26"/>
    <x v="46"/>
    <x v="1"/>
    <n v="0.54868769699999997"/>
  </r>
  <r>
    <x v="0"/>
    <x v="4"/>
    <x v="17"/>
    <x v="26"/>
    <x v="47"/>
    <x v="1"/>
    <n v="0.54868769699999997"/>
  </r>
  <r>
    <x v="0"/>
    <x v="4"/>
    <x v="17"/>
    <x v="26"/>
    <x v="48"/>
    <x v="1"/>
    <n v="0.54868769699999997"/>
  </r>
  <r>
    <x v="0"/>
    <x v="4"/>
    <x v="17"/>
    <x v="26"/>
    <x v="49"/>
    <x v="1"/>
    <n v="0"/>
  </r>
  <r>
    <x v="0"/>
    <x v="4"/>
    <x v="17"/>
    <x v="26"/>
    <x v="50"/>
    <x v="1"/>
    <n v="0"/>
  </r>
  <r>
    <x v="0"/>
    <x v="4"/>
    <x v="17"/>
    <x v="26"/>
    <x v="51"/>
    <x v="1"/>
    <n v="0"/>
  </r>
  <r>
    <x v="0"/>
    <x v="4"/>
    <x v="17"/>
    <x v="26"/>
    <x v="52"/>
    <x v="1"/>
    <n v="0"/>
  </r>
  <r>
    <x v="0"/>
    <x v="4"/>
    <x v="17"/>
    <x v="26"/>
    <x v="53"/>
    <x v="1"/>
    <n v="0"/>
  </r>
  <r>
    <x v="0"/>
    <x v="4"/>
    <x v="17"/>
    <x v="26"/>
    <x v="54"/>
    <x v="1"/>
    <n v="0"/>
  </r>
  <r>
    <x v="0"/>
    <x v="4"/>
    <x v="17"/>
    <x v="26"/>
    <x v="55"/>
    <x v="1"/>
    <n v="0"/>
  </r>
  <r>
    <x v="0"/>
    <x v="4"/>
    <x v="17"/>
    <x v="27"/>
    <x v="46"/>
    <x v="1"/>
    <n v="28.352624723999998"/>
  </r>
  <r>
    <x v="0"/>
    <x v="4"/>
    <x v="17"/>
    <x v="27"/>
    <x v="47"/>
    <x v="1"/>
    <n v="28.352624723999998"/>
  </r>
  <r>
    <x v="0"/>
    <x v="4"/>
    <x v="17"/>
    <x v="27"/>
    <x v="48"/>
    <x v="1"/>
    <n v="28.352624723999998"/>
  </r>
  <r>
    <x v="0"/>
    <x v="4"/>
    <x v="17"/>
    <x v="27"/>
    <x v="49"/>
    <x v="1"/>
    <n v="0"/>
  </r>
  <r>
    <x v="0"/>
    <x v="4"/>
    <x v="17"/>
    <x v="27"/>
    <x v="50"/>
    <x v="1"/>
    <n v="0"/>
  </r>
  <r>
    <x v="0"/>
    <x v="4"/>
    <x v="17"/>
    <x v="27"/>
    <x v="51"/>
    <x v="1"/>
    <n v="0"/>
  </r>
  <r>
    <x v="0"/>
    <x v="4"/>
    <x v="17"/>
    <x v="27"/>
    <x v="52"/>
    <x v="1"/>
    <n v="0"/>
  </r>
  <r>
    <x v="0"/>
    <x v="4"/>
    <x v="17"/>
    <x v="27"/>
    <x v="53"/>
    <x v="1"/>
    <n v="0"/>
  </r>
  <r>
    <x v="0"/>
    <x v="4"/>
    <x v="17"/>
    <x v="27"/>
    <x v="54"/>
    <x v="1"/>
    <n v="0"/>
  </r>
  <r>
    <x v="0"/>
    <x v="4"/>
    <x v="17"/>
    <x v="27"/>
    <x v="55"/>
    <x v="1"/>
    <n v="0"/>
  </r>
  <r>
    <x v="0"/>
    <x v="4"/>
    <x v="17"/>
    <x v="28"/>
    <x v="46"/>
    <x v="1"/>
    <n v="25.112332649999999"/>
  </r>
  <r>
    <x v="0"/>
    <x v="4"/>
    <x v="17"/>
    <x v="28"/>
    <x v="47"/>
    <x v="1"/>
    <n v="25.112332649999999"/>
  </r>
  <r>
    <x v="0"/>
    <x v="4"/>
    <x v="17"/>
    <x v="28"/>
    <x v="48"/>
    <x v="1"/>
    <n v="25.112332649999999"/>
  </r>
  <r>
    <x v="0"/>
    <x v="4"/>
    <x v="17"/>
    <x v="28"/>
    <x v="49"/>
    <x v="1"/>
    <n v="0"/>
  </r>
  <r>
    <x v="0"/>
    <x v="4"/>
    <x v="17"/>
    <x v="28"/>
    <x v="50"/>
    <x v="1"/>
    <n v="0"/>
  </r>
  <r>
    <x v="0"/>
    <x v="4"/>
    <x v="17"/>
    <x v="28"/>
    <x v="51"/>
    <x v="1"/>
    <n v="0"/>
  </r>
  <r>
    <x v="0"/>
    <x v="4"/>
    <x v="17"/>
    <x v="28"/>
    <x v="52"/>
    <x v="1"/>
    <n v="0"/>
  </r>
  <r>
    <x v="0"/>
    <x v="4"/>
    <x v="17"/>
    <x v="28"/>
    <x v="53"/>
    <x v="1"/>
    <n v="0"/>
  </r>
  <r>
    <x v="0"/>
    <x v="4"/>
    <x v="17"/>
    <x v="28"/>
    <x v="54"/>
    <x v="1"/>
    <n v="0"/>
  </r>
  <r>
    <x v="0"/>
    <x v="4"/>
    <x v="17"/>
    <x v="28"/>
    <x v="55"/>
    <x v="1"/>
    <n v="0"/>
  </r>
  <r>
    <x v="0"/>
    <x v="4"/>
    <x v="17"/>
    <x v="29"/>
    <x v="46"/>
    <x v="1"/>
    <n v="22.126289237000002"/>
  </r>
  <r>
    <x v="0"/>
    <x v="4"/>
    <x v="17"/>
    <x v="29"/>
    <x v="47"/>
    <x v="1"/>
    <n v="22.126289237000002"/>
  </r>
  <r>
    <x v="0"/>
    <x v="4"/>
    <x v="17"/>
    <x v="29"/>
    <x v="48"/>
    <x v="1"/>
    <n v="22.126289237000002"/>
  </r>
  <r>
    <x v="0"/>
    <x v="4"/>
    <x v="17"/>
    <x v="29"/>
    <x v="49"/>
    <x v="1"/>
    <n v="0"/>
  </r>
  <r>
    <x v="0"/>
    <x v="4"/>
    <x v="17"/>
    <x v="29"/>
    <x v="50"/>
    <x v="1"/>
    <n v="0"/>
  </r>
  <r>
    <x v="0"/>
    <x v="4"/>
    <x v="17"/>
    <x v="29"/>
    <x v="51"/>
    <x v="1"/>
    <n v="0"/>
  </r>
  <r>
    <x v="0"/>
    <x v="4"/>
    <x v="17"/>
    <x v="29"/>
    <x v="52"/>
    <x v="1"/>
    <n v="0"/>
  </r>
  <r>
    <x v="0"/>
    <x v="4"/>
    <x v="17"/>
    <x v="29"/>
    <x v="53"/>
    <x v="1"/>
    <n v="0"/>
  </r>
  <r>
    <x v="0"/>
    <x v="4"/>
    <x v="17"/>
    <x v="29"/>
    <x v="54"/>
    <x v="1"/>
    <n v="0"/>
  </r>
  <r>
    <x v="0"/>
    <x v="4"/>
    <x v="17"/>
    <x v="29"/>
    <x v="55"/>
    <x v="1"/>
    <n v="0"/>
  </r>
  <r>
    <x v="0"/>
    <x v="4"/>
    <x v="17"/>
    <x v="30"/>
    <x v="46"/>
    <x v="1"/>
    <n v="8.5986403869999997"/>
  </r>
  <r>
    <x v="0"/>
    <x v="4"/>
    <x v="17"/>
    <x v="30"/>
    <x v="47"/>
    <x v="1"/>
    <n v="8.5986403869999997"/>
  </r>
  <r>
    <x v="0"/>
    <x v="4"/>
    <x v="17"/>
    <x v="30"/>
    <x v="48"/>
    <x v="1"/>
    <n v="8.5986403869999997"/>
  </r>
  <r>
    <x v="0"/>
    <x v="4"/>
    <x v="17"/>
    <x v="30"/>
    <x v="49"/>
    <x v="1"/>
    <n v="0"/>
  </r>
  <r>
    <x v="0"/>
    <x v="4"/>
    <x v="17"/>
    <x v="30"/>
    <x v="50"/>
    <x v="1"/>
    <n v="0"/>
  </r>
  <r>
    <x v="0"/>
    <x v="4"/>
    <x v="17"/>
    <x v="30"/>
    <x v="51"/>
    <x v="1"/>
    <n v="0"/>
  </r>
  <r>
    <x v="0"/>
    <x v="4"/>
    <x v="17"/>
    <x v="30"/>
    <x v="52"/>
    <x v="1"/>
    <n v="0"/>
  </r>
  <r>
    <x v="0"/>
    <x v="4"/>
    <x v="17"/>
    <x v="30"/>
    <x v="53"/>
    <x v="1"/>
    <n v="0"/>
  </r>
  <r>
    <x v="0"/>
    <x v="4"/>
    <x v="17"/>
    <x v="30"/>
    <x v="54"/>
    <x v="1"/>
    <n v="0"/>
  </r>
  <r>
    <x v="0"/>
    <x v="4"/>
    <x v="17"/>
    <x v="30"/>
    <x v="55"/>
    <x v="1"/>
    <n v="0"/>
  </r>
  <r>
    <x v="0"/>
    <x v="4"/>
    <x v="17"/>
    <x v="31"/>
    <x v="46"/>
    <x v="1"/>
    <n v="7.0656294910000002"/>
  </r>
  <r>
    <x v="0"/>
    <x v="4"/>
    <x v="17"/>
    <x v="31"/>
    <x v="47"/>
    <x v="1"/>
    <n v="7.0656294910000002"/>
  </r>
  <r>
    <x v="0"/>
    <x v="4"/>
    <x v="17"/>
    <x v="31"/>
    <x v="48"/>
    <x v="1"/>
    <n v="7.0656294910000002"/>
  </r>
  <r>
    <x v="0"/>
    <x v="4"/>
    <x v="17"/>
    <x v="31"/>
    <x v="49"/>
    <x v="1"/>
    <n v="0"/>
  </r>
  <r>
    <x v="0"/>
    <x v="4"/>
    <x v="17"/>
    <x v="31"/>
    <x v="50"/>
    <x v="1"/>
    <n v="0"/>
  </r>
  <r>
    <x v="0"/>
    <x v="4"/>
    <x v="17"/>
    <x v="31"/>
    <x v="51"/>
    <x v="1"/>
    <n v="0"/>
  </r>
  <r>
    <x v="0"/>
    <x v="4"/>
    <x v="17"/>
    <x v="31"/>
    <x v="52"/>
    <x v="1"/>
    <n v="0"/>
  </r>
  <r>
    <x v="0"/>
    <x v="4"/>
    <x v="17"/>
    <x v="31"/>
    <x v="53"/>
    <x v="1"/>
    <n v="0"/>
  </r>
  <r>
    <x v="0"/>
    <x v="4"/>
    <x v="17"/>
    <x v="31"/>
    <x v="54"/>
    <x v="1"/>
    <n v="0"/>
  </r>
  <r>
    <x v="0"/>
    <x v="4"/>
    <x v="17"/>
    <x v="31"/>
    <x v="55"/>
    <x v="1"/>
    <n v="0"/>
  </r>
  <r>
    <x v="0"/>
    <x v="4"/>
    <x v="17"/>
    <x v="32"/>
    <x v="46"/>
    <x v="1"/>
    <n v="22.999781476999999"/>
  </r>
  <r>
    <x v="0"/>
    <x v="4"/>
    <x v="17"/>
    <x v="32"/>
    <x v="47"/>
    <x v="1"/>
    <n v="22.999781476999999"/>
  </r>
  <r>
    <x v="0"/>
    <x v="4"/>
    <x v="17"/>
    <x v="32"/>
    <x v="48"/>
    <x v="1"/>
    <n v="22.999781476999999"/>
  </r>
  <r>
    <x v="0"/>
    <x v="4"/>
    <x v="17"/>
    <x v="32"/>
    <x v="49"/>
    <x v="1"/>
    <n v="0"/>
  </r>
  <r>
    <x v="0"/>
    <x v="4"/>
    <x v="17"/>
    <x v="32"/>
    <x v="50"/>
    <x v="1"/>
    <n v="0"/>
  </r>
  <r>
    <x v="0"/>
    <x v="4"/>
    <x v="17"/>
    <x v="32"/>
    <x v="51"/>
    <x v="1"/>
    <n v="0"/>
  </r>
  <r>
    <x v="0"/>
    <x v="4"/>
    <x v="17"/>
    <x v="32"/>
    <x v="52"/>
    <x v="1"/>
    <n v="0"/>
  </r>
  <r>
    <x v="0"/>
    <x v="4"/>
    <x v="17"/>
    <x v="32"/>
    <x v="53"/>
    <x v="1"/>
    <n v="0"/>
  </r>
  <r>
    <x v="0"/>
    <x v="4"/>
    <x v="17"/>
    <x v="32"/>
    <x v="54"/>
    <x v="1"/>
    <n v="0"/>
  </r>
  <r>
    <x v="0"/>
    <x v="4"/>
    <x v="17"/>
    <x v="32"/>
    <x v="55"/>
    <x v="1"/>
    <n v="0"/>
  </r>
  <r>
    <x v="0"/>
    <x v="4"/>
    <x v="17"/>
    <x v="33"/>
    <x v="46"/>
    <x v="1"/>
    <n v="14.663035646999999"/>
  </r>
  <r>
    <x v="0"/>
    <x v="4"/>
    <x v="17"/>
    <x v="33"/>
    <x v="47"/>
    <x v="1"/>
    <n v="14.663035646999999"/>
  </r>
  <r>
    <x v="0"/>
    <x v="4"/>
    <x v="17"/>
    <x v="33"/>
    <x v="48"/>
    <x v="1"/>
    <n v="14.663035646999999"/>
  </r>
  <r>
    <x v="0"/>
    <x v="4"/>
    <x v="17"/>
    <x v="33"/>
    <x v="49"/>
    <x v="1"/>
    <n v="0"/>
  </r>
  <r>
    <x v="0"/>
    <x v="4"/>
    <x v="17"/>
    <x v="33"/>
    <x v="50"/>
    <x v="1"/>
    <n v="0"/>
  </r>
  <r>
    <x v="0"/>
    <x v="4"/>
    <x v="17"/>
    <x v="33"/>
    <x v="51"/>
    <x v="1"/>
    <n v="0"/>
  </r>
  <r>
    <x v="0"/>
    <x v="4"/>
    <x v="17"/>
    <x v="33"/>
    <x v="52"/>
    <x v="1"/>
    <n v="0"/>
  </r>
  <r>
    <x v="0"/>
    <x v="4"/>
    <x v="17"/>
    <x v="33"/>
    <x v="53"/>
    <x v="1"/>
    <n v="0"/>
  </r>
  <r>
    <x v="0"/>
    <x v="4"/>
    <x v="17"/>
    <x v="33"/>
    <x v="54"/>
    <x v="1"/>
    <n v="0"/>
  </r>
  <r>
    <x v="0"/>
    <x v="4"/>
    <x v="17"/>
    <x v="33"/>
    <x v="55"/>
    <x v="1"/>
    <n v="0"/>
  </r>
  <r>
    <x v="0"/>
    <x v="4"/>
    <x v="17"/>
    <x v="34"/>
    <x v="46"/>
    <x v="1"/>
    <n v="14.511536256999999"/>
  </r>
  <r>
    <x v="0"/>
    <x v="4"/>
    <x v="17"/>
    <x v="34"/>
    <x v="47"/>
    <x v="1"/>
    <n v="14.511536256999999"/>
  </r>
  <r>
    <x v="0"/>
    <x v="4"/>
    <x v="17"/>
    <x v="34"/>
    <x v="48"/>
    <x v="1"/>
    <n v="14.511536256999999"/>
  </r>
  <r>
    <x v="0"/>
    <x v="4"/>
    <x v="17"/>
    <x v="34"/>
    <x v="49"/>
    <x v="1"/>
    <n v="0"/>
  </r>
  <r>
    <x v="0"/>
    <x v="4"/>
    <x v="17"/>
    <x v="34"/>
    <x v="50"/>
    <x v="1"/>
    <n v="0"/>
  </r>
  <r>
    <x v="0"/>
    <x v="4"/>
    <x v="17"/>
    <x v="34"/>
    <x v="51"/>
    <x v="1"/>
    <n v="0"/>
  </r>
  <r>
    <x v="0"/>
    <x v="4"/>
    <x v="17"/>
    <x v="34"/>
    <x v="52"/>
    <x v="1"/>
    <n v="0"/>
  </r>
  <r>
    <x v="0"/>
    <x v="4"/>
    <x v="17"/>
    <x v="34"/>
    <x v="53"/>
    <x v="1"/>
    <n v="0"/>
  </r>
  <r>
    <x v="0"/>
    <x v="4"/>
    <x v="17"/>
    <x v="34"/>
    <x v="54"/>
    <x v="1"/>
    <n v="0"/>
  </r>
  <r>
    <x v="0"/>
    <x v="4"/>
    <x v="17"/>
    <x v="34"/>
    <x v="55"/>
    <x v="1"/>
    <n v="0"/>
  </r>
  <r>
    <x v="0"/>
    <x v="4"/>
    <x v="17"/>
    <x v="35"/>
    <x v="46"/>
    <x v="1"/>
    <n v="10.082065347"/>
  </r>
  <r>
    <x v="0"/>
    <x v="4"/>
    <x v="17"/>
    <x v="35"/>
    <x v="47"/>
    <x v="1"/>
    <n v="10.082065347"/>
  </r>
  <r>
    <x v="0"/>
    <x v="4"/>
    <x v="17"/>
    <x v="35"/>
    <x v="48"/>
    <x v="1"/>
    <n v="10.082065347"/>
  </r>
  <r>
    <x v="0"/>
    <x v="4"/>
    <x v="17"/>
    <x v="35"/>
    <x v="49"/>
    <x v="1"/>
    <n v="0"/>
  </r>
  <r>
    <x v="0"/>
    <x v="4"/>
    <x v="17"/>
    <x v="35"/>
    <x v="50"/>
    <x v="1"/>
    <n v="0"/>
  </r>
  <r>
    <x v="0"/>
    <x v="4"/>
    <x v="17"/>
    <x v="35"/>
    <x v="51"/>
    <x v="1"/>
    <n v="0"/>
  </r>
  <r>
    <x v="0"/>
    <x v="4"/>
    <x v="17"/>
    <x v="35"/>
    <x v="52"/>
    <x v="1"/>
    <n v="0"/>
  </r>
  <r>
    <x v="0"/>
    <x v="4"/>
    <x v="17"/>
    <x v="35"/>
    <x v="53"/>
    <x v="1"/>
    <n v="0"/>
  </r>
  <r>
    <x v="0"/>
    <x v="4"/>
    <x v="17"/>
    <x v="35"/>
    <x v="54"/>
    <x v="1"/>
    <n v="0"/>
  </r>
  <r>
    <x v="0"/>
    <x v="4"/>
    <x v="17"/>
    <x v="35"/>
    <x v="55"/>
    <x v="1"/>
    <n v="0"/>
  </r>
  <r>
    <x v="0"/>
    <x v="4"/>
    <x v="17"/>
    <x v="36"/>
    <x v="46"/>
    <x v="1"/>
    <n v="3.090870673"/>
  </r>
  <r>
    <x v="0"/>
    <x v="4"/>
    <x v="17"/>
    <x v="36"/>
    <x v="47"/>
    <x v="1"/>
    <n v="3.090870673"/>
  </r>
  <r>
    <x v="0"/>
    <x v="4"/>
    <x v="17"/>
    <x v="36"/>
    <x v="48"/>
    <x v="1"/>
    <n v="3.090870673"/>
  </r>
  <r>
    <x v="0"/>
    <x v="4"/>
    <x v="17"/>
    <x v="36"/>
    <x v="49"/>
    <x v="1"/>
    <n v="0"/>
  </r>
  <r>
    <x v="0"/>
    <x v="4"/>
    <x v="17"/>
    <x v="36"/>
    <x v="50"/>
    <x v="1"/>
    <n v="0"/>
  </r>
  <r>
    <x v="0"/>
    <x v="4"/>
    <x v="17"/>
    <x v="36"/>
    <x v="51"/>
    <x v="1"/>
    <n v="0"/>
  </r>
  <r>
    <x v="0"/>
    <x v="4"/>
    <x v="17"/>
    <x v="36"/>
    <x v="52"/>
    <x v="1"/>
    <n v="0"/>
  </r>
  <r>
    <x v="0"/>
    <x v="4"/>
    <x v="17"/>
    <x v="36"/>
    <x v="53"/>
    <x v="1"/>
    <n v="0"/>
  </r>
  <r>
    <x v="0"/>
    <x v="4"/>
    <x v="17"/>
    <x v="36"/>
    <x v="54"/>
    <x v="1"/>
    <n v="0"/>
  </r>
  <r>
    <x v="0"/>
    <x v="4"/>
    <x v="17"/>
    <x v="36"/>
    <x v="55"/>
    <x v="1"/>
    <n v="0"/>
  </r>
  <r>
    <x v="0"/>
    <x v="4"/>
    <x v="17"/>
    <x v="37"/>
    <x v="46"/>
    <x v="1"/>
    <n v="5.6416186550000003"/>
  </r>
  <r>
    <x v="0"/>
    <x v="4"/>
    <x v="17"/>
    <x v="37"/>
    <x v="47"/>
    <x v="1"/>
    <n v="5.6416186550000003"/>
  </r>
  <r>
    <x v="0"/>
    <x v="4"/>
    <x v="17"/>
    <x v="37"/>
    <x v="48"/>
    <x v="1"/>
    <n v="5.6416186550000003"/>
  </r>
  <r>
    <x v="0"/>
    <x v="4"/>
    <x v="17"/>
    <x v="37"/>
    <x v="49"/>
    <x v="1"/>
    <n v="0"/>
  </r>
  <r>
    <x v="0"/>
    <x v="4"/>
    <x v="17"/>
    <x v="37"/>
    <x v="50"/>
    <x v="1"/>
    <n v="0"/>
  </r>
  <r>
    <x v="0"/>
    <x v="4"/>
    <x v="17"/>
    <x v="37"/>
    <x v="51"/>
    <x v="1"/>
    <n v="0"/>
  </r>
  <r>
    <x v="0"/>
    <x v="4"/>
    <x v="17"/>
    <x v="37"/>
    <x v="52"/>
    <x v="1"/>
    <n v="0"/>
  </r>
  <r>
    <x v="0"/>
    <x v="4"/>
    <x v="17"/>
    <x v="37"/>
    <x v="53"/>
    <x v="1"/>
    <n v="0"/>
  </r>
  <r>
    <x v="0"/>
    <x v="4"/>
    <x v="17"/>
    <x v="37"/>
    <x v="54"/>
    <x v="1"/>
    <n v="0"/>
  </r>
  <r>
    <x v="0"/>
    <x v="4"/>
    <x v="17"/>
    <x v="37"/>
    <x v="55"/>
    <x v="1"/>
    <n v="0"/>
  </r>
  <r>
    <x v="0"/>
    <x v="4"/>
    <x v="17"/>
    <x v="38"/>
    <x v="46"/>
    <x v="1"/>
    <n v="15.153539775"/>
  </r>
  <r>
    <x v="0"/>
    <x v="4"/>
    <x v="17"/>
    <x v="38"/>
    <x v="47"/>
    <x v="1"/>
    <n v="15.153539775"/>
  </r>
  <r>
    <x v="0"/>
    <x v="4"/>
    <x v="17"/>
    <x v="38"/>
    <x v="48"/>
    <x v="1"/>
    <n v="15.153539775"/>
  </r>
  <r>
    <x v="0"/>
    <x v="4"/>
    <x v="17"/>
    <x v="38"/>
    <x v="49"/>
    <x v="1"/>
    <n v="0"/>
  </r>
  <r>
    <x v="0"/>
    <x v="4"/>
    <x v="17"/>
    <x v="38"/>
    <x v="50"/>
    <x v="1"/>
    <n v="0"/>
  </r>
  <r>
    <x v="0"/>
    <x v="4"/>
    <x v="17"/>
    <x v="38"/>
    <x v="51"/>
    <x v="1"/>
    <n v="0"/>
  </r>
  <r>
    <x v="0"/>
    <x v="4"/>
    <x v="17"/>
    <x v="38"/>
    <x v="52"/>
    <x v="1"/>
    <n v="0"/>
  </r>
  <r>
    <x v="0"/>
    <x v="4"/>
    <x v="17"/>
    <x v="38"/>
    <x v="53"/>
    <x v="1"/>
    <n v="0"/>
  </r>
  <r>
    <x v="0"/>
    <x v="4"/>
    <x v="17"/>
    <x v="38"/>
    <x v="54"/>
    <x v="1"/>
    <n v="0"/>
  </r>
  <r>
    <x v="0"/>
    <x v="4"/>
    <x v="17"/>
    <x v="38"/>
    <x v="55"/>
    <x v="1"/>
    <n v="0"/>
  </r>
  <r>
    <x v="0"/>
    <x v="4"/>
    <x v="17"/>
    <x v="39"/>
    <x v="46"/>
    <x v="1"/>
    <n v="6.7623972590000001"/>
  </r>
  <r>
    <x v="0"/>
    <x v="4"/>
    <x v="17"/>
    <x v="39"/>
    <x v="47"/>
    <x v="1"/>
    <n v="6.7623972590000001"/>
  </r>
  <r>
    <x v="0"/>
    <x v="4"/>
    <x v="17"/>
    <x v="39"/>
    <x v="48"/>
    <x v="1"/>
    <n v="6.7623972590000001"/>
  </r>
  <r>
    <x v="0"/>
    <x v="4"/>
    <x v="17"/>
    <x v="39"/>
    <x v="49"/>
    <x v="1"/>
    <n v="0"/>
  </r>
  <r>
    <x v="0"/>
    <x v="4"/>
    <x v="17"/>
    <x v="39"/>
    <x v="50"/>
    <x v="1"/>
    <n v="0"/>
  </r>
  <r>
    <x v="0"/>
    <x v="4"/>
    <x v="17"/>
    <x v="39"/>
    <x v="51"/>
    <x v="1"/>
    <n v="0"/>
  </r>
  <r>
    <x v="0"/>
    <x v="4"/>
    <x v="17"/>
    <x v="39"/>
    <x v="52"/>
    <x v="1"/>
    <n v="0"/>
  </r>
  <r>
    <x v="0"/>
    <x v="4"/>
    <x v="17"/>
    <x v="39"/>
    <x v="53"/>
    <x v="1"/>
    <n v="0"/>
  </r>
  <r>
    <x v="0"/>
    <x v="4"/>
    <x v="17"/>
    <x v="39"/>
    <x v="54"/>
    <x v="1"/>
    <n v="0"/>
  </r>
  <r>
    <x v="0"/>
    <x v="4"/>
    <x v="17"/>
    <x v="39"/>
    <x v="55"/>
    <x v="1"/>
    <n v="0"/>
  </r>
  <r>
    <x v="0"/>
    <x v="4"/>
    <x v="17"/>
    <x v="40"/>
    <x v="46"/>
    <x v="1"/>
    <n v="2.652182603"/>
  </r>
  <r>
    <x v="0"/>
    <x v="4"/>
    <x v="17"/>
    <x v="40"/>
    <x v="47"/>
    <x v="1"/>
    <n v="2.652182603"/>
  </r>
  <r>
    <x v="0"/>
    <x v="4"/>
    <x v="17"/>
    <x v="40"/>
    <x v="48"/>
    <x v="1"/>
    <n v="2.652182603"/>
  </r>
  <r>
    <x v="0"/>
    <x v="4"/>
    <x v="17"/>
    <x v="40"/>
    <x v="49"/>
    <x v="1"/>
    <n v="0"/>
  </r>
  <r>
    <x v="0"/>
    <x v="4"/>
    <x v="17"/>
    <x v="40"/>
    <x v="50"/>
    <x v="1"/>
    <n v="0"/>
  </r>
  <r>
    <x v="0"/>
    <x v="4"/>
    <x v="17"/>
    <x v="40"/>
    <x v="51"/>
    <x v="1"/>
    <n v="0"/>
  </r>
  <r>
    <x v="0"/>
    <x v="4"/>
    <x v="17"/>
    <x v="40"/>
    <x v="52"/>
    <x v="1"/>
    <n v="0"/>
  </r>
  <r>
    <x v="0"/>
    <x v="4"/>
    <x v="17"/>
    <x v="40"/>
    <x v="53"/>
    <x v="1"/>
    <n v="0"/>
  </r>
  <r>
    <x v="0"/>
    <x v="4"/>
    <x v="17"/>
    <x v="40"/>
    <x v="54"/>
    <x v="1"/>
    <n v="0"/>
  </r>
  <r>
    <x v="0"/>
    <x v="4"/>
    <x v="17"/>
    <x v="40"/>
    <x v="55"/>
    <x v="1"/>
    <n v="0"/>
  </r>
  <r>
    <x v="0"/>
    <x v="4"/>
    <x v="17"/>
    <x v="41"/>
    <x v="46"/>
    <x v="1"/>
    <n v="31.178253682000001"/>
  </r>
  <r>
    <x v="0"/>
    <x v="4"/>
    <x v="17"/>
    <x v="41"/>
    <x v="47"/>
    <x v="1"/>
    <n v="31.178253682000001"/>
  </r>
  <r>
    <x v="0"/>
    <x v="4"/>
    <x v="17"/>
    <x v="41"/>
    <x v="48"/>
    <x v="1"/>
    <n v="31.178253682000001"/>
  </r>
  <r>
    <x v="0"/>
    <x v="4"/>
    <x v="17"/>
    <x v="41"/>
    <x v="49"/>
    <x v="1"/>
    <n v="0"/>
  </r>
  <r>
    <x v="0"/>
    <x v="4"/>
    <x v="17"/>
    <x v="41"/>
    <x v="50"/>
    <x v="1"/>
    <n v="0"/>
  </r>
  <r>
    <x v="0"/>
    <x v="4"/>
    <x v="17"/>
    <x v="41"/>
    <x v="51"/>
    <x v="1"/>
    <n v="0"/>
  </r>
  <r>
    <x v="0"/>
    <x v="4"/>
    <x v="17"/>
    <x v="41"/>
    <x v="52"/>
    <x v="1"/>
    <n v="0"/>
  </r>
  <r>
    <x v="0"/>
    <x v="4"/>
    <x v="17"/>
    <x v="41"/>
    <x v="53"/>
    <x v="1"/>
    <n v="0"/>
  </r>
  <r>
    <x v="0"/>
    <x v="4"/>
    <x v="17"/>
    <x v="41"/>
    <x v="54"/>
    <x v="1"/>
    <n v="0"/>
  </r>
  <r>
    <x v="0"/>
    <x v="4"/>
    <x v="17"/>
    <x v="41"/>
    <x v="55"/>
    <x v="1"/>
    <n v="0"/>
  </r>
  <r>
    <x v="0"/>
    <x v="4"/>
    <x v="18"/>
    <x v="42"/>
    <x v="46"/>
    <x v="1"/>
    <n v="23.827141000000001"/>
  </r>
  <r>
    <x v="0"/>
    <x v="4"/>
    <x v="18"/>
    <x v="42"/>
    <x v="47"/>
    <x v="1"/>
    <n v="23.827141000000001"/>
  </r>
  <r>
    <x v="0"/>
    <x v="4"/>
    <x v="18"/>
    <x v="42"/>
    <x v="48"/>
    <x v="1"/>
    <n v="23.827141000000001"/>
  </r>
  <r>
    <x v="0"/>
    <x v="4"/>
    <x v="18"/>
    <x v="42"/>
    <x v="49"/>
    <x v="1"/>
    <n v="0"/>
  </r>
  <r>
    <x v="0"/>
    <x v="4"/>
    <x v="18"/>
    <x v="42"/>
    <x v="50"/>
    <x v="1"/>
    <n v="0"/>
  </r>
  <r>
    <x v="0"/>
    <x v="4"/>
    <x v="18"/>
    <x v="42"/>
    <x v="51"/>
    <x v="1"/>
    <n v="0"/>
  </r>
  <r>
    <x v="0"/>
    <x v="4"/>
    <x v="18"/>
    <x v="42"/>
    <x v="52"/>
    <x v="1"/>
    <n v="0"/>
  </r>
  <r>
    <x v="0"/>
    <x v="4"/>
    <x v="18"/>
    <x v="42"/>
    <x v="53"/>
    <x v="1"/>
    <n v="0"/>
  </r>
  <r>
    <x v="0"/>
    <x v="4"/>
    <x v="18"/>
    <x v="42"/>
    <x v="54"/>
    <x v="1"/>
    <n v="0"/>
  </r>
  <r>
    <x v="0"/>
    <x v="4"/>
    <x v="18"/>
    <x v="42"/>
    <x v="55"/>
    <x v="1"/>
    <n v="0"/>
  </r>
  <r>
    <x v="0"/>
    <x v="4"/>
    <x v="18"/>
    <x v="43"/>
    <x v="46"/>
    <x v="1"/>
    <n v="65.106699053"/>
  </r>
  <r>
    <x v="0"/>
    <x v="4"/>
    <x v="18"/>
    <x v="43"/>
    <x v="47"/>
    <x v="1"/>
    <n v="65.106699053"/>
  </r>
  <r>
    <x v="0"/>
    <x v="4"/>
    <x v="18"/>
    <x v="43"/>
    <x v="48"/>
    <x v="1"/>
    <n v="65.106699053"/>
  </r>
  <r>
    <x v="0"/>
    <x v="4"/>
    <x v="18"/>
    <x v="43"/>
    <x v="49"/>
    <x v="1"/>
    <n v="0"/>
  </r>
  <r>
    <x v="0"/>
    <x v="4"/>
    <x v="18"/>
    <x v="43"/>
    <x v="50"/>
    <x v="1"/>
    <n v="0"/>
  </r>
  <r>
    <x v="0"/>
    <x v="4"/>
    <x v="18"/>
    <x v="43"/>
    <x v="51"/>
    <x v="1"/>
    <n v="0"/>
  </r>
  <r>
    <x v="0"/>
    <x v="4"/>
    <x v="18"/>
    <x v="43"/>
    <x v="52"/>
    <x v="1"/>
    <n v="0"/>
  </r>
  <r>
    <x v="0"/>
    <x v="4"/>
    <x v="18"/>
    <x v="43"/>
    <x v="53"/>
    <x v="1"/>
    <n v="0"/>
  </r>
  <r>
    <x v="0"/>
    <x v="4"/>
    <x v="18"/>
    <x v="43"/>
    <x v="54"/>
    <x v="1"/>
    <n v="0"/>
  </r>
  <r>
    <x v="0"/>
    <x v="4"/>
    <x v="18"/>
    <x v="43"/>
    <x v="55"/>
    <x v="1"/>
    <n v="0"/>
  </r>
  <r>
    <x v="0"/>
    <x v="4"/>
    <x v="19"/>
    <x v="44"/>
    <x v="46"/>
    <x v="5"/>
    <n v="649.52852338699995"/>
  </r>
  <r>
    <x v="0"/>
    <x v="4"/>
    <x v="19"/>
    <x v="44"/>
    <x v="47"/>
    <x v="5"/>
    <n v="649.52852338699995"/>
  </r>
  <r>
    <x v="0"/>
    <x v="4"/>
    <x v="19"/>
    <x v="44"/>
    <x v="48"/>
    <x v="5"/>
    <n v="649.52852338699995"/>
  </r>
  <r>
    <x v="0"/>
    <x v="4"/>
    <x v="19"/>
    <x v="44"/>
    <x v="49"/>
    <x v="5"/>
    <n v="0"/>
  </r>
  <r>
    <x v="0"/>
    <x v="4"/>
    <x v="19"/>
    <x v="44"/>
    <x v="50"/>
    <x v="5"/>
    <n v="0"/>
  </r>
  <r>
    <x v="0"/>
    <x v="4"/>
    <x v="19"/>
    <x v="44"/>
    <x v="51"/>
    <x v="5"/>
    <n v="0"/>
  </r>
  <r>
    <x v="0"/>
    <x v="4"/>
    <x v="19"/>
    <x v="44"/>
    <x v="52"/>
    <x v="5"/>
    <n v="0"/>
  </r>
  <r>
    <x v="0"/>
    <x v="4"/>
    <x v="19"/>
    <x v="44"/>
    <x v="53"/>
    <x v="5"/>
    <n v="0"/>
  </r>
  <r>
    <x v="0"/>
    <x v="4"/>
    <x v="19"/>
    <x v="44"/>
    <x v="54"/>
    <x v="5"/>
    <n v="0"/>
  </r>
  <r>
    <x v="0"/>
    <x v="4"/>
    <x v="19"/>
    <x v="44"/>
    <x v="55"/>
    <x v="5"/>
    <n v="0"/>
  </r>
  <r>
    <x v="0"/>
    <x v="4"/>
    <x v="20"/>
    <x v="44"/>
    <x v="0"/>
    <x v="6"/>
    <n v="235.93636880400001"/>
  </r>
  <r>
    <x v="0"/>
    <x v="4"/>
    <x v="21"/>
    <x v="44"/>
    <x v="0"/>
    <x v="6"/>
    <n v="3784.7837381029999"/>
  </r>
  <r>
    <x v="0"/>
    <x v="4"/>
    <x v="22"/>
    <x v="44"/>
    <x v="0"/>
    <x v="5"/>
    <n v="6.2338137000000002E-2"/>
  </r>
  <r>
    <x v="0"/>
    <x v="4"/>
    <x v="23"/>
    <x v="44"/>
    <x v="0"/>
    <x v="5"/>
    <n v="830.09379444299998"/>
  </r>
  <r>
    <x v="0"/>
    <x v="4"/>
    <x v="24"/>
    <x v="44"/>
    <x v="0"/>
    <x v="6"/>
    <n v="1840.231918511"/>
  </r>
  <r>
    <x v="0"/>
    <x v="4"/>
    <x v="25"/>
    <x v="45"/>
    <x v="0"/>
    <x v="6"/>
    <n v="1050.619324795"/>
  </r>
  <r>
    <x v="0"/>
    <x v="4"/>
    <x v="26"/>
    <x v="44"/>
    <x v="0"/>
    <x v="6"/>
    <n v="1364.3901966430001"/>
  </r>
  <r>
    <x v="0"/>
    <x v="4"/>
    <x v="27"/>
    <x v="44"/>
    <x v="0"/>
    <x v="6"/>
    <n v="744.10663948299998"/>
  </r>
  <r>
    <x v="0"/>
    <x v="4"/>
    <x v="28"/>
    <x v="44"/>
    <x v="0"/>
    <x v="6"/>
    <n v="1214.5643413299999"/>
  </r>
  <r>
    <x v="0"/>
    <x v="4"/>
    <x v="29"/>
    <x v="44"/>
    <x v="0"/>
    <x v="6"/>
    <n v="5.877976179"/>
  </r>
  <r>
    <x v="0"/>
    <x v="4"/>
    <x v="30"/>
    <x v="44"/>
    <x v="0"/>
    <x v="6"/>
    <n v="209.67709444299999"/>
  </r>
  <r>
    <x v="0"/>
    <x v="4"/>
    <x v="31"/>
    <x v="44"/>
    <x v="0"/>
    <x v="6"/>
    <n v="6649.7481231869997"/>
  </r>
  <r>
    <x v="0"/>
    <x v="4"/>
    <x v="32"/>
    <x v="44"/>
    <x v="0"/>
    <x v="5"/>
    <n v="3.1531584000000001E-2"/>
  </r>
  <r>
    <x v="0"/>
    <x v="4"/>
    <x v="33"/>
    <x v="44"/>
    <x v="0"/>
    <x v="5"/>
    <n v="2.1668699999999999E-4"/>
  </r>
  <r>
    <x v="0"/>
    <x v="4"/>
    <x v="34"/>
    <x v="44"/>
    <x v="0"/>
    <x v="5"/>
    <n v="1"/>
  </r>
  <r>
    <x v="0"/>
    <x v="4"/>
    <x v="35"/>
    <x v="44"/>
    <x v="0"/>
    <x v="5"/>
    <n v="1.075"/>
  </r>
  <r>
    <x v="0"/>
    <x v="4"/>
    <x v="36"/>
    <x v="44"/>
    <x v="0"/>
    <x v="5"/>
    <n v="-2.3534923999999999E-2"/>
  </r>
  <r>
    <x v="0"/>
    <x v="4"/>
    <x v="37"/>
    <x v="45"/>
    <x v="0"/>
    <x v="6"/>
    <n v="0"/>
  </r>
  <r>
    <x v="0"/>
    <x v="4"/>
    <x v="38"/>
    <x v="45"/>
    <x v="0"/>
    <x v="6"/>
    <n v="0"/>
  </r>
  <r>
    <x v="0"/>
    <x v="4"/>
    <x v="39"/>
    <x v="45"/>
    <x v="0"/>
    <x v="6"/>
    <n v="1"/>
  </r>
  <r>
    <x v="0"/>
    <x v="4"/>
    <x v="40"/>
    <x v="45"/>
    <x v="0"/>
    <x v="6"/>
    <n v="117.058101118"/>
  </r>
  <r>
    <x v="0"/>
    <x v="4"/>
    <x v="41"/>
    <x v="45"/>
    <x v="0"/>
    <x v="6"/>
    <n v="102.138294659"/>
  </r>
  <r>
    <x v="0"/>
    <x v="4"/>
    <x v="42"/>
    <x v="45"/>
    <x v="0"/>
    <x v="6"/>
    <n v="14.919806459"/>
  </r>
  <r>
    <x v="0"/>
    <x v="4"/>
    <x v="43"/>
    <x v="45"/>
    <x v="0"/>
    <x v="6"/>
    <n v="293.35566010000002"/>
  </r>
  <r>
    <x v="0"/>
    <x v="4"/>
    <x v="44"/>
    <x v="45"/>
    <x v="0"/>
    <x v="6"/>
    <n v="0"/>
  </r>
  <r>
    <x v="0"/>
    <x v="4"/>
    <x v="45"/>
    <x v="44"/>
    <x v="0"/>
    <x v="5"/>
    <n v="5.0859105000000002E-2"/>
  </r>
  <r>
    <x v="0"/>
    <x v="4"/>
    <x v="46"/>
    <x v="45"/>
    <x v="0"/>
    <x v="5"/>
    <n v="3.063207641"/>
  </r>
  <r>
    <x v="0"/>
    <x v="4"/>
    <x v="47"/>
    <x v="46"/>
    <x v="0"/>
    <x v="6"/>
    <n v="2.3785746809999999"/>
  </r>
  <r>
    <x v="0"/>
    <x v="4"/>
    <x v="48"/>
    <x v="47"/>
    <x v="0"/>
    <x v="6"/>
    <n v="0"/>
  </r>
  <r>
    <x v="0"/>
    <x v="4"/>
    <x v="49"/>
    <x v="47"/>
    <x v="0"/>
    <x v="6"/>
    <n v="0"/>
  </r>
  <r>
    <x v="0"/>
    <x v="4"/>
    <x v="50"/>
    <x v="48"/>
    <x v="0"/>
    <x v="7"/>
    <n v="107.29981820899999"/>
  </r>
  <r>
    <x v="0"/>
    <x v="4"/>
    <x v="50"/>
    <x v="49"/>
    <x v="0"/>
    <x v="7"/>
    <n v="99.998701552"/>
  </r>
  <r>
    <x v="0"/>
    <x v="4"/>
    <x v="51"/>
    <x v="42"/>
    <x v="0"/>
    <x v="4"/>
    <n v="51.943407669999999"/>
  </r>
  <r>
    <x v="0"/>
    <x v="4"/>
    <x v="51"/>
    <x v="43"/>
    <x v="0"/>
    <x v="4"/>
    <n v="172.19897380399999"/>
  </r>
  <r>
    <x v="0"/>
    <x v="4"/>
    <x v="52"/>
    <x v="42"/>
    <x v="0"/>
    <x v="4"/>
    <n v="33.627157009999998"/>
  </r>
  <r>
    <x v="0"/>
    <x v="4"/>
    <x v="52"/>
    <x v="43"/>
    <x v="0"/>
    <x v="4"/>
    <n v="85.374240169999993"/>
  </r>
  <r>
    <x v="0"/>
    <x v="4"/>
    <x v="53"/>
    <x v="42"/>
    <x v="0"/>
    <x v="4"/>
    <n v="9.8000160100000002"/>
  </r>
  <r>
    <x v="0"/>
    <x v="4"/>
    <x v="53"/>
    <x v="43"/>
    <x v="0"/>
    <x v="4"/>
    <n v="20.267541117"/>
  </r>
  <r>
    <x v="0"/>
    <x v="4"/>
    <x v="54"/>
    <x v="42"/>
    <x v="56"/>
    <x v="4"/>
    <n v="13.550824272"/>
  </r>
  <r>
    <x v="0"/>
    <x v="4"/>
    <x v="54"/>
    <x v="43"/>
    <x v="56"/>
    <x v="4"/>
    <n v="77.058721048999999"/>
  </r>
  <r>
    <x v="0"/>
    <x v="4"/>
    <x v="55"/>
    <x v="42"/>
    <x v="0"/>
    <x v="4"/>
    <n v="6.2310629999999999E-2"/>
  </r>
  <r>
    <x v="0"/>
    <x v="4"/>
    <x v="55"/>
    <x v="43"/>
    <x v="0"/>
    <x v="4"/>
    <n v="5.7738264999999997E-2"/>
  </r>
  <r>
    <x v="0"/>
    <x v="4"/>
    <x v="56"/>
    <x v="42"/>
    <x v="0"/>
    <x v="4"/>
    <n v="7.9101096999999995E-2"/>
  </r>
  <r>
    <x v="0"/>
    <x v="4"/>
    <x v="56"/>
    <x v="43"/>
    <x v="0"/>
    <x v="4"/>
    <n v="7.6395958E-2"/>
  </r>
  <r>
    <x v="0"/>
    <x v="4"/>
    <x v="57"/>
    <x v="42"/>
    <x v="0"/>
    <x v="4"/>
    <n v="4.0897075999999997E-2"/>
  </r>
  <r>
    <x v="0"/>
    <x v="4"/>
    <x v="57"/>
    <x v="43"/>
    <x v="0"/>
    <x v="4"/>
    <n v="3.8595432999999998E-2"/>
  </r>
  <r>
    <x v="0"/>
    <x v="4"/>
    <x v="58"/>
    <x v="44"/>
    <x v="57"/>
    <x v="5"/>
    <n v="3.8823081000000002E-2"/>
  </r>
  <r>
    <x v="0"/>
    <x v="4"/>
    <x v="59"/>
    <x v="44"/>
    <x v="57"/>
    <x v="6"/>
    <n v="704.06799999999998"/>
  </r>
  <r>
    <x v="0"/>
    <x v="4"/>
    <x v="60"/>
    <x v="0"/>
    <x v="57"/>
    <x v="8"/>
    <n v="204.03807615700001"/>
  </r>
  <r>
    <x v="0"/>
    <x v="4"/>
    <x v="60"/>
    <x v="1"/>
    <x v="57"/>
    <x v="8"/>
    <n v="25.160765226999999"/>
  </r>
  <r>
    <x v="0"/>
    <x v="4"/>
    <x v="60"/>
    <x v="2"/>
    <x v="57"/>
    <x v="8"/>
    <n v="83.549655482000006"/>
  </r>
  <r>
    <x v="0"/>
    <x v="4"/>
    <x v="60"/>
    <x v="3"/>
    <x v="57"/>
    <x v="8"/>
    <n v="60.024118647999998"/>
  </r>
  <r>
    <x v="0"/>
    <x v="4"/>
    <x v="60"/>
    <x v="4"/>
    <x v="57"/>
    <x v="8"/>
    <n v="4.4033021720000001"/>
  </r>
  <r>
    <x v="0"/>
    <x v="4"/>
    <x v="60"/>
    <x v="5"/>
    <x v="57"/>
    <x v="8"/>
    <n v="84.065687671000006"/>
  </r>
  <r>
    <x v="0"/>
    <x v="4"/>
    <x v="60"/>
    <x v="6"/>
    <x v="57"/>
    <x v="8"/>
    <n v="12.31226369"/>
  </r>
  <r>
    <x v="0"/>
    <x v="4"/>
    <x v="60"/>
    <x v="7"/>
    <x v="57"/>
    <x v="8"/>
    <n v="20.547450066"/>
  </r>
  <r>
    <x v="0"/>
    <x v="4"/>
    <x v="60"/>
    <x v="8"/>
    <x v="57"/>
    <x v="8"/>
    <n v="6.0391159060000001"/>
  </r>
  <r>
    <x v="0"/>
    <x v="4"/>
    <x v="60"/>
    <x v="9"/>
    <x v="57"/>
    <x v="8"/>
    <n v="19.715282148"/>
  </r>
  <r>
    <x v="0"/>
    <x v="4"/>
    <x v="60"/>
    <x v="10"/>
    <x v="57"/>
    <x v="8"/>
    <n v="19.410240680000001"/>
  </r>
  <r>
    <x v="0"/>
    <x v="4"/>
    <x v="60"/>
    <x v="11"/>
    <x v="57"/>
    <x v="8"/>
    <n v="107.808938759"/>
  </r>
  <r>
    <x v="0"/>
    <x v="4"/>
    <x v="60"/>
    <x v="12"/>
    <x v="57"/>
    <x v="8"/>
    <n v="4.7111764129999996"/>
  </r>
  <r>
    <x v="0"/>
    <x v="4"/>
    <x v="60"/>
    <x v="13"/>
    <x v="57"/>
    <x v="8"/>
    <n v="45.609013189999999"/>
  </r>
  <r>
    <x v="0"/>
    <x v="4"/>
    <x v="60"/>
    <x v="14"/>
    <x v="57"/>
    <x v="8"/>
    <n v="5.8623481709999998"/>
  </r>
  <r>
    <x v="0"/>
    <x v="4"/>
    <x v="60"/>
    <x v="15"/>
    <x v="57"/>
    <x v="8"/>
    <n v="40.511257762"/>
  </r>
  <r>
    <x v="0"/>
    <x v="4"/>
    <x v="60"/>
    <x v="16"/>
    <x v="57"/>
    <x v="8"/>
    <n v="34.721219771000001"/>
  </r>
  <r>
    <x v="0"/>
    <x v="4"/>
    <x v="60"/>
    <x v="17"/>
    <x v="57"/>
    <x v="8"/>
    <n v="56.282110291999999"/>
  </r>
  <r>
    <x v="0"/>
    <x v="4"/>
    <x v="60"/>
    <x v="18"/>
    <x v="57"/>
    <x v="8"/>
    <n v="30.250150912999999"/>
  </r>
  <r>
    <x v="0"/>
    <x v="4"/>
    <x v="60"/>
    <x v="19"/>
    <x v="57"/>
    <x v="8"/>
    <n v="175.29301123499999"/>
  </r>
  <r>
    <x v="0"/>
    <x v="4"/>
    <x v="60"/>
    <x v="20"/>
    <x v="57"/>
    <x v="8"/>
    <n v="24.375071309999999"/>
  </r>
  <r>
    <x v="0"/>
    <x v="4"/>
    <x v="60"/>
    <x v="21"/>
    <x v="57"/>
    <x v="8"/>
    <n v="0.49550862099999998"/>
  </r>
  <r>
    <x v="0"/>
    <x v="4"/>
    <x v="60"/>
    <x v="22"/>
    <x v="57"/>
    <x v="8"/>
    <n v="1.276944707"/>
  </r>
  <r>
    <x v="0"/>
    <x v="4"/>
    <x v="60"/>
    <x v="23"/>
    <x v="57"/>
    <x v="8"/>
    <n v="0"/>
  </r>
  <r>
    <x v="0"/>
    <x v="4"/>
    <x v="60"/>
    <x v="24"/>
    <x v="57"/>
    <x v="8"/>
    <n v="0.17394733700000001"/>
  </r>
  <r>
    <x v="0"/>
    <x v="4"/>
    <x v="60"/>
    <x v="25"/>
    <x v="57"/>
    <x v="8"/>
    <n v="1E-8"/>
  </r>
  <r>
    <x v="0"/>
    <x v="4"/>
    <x v="60"/>
    <x v="26"/>
    <x v="57"/>
    <x v="8"/>
    <n v="0"/>
  </r>
  <r>
    <x v="0"/>
    <x v="4"/>
    <x v="60"/>
    <x v="27"/>
    <x v="57"/>
    <x v="8"/>
    <n v="3.0352103600000002"/>
  </r>
  <r>
    <x v="0"/>
    <x v="4"/>
    <x v="60"/>
    <x v="28"/>
    <x v="57"/>
    <x v="8"/>
    <n v="0"/>
  </r>
  <r>
    <x v="0"/>
    <x v="4"/>
    <x v="60"/>
    <x v="29"/>
    <x v="57"/>
    <x v="8"/>
    <n v="33.345720032000003"/>
  </r>
  <r>
    <x v="0"/>
    <x v="4"/>
    <x v="60"/>
    <x v="30"/>
    <x v="57"/>
    <x v="8"/>
    <n v="22.326723254000001"/>
  </r>
  <r>
    <x v="0"/>
    <x v="4"/>
    <x v="60"/>
    <x v="31"/>
    <x v="57"/>
    <x v="8"/>
    <n v="5.505320481"/>
  </r>
  <r>
    <x v="0"/>
    <x v="4"/>
    <x v="60"/>
    <x v="32"/>
    <x v="57"/>
    <x v="8"/>
    <n v="3.2766044019999998"/>
  </r>
  <r>
    <x v="0"/>
    <x v="4"/>
    <x v="60"/>
    <x v="33"/>
    <x v="57"/>
    <x v="8"/>
    <n v="0"/>
  </r>
  <r>
    <x v="0"/>
    <x v="4"/>
    <x v="60"/>
    <x v="34"/>
    <x v="57"/>
    <x v="8"/>
    <n v="35.417186426999997"/>
  </r>
  <r>
    <x v="0"/>
    <x v="4"/>
    <x v="60"/>
    <x v="35"/>
    <x v="57"/>
    <x v="8"/>
    <n v="3.1170708559999998"/>
  </r>
  <r>
    <x v="0"/>
    <x v="4"/>
    <x v="60"/>
    <x v="36"/>
    <x v="57"/>
    <x v="8"/>
    <n v="5.7706630079999996"/>
  </r>
  <r>
    <x v="0"/>
    <x v="4"/>
    <x v="60"/>
    <x v="37"/>
    <x v="57"/>
    <x v="8"/>
    <n v="2.1436807400000002"/>
  </r>
  <r>
    <x v="0"/>
    <x v="4"/>
    <x v="60"/>
    <x v="38"/>
    <x v="57"/>
    <x v="8"/>
    <n v="6.8917251620000002"/>
  </r>
  <r>
    <x v="0"/>
    <x v="4"/>
    <x v="60"/>
    <x v="39"/>
    <x v="57"/>
    <x v="8"/>
    <n v="2.2643602889999999"/>
  </r>
  <r>
    <x v="0"/>
    <x v="4"/>
    <x v="60"/>
    <x v="40"/>
    <x v="57"/>
    <x v="8"/>
    <n v="19.799525675000002"/>
  </r>
  <r>
    <x v="0"/>
    <x v="4"/>
    <x v="60"/>
    <x v="41"/>
    <x v="57"/>
    <x v="8"/>
    <n v="5.0338943059999997"/>
  </r>
  <r>
    <x v="0"/>
    <x v="4"/>
    <x v="61"/>
    <x v="0"/>
    <x v="57"/>
    <x v="8"/>
    <n v="1.3032935400000001"/>
  </r>
  <r>
    <x v="0"/>
    <x v="4"/>
    <x v="61"/>
    <x v="1"/>
    <x v="57"/>
    <x v="8"/>
    <n v="0.44957598599999998"/>
  </r>
  <r>
    <x v="0"/>
    <x v="4"/>
    <x v="61"/>
    <x v="2"/>
    <x v="57"/>
    <x v="8"/>
    <n v="2.6192299440000002"/>
  </r>
  <r>
    <x v="0"/>
    <x v="4"/>
    <x v="61"/>
    <x v="3"/>
    <x v="57"/>
    <x v="8"/>
    <n v="0.41021060799999998"/>
  </r>
  <r>
    <x v="0"/>
    <x v="4"/>
    <x v="61"/>
    <x v="4"/>
    <x v="57"/>
    <x v="8"/>
    <n v="0.75305803199999999"/>
  </r>
  <r>
    <x v="0"/>
    <x v="4"/>
    <x v="61"/>
    <x v="5"/>
    <x v="57"/>
    <x v="8"/>
    <n v="8.5072009560000001"/>
  </r>
  <r>
    <x v="0"/>
    <x v="4"/>
    <x v="61"/>
    <x v="6"/>
    <x v="57"/>
    <x v="8"/>
    <n v="16.145259317000001"/>
  </r>
  <r>
    <x v="0"/>
    <x v="4"/>
    <x v="61"/>
    <x v="7"/>
    <x v="57"/>
    <x v="8"/>
    <n v="33.321439364"/>
  </r>
  <r>
    <x v="0"/>
    <x v="4"/>
    <x v="61"/>
    <x v="8"/>
    <x v="57"/>
    <x v="8"/>
    <n v="13.020680925000001"/>
  </r>
  <r>
    <x v="0"/>
    <x v="4"/>
    <x v="61"/>
    <x v="9"/>
    <x v="57"/>
    <x v="8"/>
    <n v="28.909826672000001"/>
  </r>
  <r>
    <x v="0"/>
    <x v="4"/>
    <x v="61"/>
    <x v="10"/>
    <x v="57"/>
    <x v="8"/>
    <n v="11.308698345"/>
  </r>
  <r>
    <x v="0"/>
    <x v="4"/>
    <x v="61"/>
    <x v="11"/>
    <x v="57"/>
    <x v="8"/>
    <n v="62.172902487999998"/>
  </r>
  <r>
    <x v="0"/>
    <x v="4"/>
    <x v="61"/>
    <x v="12"/>
    <x v="57"/>
    <x v="8"/>
    <n v="14.601659072"/>
  </r>
  <r>
    <x v="0"/>
    <x v="4"/>
    <x v="61"/>
    <x v="13"/>
    <x v="57"/>
    <x v="8"/>
    <n v="36.652211225999999"/>
  </r>
  <r>
    <x v="0"/>
    <x v="4"/>
    <x v="61"/>
    <x v="14"/>
    <x v="57"/>
    <x v="8"/>
    <n v="27.150396878999999"/>
  </r>
  <r>
    <x v="0"/>
    <x v="4"/>
    <x v="61"/>
    <x v="15"/>
    <x v="57"/>
    <x v="8"/>
    <n v="37.129435014999999"/>
  </r>
  <r>
    <x v="0"/>
    <x v="4"/>
    <x v="61"/>
    <x v="16"/>
    <x v="57"/>
    <x v="8"/>
    <n v="17.389411524"/>
  </r>
  <r>
    <x v="0"/>
    <x v="4"/>
    <x v="61"/>
    <x v="17"/>
    <x v="57"/>
    <x v="8"/>
    <n v="29.200010466999998"/>
  </r>
  <r>
    <x v="0"/>
    <x v="4"/>
    <x v="61"/>
    <x v="18"/>
    <x v="57"/>
    <x v="8"/>
    <n v="66.126734416000005"/>
  </r>
  <r>
    <x v="0"/>
    <x v="4"/>
    <x v="61"/>
    <x v="19"/>
    <x v="57"/>
    <x v="8"/>
    <n v="152.63510103499999"/>
  </r>
  <r>
    <x v="0"/>
    <x v="4"/>
    <x v="61"/>
    <x v="20"/>
    <x v="57"/>
    <x v="8"/>
    <n v="10.899899554999999"/>
  </r>
  <r>
    <x v="0"/>
    <x v="4"/>
    <x v="61"/>
    <x v="21"/>
    <x v="57"/>
    <x v="8"/>
    <n v="2.351301909"/>
  </r>
  <r>
    <x v="0"/>
    <x v="4"/>
    <x v="61"/>
    <x v="22"/>
    <x v="57"/>
    <x v="8"/>
    <n v="4.7836162919999996"/>
  </r>
  <r>
    <x v="0"/>
    <x v="4"/>
    <x v="61"/>
    <x v="23"/>
    <x v="57"/>
    <x v="8"/>
    <n v="0"/>
  </r>
  <r>
    <x v="0"/>
    <x v="4"/>
    <x v="61"/>
    <x v="24"/>
    <x v="57"/>
    <x v="8"/>
    <n v="0.620521408"/>
  </r>
  <r>
    <x v="0"/>
    <x v="4"/>
    <x v="61"/>
    <x v="25"/>
    <x v="57"/>
    <x v="8"/>
    <n v="0"/>
  </r>
  <r>
    <x v="0"/>
    <x v="4"/>
    <x v="61"/>
    <x v="26"/>
    <x v="57"/>
    <x v="8"/>
    <n v="0"/>
  </r>
  <r>
    <x v="0"/>
    <x v="4"/>
    <x v="61"/>
    <x v="27"/>
    <x v="57"/>
    <x v="8"/>
    <n v="2.8972883299999999"/>
  </r>
  <r>
    <x v="0"/>
    <x v="4"/>
    <x v="61"/>
    <x v="28"/>
    <x v="57"/>
    <x v="8"/>
    <n v="85.907490938999999"/>
  </r>
  <r>
    <x v="0"/>
    <x v="4"/>
    <x v="61"/>
    <x v="29"/>
    <x v="57"/>
    <x v="8"/>
    <n v="35.116561640999997"/>
  </r>
  <r>
    <x v="0"/>
    <x v="4"/>
    <x v="61"/>
    <x v="30"/>
    <x v="57"/>
    <x v="8"/>
    <n v="1.3884849459999999"/>
  </r>
  <r>
    <x v="0"/>
    <x v="4"/>
    <x v="61"/>
    <x v="31"/>
    <x v="57"/>
    <x v="8"/>
    <n v="9.4179512079999999"/>
  </r>
  <r>
    <x v="0"/>
    <x v="4"/>
    <x v="61"/>
    <x v="32"/>
    <x v="57"/>
    <x v="8"/>
    <n v="4.0678216389999999"/>
  </r>
  <r>
    <x v="0"/>
    <x v="4"/>
    <x v="61"/>
    <x v="33"/>
    <x v="57"/>
    <x v="8"/>
    <n v="0"/>
  </r>
  <r>
    <x v="0"/>
    <x v="4"/>
    <x v="61"/>
    <x v="34"/>
    <x v="57"/>
    <x v="8"/>
    <n v="23.280629763"/>
  </r>
  <r>
    <x v="0"/>
    <x v="4"/>
    <x v="61"/>
    <x v="35"/>
    <x v="57"/>
    <x v="8"/>
    <n v="0.134335607"/>
  </r>
  <r>
    <x v="0"/>
    <x v="4"/>
    <x v="61"/>
    <x v="36"/>
    <x v="57"/>
    <x v="8"/>
    <n v="0.491462024"/>
  </r>
  <r>
    <x v="0"/>
    <x v="4"/>
    <x v="61"/>
    <x v="37"/>
    <x v="57"/>
    <x v="8"/>
    <n v="0.36057495699999997"/>
  </r>
  <r>
    <x v="0"/>
    <x v="4"/>
    <x v="61"/>
    <x v="38"/>
    <x v="57"/>
    <x v="8"/>
    <n v="8.5395914000000003E-2"/>
  </r>
  <r>
    <x v="0"/>
    <x v="4"/>
    <x v="61"/>
    <x v="39"/>
    <x v="57"/>
    <x v="8"/>
    <n v="0.106162431"/>
  </r>
  <r>
    <x v="0"/>
    <x v="4"/>
    <x v="61"/>
    <x v="40"/>
    <x v="57"/>
    <x v="8"/>
    <n v="2.2278860159999998"/>
  </r>
  <r>
    <x v="0"/>
    <x v="4"/>
    <x v="61"/>
    <x v="41"/>
    <x v="57"/>
    <x v="8"/>
    <n v="0.16291909299999999"/>
  </r>
  <r>
    <x v="0"/>
    <x v="4"/>
    <x v="62"/>
    <x v="0"/>
    <x v="57"/>
    <x v="9"/>
    <n v="3.8823081000000002E-2"/>
  </r>
  <r>
    <x v="0"/>
    <x v="4"/>
    <x v="62"/>
    <x v="1"/>
    <x v="57"/>
    <x v="9"/>
    <n v="3.8823081000000002E-2"/>
  </r>
  <r>
    <x v="0"/>
    <x v="4"/>
    <x v="62"/>
    <x v="2"/>
    <x v="57"/>
    <x v="9"/>
    <n v="3.8823081000000002E-2"/>
  </r>
  <r>
    <x v="0"/>
    <x v="4"/>
    <x v="62"/>
    <x v="3"/>
    <x v="57"/>
    <x v="9"/>
    <n v="3.8823081000000002E-2"/>
  </r>
  <r>
    <x v="0"/>
    <x v="4"/>
    <x v="62"/>
    <x v="4"/>
    <x v="57"/>
    <x v="9"/>
    <n v="3.8823081000000002E-2"/>
  </r>
  <r>
    <x v="0"/>
    <x v="4"/>
    <x v="62"/>
    <x v="5"/>
    <x v="57"/>
    <x v="9"/>
    <n v="3.8823081000000002E-2"/>
  </r>
  <r>
    <x v="0"/>
    <x v="4"/>
    <x v="62"/>
    <x v="6"/>
    <x v="57"/>
    <x v="9"/>
    <n v="3.8823081000000002E-2"/>
  </r>
  <r>
    <x v="0"/>
    <x v="4"/>
    <x v="62"/>
    <x v="7"/>
    <x v="57"/>
    <x v="9"/>
    <n v="3.8823081000000002E-2"/>
  </r>
  <r>
    <x v="0"/>
    <x v="4"/>
    <x v="62"/>
    <x v="8"/>
    <x v="57"/>
    <x v="9"/>
    <n v="3.8823081000000002E-2"/>
  </r>
  <r>
    <x v="0"/>
    <x v="4"/>
    <x v="62"/>
    <x v="9"/>
    <x v="57"/>
    <x v="9"/>
    <n v="3.8823081000000002E-2"/>
  </r>
  <r>
    <x v="0"/>
    <x v="4"/>
    <x v="62"/>
    <x v="10"/>
    <x v="57"/>
    <x v="9"/>
    <n v="3.8823081000000002E-2"/>
  </r>
  <r>
    <x v="0"/>
    <x v="4"/>
    <x v="62"/>
    <x v="11"/>
    <x v="57"/>
    <x v="9"/>
    <n v="3.8823081000000002E-2"/>
  </r>
  <r>
    <x v="0"/>
    <x v="4"/>
    <x v="62"/>
    <x v="12"/>
    <x v="57"/>
    <x v="9"/>
    <n v="3.8823081000000002E-2"/>
  </r>
  <r>
    <x v="0"/>
    <x v="4"/>
    <x v="62"/>
    <x v="13"/>
    <x v="57"/>
    <x v="9"/>
    <n v="3.8823081000000002E-2"/>
  </r>
  <r>
    <x v="0"/>
    <x v="4"/>
    <x v="62"/>
    <x v="14"/>
    <x v="57"/>
    <x v="9"/>
    <n v="3.8823081000000002E-2"/>
  </r>
  <r>
    <x v="0"/>
    <x v="4"/>
    <x v="62"/>
    <x v="15"/>
    <x v="57"/>
    <x v="9"/>
    <n v="3.8823081000000002E-2"/>
  </r>
  <r>
    <x v="0"/>
    <x v="4"/>
    <x v="62"/>
    <x v="16"/>
    <x v="57"/>
    <x v="9"/>
    <n v="3.8823081000000002E-2"/>
  </r>
  <r>
    <x v="0"/>
    <x v="4"/>
    <x v="62"/>
    <x v="17"/>
    <x v="57"/>
    <x v="9"/>
    <n v="3.8823081000000002E-2"/>
  </r>
  <r>
    <x v="0"/>
    <x v="4"/>
    <x v="62"/>
    <x v="18"/>
    <x v="57"/>
    <x v="9"/>
    <n v="3.8823081000000002E-2"/>
  </r>
  <r>
    <x v="0"/>
    <x v="4"/>
    <x v="62"/>
    <x v="19"/>
    <x v="57"/>
    <x v="9"/>
    <n v="3.8823081000000002E-2"/>
  </r>
  <r>
    <x v="0"/>
    <x v="4"/>
    <x v="62"/>
    <x v="20"/>
    <x v="57"/>
    <x v="9"/>
    <n v="3.8823081000000002E-2"/>
  </r>
  <r>
    <x v="0"/>
    <x v="4"/>
    <x v="62"/>
    <x v="21"/>
    <x v="57"/>
    <x v="9"/>
    <n v="3.8823081000000002E-2"/>
  </r>
  <r>
    <x v="0"/>
    <x v="4"/>
    <x v="62"/>
    <x v="22"/>
    <x v="57"/>
    <x v="9"/>
    <n v="3.8823081000000002E-2"/>
  </r>
  <r>
    <x v="0"/>
    <x v="4"/>
    <x v="62"/>
    <x v="23"/>
    <x v="57"/>
    <x v="9"/>
    <n v="1"/>
  </r>
  <r>
    <x v="0"/>
    <x v="4"/>
    <x v="62"/>
    <x v="24"/>
    <x v="57"/>
    <x v="9"/>
    <n v="3.8823081000000002E-2"/>
  </r>
  <r>
    <x v="0"/>
    <x v="4"/>
    <x v="62"/>
    <x v="25"/>
    <x v="57"/>
    <x v="9"/>
    <n v="3.8823081000000002E-2"/>
  </r>
  <r>
    <x v="0"/>
    <x v="4"/>
    <x v="62"/>
    <x v="26"/>
    <x v="57"/>
    <x v="9"/>
    <n v="1"/>
  </r>
  <r>
    <x v="0"/>
    <x v="4"/>
    <x v="62"/>
    <x v="27"/>
    <x v="57"/>
    <x v="9"/>
    <n v="3.8823081000000002E-2"/>
  </r>
  <r>
    <x v="0"/>
    <x v="4"/>
    <x v="62"/>
    <x v="28"/>
    <x v="57"/>
    <x v="9"/>
    <n v="1"/>
  </r>
  <r>
    <x v="0"/>
    <x v="4"/>
    <x v="62"/>
    <x v="29"/>
    <x v="57"/>
    <x v="9"/>
    <n v="3.8823081000000002E-2"/>
  </r>
  <r>
    <x v="0"/>
    <x v="4"/>
    <x v="62"/>
    <x v="30"/>
    <x v="57"/>
    <x v="9"/>
    <n v="3.8823081000000002E-2"/>
  </r>
  <r>
    <x v="0"/>
    <x v="4"/>
    <x v="62"/>
    <x v="31"/>
    <x v="57"/>
    <x v="9"/>
    <n v="3.8823081000000002E-2"/>
  </r>
  <r>
    <x v="0"/>
    <x v="4"/>
    <x v="62"/>
    <x v="32"/>
    <x v="57"/>
    <x v="9"/>
    <n v="3.8823081000000002E-2"/>
  </r>
  <r>
    <x v="0"/>
    <x v="4"/>
    <x v="62"/>
    <x v="33"/>
    <x v="57"/>
    <x v="9"/>
    <n v="1"/>
  </r>
  <r>
    <x v="0"/>
    <x v="4"/>
    <x v="62"/>
    <x v="34"/>
    <x v="57"/>
    <x v="9"/>
    <n v="3.8823081000000002E-2"/>
  </r>
  <r>
    <x v="0"/>
    <x v="4"/>
    <x v="62"/>
    <x v="35"/>
    <x v="57"/>
    <x v="9"/>
    <n v="3.8823081000000002E-2"/>
  </r>
  <r>
    <x v="0"/>
    <x v="4"/>
    <x v="62"/>
    <x v="36"/>
    <x v="57"/>
    <x v="9"/>
    <n v="3.8823081000000002E-2"/>
  </r>
  <r>
    <x v="0"/>
    <x v="4"/>
    <x v="62"/>
    <x v="37"/>
    <x v="57"/>
    <x v="9"/>
    <n v="3.8823081000000002E-2"/>
  </r>
  <r>
    <x v="0"/>
    <x v="4"/>
    <x v="62"/>
    <x v="38"/>
    <x v="57"/>
    <x v="9"/>
    <n v="3.8823081000000002E-2"/>
  </r>
  <r>
    <x v="0"/>
    <x v="4"/>
    <x v="62"/>
    <x v="39"/>
    <x v="57"/>
    <x v="9"/>
    <n v="3.8823081000000002E-2"/>
  </r>
  <r>
    <x v="0"/>
    <x v="4"/>
    <x v="62"/>
    <x v="40"/>
    <x v="57"/>
    <x v="9"/>
    <n v="3.8823081000000002E-2"/>
  </r>
  <r>
    <x v="0"/>
    <x v="4"/>
    <x v="62"/>
    <x v="41"/>
    <x v="57"/>
    <x v="9"/>
    <n v="3.8823081000000002E-2"/>
  </r>
  <r>
    <x v="0"/>
    <x v="4"/>
    <x v="63"/>
    <x v="0"/>
    <x v="57"/>
    <x v="9"/>
    <n v="5.0670997000000002E-2"/>
  </r>
  <r>
    <x v="0"/>
    <x v="4"/>
    <x v="63"/>
    <x v="1"/>
    <x v="57"/>
    <x v="9"/>
    <n v="3.3457716999999998E-2"/>
  </r>
  <r>
    <x v="0"/>
    <x v="4"/>
    <x v="63"/>
    <x v="2"/>
    <x v="57"/>
    <x v="9"/>
    <n v="2.9432106999999999E-2"/>
  </r>
  <r>
    <x v="0"/>
    <x v="4"/>
    <x v="63"/>
    <x v="3"/>
    <x v="57"/>
    <x v="9"/>
    <n v="3.2163952000000003E-2"/>
  </r>
  <r>
    <x v="0"/>
    <x v="4"/>
    <x v="63"/>
    <x v="4"/>
    <x v="57"/>
    <x v="9"/>
    <n v="3.038896E-2"/>
  </r>
  <r>
    <x v="0"/>
    <x v="4"/>
    <x v="63"/>
    <x v="5"/>
    <x v="57"/>
    <x v="9"/>
    <n v="3.3266614999999999E-2"/>
  </r>
  <r>
    <x v="0"/>
    <x v="4"/>
    <x v="63"/>
    <x v="6"/>
    <x v="57"/>
    <x v="9"/>
    <n v="3.1976185999999997E-2"/>
  </r>
  <r>
    <x v="0"/>
    <x v="4"/>
    <x v="63"/>
    <x v="7"/>
    <x v="57"/>
    <x v="9"/>
    <n v="3.2644737E-2"/>
  </r>
  <r>
    <x v="0"/>
    <x v="4"/>
    <x v="63"/>
    <x v="8"/>
    <x v="57"/>
    <x v="9"/>
    <n v="3.1137735999999999E-2"/>
  </r>
  <r>
    <x v="0"/>
    <x v="4"/>
    <x v="63"/>
    <x v="9"/>
    <x v="57"/>
    <x v="9"/>
    <n v="2.8029216999999999E-2"/>
  </r>
  <r>
    <x v="0"/>
    <x v="4"/>
    <x v="63"/>
    <x v="10"/>
    <x v="57"/>
    <x v="9"/>
    <n v="2.2346708999999999E-2"/>
  </r>
  <r>
    <x v="0"/>
    <x v="4"/>
    <x v="63"/>
    <x v="11"/>
    <x v="57"/>
    <x v="9"/>
    <n v="2.6136907000000001E-2"/>
  </r>
  <r>
    <x v="0"/>
    <x v="4"/>
    <x v="63"/>
    <x v="12"/>
    <x v="57"/>
    <x v="9"/>
    <n v="2.735433E-2"/>
  </r>
  <r>
    <x v="0"/>
    <x v="4"/>
    <x v="63"/>
    <x v="13"/>
    <x v="57"/>
    <x v="9"/>
    <n v="2.3570338E-2"/>
  </r>
  <r>
    <x v="0"/>
    <x v="4"/>
    <x v="63"/>
    <x v="14"/>
    <x v="57"/>
    <x v="9"/>
    <n v="2.5370925999999999E-2"/>
  </r>
  <r>
    <x v="0"/>
    <x v="4"/>
    <x v="63"/>
    <x v="15"/>
    <x v="57"/>
    <x v="9"/>
    <n v="2.8234602000000001E-2"/>
  </r>
  <r>
    <x v="0"/>
    <x v="4"/>
    <x v="63"/>
    <x v="16"/>
    <x v="57"/>
    <x v="9"/>
    <n v="2.9095474999999999E-2"/>
  </r>
  <r>
    <x v="0"/>
    <x v="4"/>
    <x v="63"/>
    <x v="17"/>
    <x v="57"/>
    <x v="9"/>
    <n v="2.8231672999999999E-2"/>
  </r>
  <r>
    <x v="0"/>
    <x v="4"/>
    <x v="63"/>
    <x v="18"/>
    <x v="57"/>
    <x v="9"/>
    <n v="2.5742476E-2"/>
  </r>
  <r>
    <x v="0"/>
    <x v="4"/>
    <x v="63"/>
    <x v="19"/>
    <x v="57"/>
    <x v="9"/>
    <n v="3.0321628E-2"/>
  </r>
  <r>
    <x v="0"/>
    <x v="4"/>
    <x v="63"/>
    <x v="20"/>
    <x v="57"/>
    <x v="9"/>
    <n v="3.0283325999999999E-2"/>
  </r>
  <r>
    <x v="0"/>
    <x v="4"/>
    <x v="63"/>
    <x v="21"/>
    <x v="57"/>
    <x v="9"/>
    <n v="2.7890811000000001E-2"/>
  </r>
  <r>
    <x v="0"/>
    <x v="4"/>
    <x v="63"/>
    <x v="22"/>
    <x v="57"/>
    <x v="9"/>
    <n v="1.5720919E-2"/>
  </r>
  <r>
    <x v="0"/>
    <x v="4"/>
    <x v="63"/>
    <x v="23"/>
    <x v="57"/>
    <x v="9"/>
    <n v="1"/>
  </r>
  <r>
    <x v="0"/>
    <x v="4"/>
    <x v="63"/>
    <x v="24"/>
    <x v="57"/>
    <x v="9"/>
    <n v="2.4034927000000001E-2"/>
  </r>
  <r>
    <x v="0"/>
    <x v="4"/>
    <x v="63"/>
    <x v="25"/>
    <x v="57"/>
    <x v="9"/>
    <n v="1"/>
  </r>
  <r>
    <x v="0"/>
    <x v="4"/>
    <x v="63"/>
    <x v="26"/>
    <x v="57"/>
    <x v="9"/>
    <n v="1"/>
  </r>
  <r>
    <x v="0"/>
    <x v="4"/>
    <x v="63"/>
    <x v="27"/>
    <x v="57"/>
    <x v="9"/>
    <n v="3.1066412000000002E-2"/>
  </r>
  <r>
    <x v="0"/>
    <x v="4"/>
    <x v="63"/>
    <x v="28"/>
    <x v="57"/>
    <x v="9"/>
    <n v="3.2933674000000003E-2"/>
  </r>
  <r>
    <x v="0"/>
    <x v="4"/>
    <x v="63"/>
    <x v="29"/>
    <x v="57"/>
    <x v="9"/>
    <n v="2.8536665999999999E-2"/>
  </r>
  <r>
    <x v="0"/>
    <x v="4"/>
    <x v="63"/>
    <x v="30"/>
    <x v="57"/>
    <x v="9"/>
    <n v="3.9655007999999999E-2"/>
  </r>
  <r>
    <x v="0"/>
    <x v="4"/>
    <x v="63"/>
    <x v="31"/>
    <x v="57"/>
    <x v="9"/>
    <n v="2.6132698999999999E-2"/>
  </r>
  <r>
    <x v="0"/>
    <x v="4"/>
    <x v="63"/>
    <x v="32"/>
    <x v="57"/>
    <x v="9"/>
    <n v="2.7897307E-2"/>
  </r>
  <r>
    <x v="0"/>
    <x v="4"/>
    <x v="63"/>
    <x v="33"/>
    <x v="57"/>
    <x v="9"/>
    <n v="1"/>
  </r>
  <r>
    <x v="0"/>
    <x v="4"/>
    <x v="63"/>
    <x v="34"/>
    <x v="57"/>
    <x v="9"/>
    <n v="2.8957461E-2"/>
  </r>
  <r>
    <x v="0"/>
    <x v="4"/>
    <x v="63"/>
    <x v="35"/>
    <x v="57"/>
    <x v="9"/>
    <n v="2.9957739000000001E-2"/>
  </r>
  <r>
    <x v="0"/>
    <x v="4"/>
    <x v="63"/>
    <x v="36"/>
    <x v="57"/>
    <x v="9"/>
    <n v="3.2200259000000002E-2"/>
  </r>
  <r>
    <x v="0"/>
    <x v="4"/>
    <x v="63"/>
    <x v="37"/>
    <x v="57"/>
    <x v="9"/>
    <n v="3.8925467999999998E-2"/>
  </r>
  <r>
    <x v="0"/>
    <x v="4"/>
    <x v="63"/>
    <x v="38"/>
    <x v="57"/>
    <x v="9"/>
    <n v="5.2795398E-2"/>
  </r>
  <r>
    <x v="0"/>
    <x v="4"/>
    <x v="63"/>
    <x v="39"/>
    <x v="57"/>
    <x v="9"/>
    <n v="3.9467545999999999E-2"/>
  </r>
  <r>
    <x v="0"/>
    <x v="4"/>
    <x v="63"/>
    <x v="40"/>
    <x v="57"/>
    <x v="9"/>
    <n v="3.6903205000000001E-2"/>
  </r>
  <r>
    <x v="0"/>
    <x v="4"/>
    <x v="63"/>
    <x v="41"/>
    <x v="57"/>
    <x v="9"/>
    <n v="4.3359446000000003E-2"/>
  </r>
  <r>
    <x v="0"/>
    <x v="4"/>
    <x v="64"/>
    <x v="0"/>
    <x v="57"/>
    <x v="10"/>
    <n v="0"/>
  </r>
  <r>
    <x v="0"/>
    <x v="4"/>
    <x v="64"/>
    <x v="1"/>
    <x v="57"/>
    <x v="10"/>
    <n v="0"/>
  </r>
  <r>
    <x v="0"/>
    <x v="4"/>
    <x v="64"/>
    <x v="2"/>
    <x v="57"/>
    <x v="10"/>
    <n v="0"/>
  </r>
  <r>
    <x v="0"/>
    <x v="4"/>
    <x v="64"/>
    <x v="3"/>
    <x v="57"/>
    <x v="10"/>
    <n v="0"/>
  </r>
  <r>
    <x v="0"/>
    <x v="4"/>
    <x v="64"/>
    <x v="4"/>
    <x v="57"/>
    <x v="10"/>
    <n v="0"/>
  </r>
  <r>
    <x v="0"/>
    <x v="4"/>
    <x v="64"/>
    <x v="5"/>
    <x v="57"/>
    <x v="10"/>
    <n v="0"/>
  </r>
  <r>
    <x v="0"/>
    <x v="4"/>
    <x v="64"/>
    <x v="6"/>
    <x v="57"/>
    <x v="10"/>
    <n v="0"/>
  </r>
  <r>
    <x v="0"/>
    <x v="4"/>
    <x v="64"/>
    <x v="7"/>
    <x v="57"/>
    <x v="10"/>
    <n v="0"/>
  </r>
  <r>
    <x v="0"/>
    <x v="4"/>
    <x v="64"/>
    <x v="8"/>
    <x v="57"/>
    <x v="10"/>
    <n v="0"/>
  </r>
  <r>
    <x v="0"/>
    <x v="4"/>
    <x v="64"/>
    <x v="9"/>
    <x v="57"/>
    <x v="10"/>
    <n v="0"/>
  </r>
  <r>
    <x v="0"/>
    <x v="4"/>
    <x v="64"/>
    <x v="10"/>
    <x v="57"/>
    <x v="10"/>
    <n v="0"/>
  </r>
  <r>
    <x v="0"/>
    <x v="4"/>
    <x v="64"/>
    <x v="11"/>
    <x v="57"/>
    <x v="10"/>
    <n v="0"/>
  </r>
  <r>
    <x v="0"/>
    <x v="4"/>
    <x v="64"/>
    <x v="12"/>
    <x v="57"/>
    <x v="10"/>
    <n v="0"/>
  </r>
  <r>
    <x v="0"/>
    <x v="4"/>
    <x v="64"/>
    <x v="13"/>
    <x v="57"/>
    <x v="10"/>
    <n v="0"/>
  </r>
  <r>
    <x v="0"/>
    <x v="4"/>
    <x v="64"/>
    <x v="14"/>
    <x v="57"/>
    <x v="10"/>
    <n v="0"/>
  </r>
  <r>
    <x v="0"/>
    <x v="4"/>
    <x v="64"/>
    <x v="15"/>
    <x v="57"/>
    <x v="10"/>
    <n v="0"/>
  </r>
  <r>
    <x v="0"/>
    <x v="4"/>
    <x v="64"/>
    <x v="16"/>
    <x v="57"/>
    <x v="10"/>
    <n v="0"/>
  </r>
  <r>
    <x v="0"/>
    <x v="4"/>
    <x v="64"/>
    <x v="17"/>
    <x v="57"/>
    <x v="10"/>
    <n v="0"/>
  </r>
  <r>
    <x v="0"/>
    <x v="4"/>
    <x v="64"/>
    <x v="18"/>
    <x v="57"/>
    <x v="10"/>
    <n v="0"/>
  </r>
  <r>
    <x v="0"/>
    <x v="4"/>
    <x v="64"/>
    <x v="19"/>
    <x v="57"/>
    <x v="10"/>
    <n v="0"/>
  </r>
  <r>
    <x v="0"/>
    <x v="4"/>
    <x v="64"/>
    <x v="20"/>
    <x v="57"/>
    <x v="10"/>
    <n v="0"/>
  </r>
  <r>
    <x v="0"/>
    <x v="4"/>
    <x v="64"/>
    <x v="21"/>
    <x v="57"/>
    <x v="10"/>
    <n v="0"/>
  </r>
  <r>
    <x v="0"/>
    <x v="4"/>
    <x v="64"/>
    <x v="22"/>
    <x v="57"/>
    <x v="10"/>
    <n v="0"/>
  </r>
  <r>
    <x v="0"/>
    <x v="4"/>
    <x v="64"/>
    <x v="23"/>
    <x v="57"/>
    <x v="10"/>
    <n v="0"/>
  </r>
  <r>
    <x v="0"/>
    <x v="4"/>
    <x v="64"/>
    <x v="24"/>
    <x v="57"/>
    <x v="10"/>
    <n v="0"/>
  </r>
  <r>
    <x v="0"/>
    <x v="4"/>
    <x v="64"/>
    <x v="25"/>
    <x v="57"/>
    <x v="10"/>
    <n v="0"/>
  </r>
  <r>
    <x v="0"/>
    <x v="4"/>
    <x v="64"/>
    <x v="26"/>
    <x v="57"/>
    <x v="10"/>
    <n v="0"/>
  </r>
  <r>
    <x v="0"/>
    <x v="4"/>
    <x v="64"/>
    <x v="27"/>
    <x v="57"/>
    <x v="10"/>
    <n v="0"/>
  </r>
  <r>
    <x v="0"/>
    <x v="4"/>
    <x v="64"/>
    <x v="28"/>
    <x v="57"/>
    <x v="10"/>
    <n v="0"/>
  </r>
  <r>
    <x v="0"/>
    <x v="4"/>
    <x v="64"/>
    <x v="29"/>
    <x v="57"/>
    <x v="10"/>
    <n v="0"/>
  </r>
  <r>
    <x v="0"/>
    <x v="4"/>
    <x v="64"/>
    <x v="30"/>
    <x v="57"/>
    <x v="10"/>
    <n v="0"/>
  </r>
  <r>
    <x v="0"/>
    <x v="4"/>
    <x v="64"/>
    <x v="31"/>
    <x v="57"/>
    <x v="10"/>
    <n v="0"/>
  </r>
  <r>
    <x v="0"/>
    <x v="4"/>
    <x v="64"/>
    <x v="32"/>
    <x v="57"/>
    <x v="10"/>
    <n v="0"/>
  </r>
  <r>
    <x v="0"/>
    <x v="4"/>
    <x v="64"/>
    <x v="33"/>
    <x v="57"/>
    <x v="10"/>
    <n v="0"/>
  </r>
  <r>
    <x v="0"/>
    <x v="4"/>
    <x v="64"/>
    <x v="34"/>
    <x v="57"/>
    <x v="10"/>
    <n v="0"/>
  </r>
  <r>
    <x v="0"/>
    <x v="4"/>
    <x v="64"/>
    <x v="35"/>
    <x v="57"/>
    <x v="10"/>
    <n v="0"/>
  </r>
  <r>
    <x v="0"/>
    <x v="4"/>
    <x v="64"/>
    <x v="36"/>
    <x v="57"/>
    <x v="10"/>
    <n v="0"/>
  </r>
  <r>
    <x v="0"/>
    <x v="4"/>
    <x v="64"/>
    <x v="37"/>
    <x v="57"/>
    <x v="10"/>
    <n v="0"/>
  </r>
  <r>
    <x v="0"/>
    <x v="4"/>
    <x v="64"/>
    <x v="38"/>
    <x v="57"/>
    <x v="10"/>
    <n v="0"/>
  </r>
  <r>
    <x v="0"/>
    <x v="4"/>
    <x v="64"/>
    <x v="39"/>
    <x v="57"/>
    <x v="10"/>
    <n v="0"/>
  </r>
  <r>
    <x v="0"/>
    <x v="4"/>
    <x v="64"/>
    <x v="40"/>
    <x v="57"/>
    <x v="10"/>
    <n v="0"/>
  </r>
  <r>
    <x v="0"/>
    <x v="4"/>
    <x v="64"/>
    <x v="41"/>
    <x v="57"/>
    <x v="10"/>
    <n v="0"/>
  </r>
  <r>
    <x v="0"/>
    <x v="4"/>
    <x v="65"/>
    <x v="48"/>
    <x v="58"/>
    <x v="11"/>
    <n v="1669.2154535520001"/>
  </r>
  <r>
    <x v="0"/>
    <x v="4"/>
    <x v="65"/>
    <x v="49"/>
    <x v="58"/>
    <x v="11"/>
    <n v="1611.4249517559999"/>
  </r>
  <r>
    <x v="0"/>
    <x v="4"/>
    <x v="66"/>
    <x v="48"/>
    <x v="58"/>
    <x v="12"/>
    <n v="6.4281587000000001E-2"/>
  </r>
  <r>
    <x v="0"/>
    <x v="4"/>
    <x v="66"/>
    <x v="49"/>
    <x v="58"/>
    <x v="12"/>
    <n v="6.2056070999999997E-2"/>
  </r>
  <r>
    <x v="0"/>
    <x v="5"/>
    <x v="0"/>
    <x v="0"/>
    <x v="0"/>
    <x v="0"/>
    <n v="642.77622258600002"/>
  </r>
  <r>
    <x v="0"/>
    <x v="5"/>
    <x v="1"/>
    <x v="0"/>
    <x v="0"/>
    <x v="1"/>
    <n v="0.10279933500000001"/>
  </r>
  <r>
    <x v="0"/>
    <x v="5"/>
    <x v="2"/>
    <x v="0"/>
    <x v="0"/>
    <x v="1"/>
    <n v="245.597674474"/>
  </r>
  <r>
    <x v="0"/>
    <x v="5"/>
    <x v="3"/>
    <x v="0"/>
    <x v="0"/>
    <x v="1"/>
    <n v="0.12519444800000001"/>
  </r>
  <r>
    <x v="0"/>
    <x v="5"/>
    <x v="0"/>
    <x v="1"/>
    <x v="0"/>
    <x v="0"/>
    <n v="202.50969069199999"/>
  </r>
  <r>
    <x v="0"/>
    <x v="5"/>
    <x v="1"/>
    <x v="1"/>
    <x v="0"/>
    <x v="1"/>
    <n v="5.7747944000000002E-2"/>
  </r>
  <r>
    <x v="0"/>
    <x v="5"/>
    <x v="2"/>
    <x v="1"/>
    <x v="0"/>
    <x v="1"/>
    <n v="123.417459522"/>
  </r>
  <r>
    <x v="0"/>
    <x v="5"/>
    <x v="3"/>
    <x v="1"/>
    <x v="0"/>
    <x v="1"/>
    <n v="7.3554362999999998E-2"/>
  </r>
  <r>
    <x v="0"/>
    <x v="5"/>
    <x v="0"/>
    <x v="2"/>
    <x v="0"/>
    <x v="0"/>
    <n v="223.58059127600001"/>
  </r>
  <r>
    <x v="0"/>
    <x v="5"/>
    <x v="1"/>
    <x v="2"/>
    <x v="0"/>
    <x v="1"/>
    <n v="3.6990601999999997E-2"/>
  </r>
  <r>
    <x v="0"/>
    <x v="5"/>
    <x v="2"/>
    <x v="2"/>
    <x v="0"/>
    <x v="1"/>
    <n v="128.151363678"/>
  </r>
  <r>
    <x v="0"/>
    <x v="5"/>
    <x v="3"/>
    <x v="2"/>
    <x v="0"/>
    <x v="1"/>
    <n v="2.6655359999999999E-2"/>
  </r>
  <r>
    <x v="0"/>
    <x v="5"/>
    <x v="0"/>
    <x v="3"/>
    <x v="0"/>
    <x v="0"/>
    <n v="113.43508638599999"/>
  </r>
  <r>
    <x v="0"/>
    <x v="5"/>
    <x v="1"/>
    <x v="3"/>
    <x v="0"/>
    <x v="1"/>
    <n v="4.7460987000000003E-2"/>
  </r>
  <r>
    <x v="0"/>
    <x v="5"/>
    <x v="2"/>
    <x v="3"/>
    <x v="0"/>
    <x v="1"/>
    <n v="77.259949367000004"/>
  </r>
  <r>
    <x v="0"/>
    <x v="5"/>
    <x v="3"/>
    <x v="3"/>
    <x v="0"/>
    <x v="1"/>
    <n v="5.5567286E-2"/>
  </r>
  <r>
    <x v="0"/>
    <x v="5"/>
    <x v="0"/>
    <x v="4"/>
    <x v="0"/>
    <x v="0"/>
    <n v="54.767098871000002"/>
  </r>
  <r>
    <x v="0"/>
    <x v="5"/>
    <x v="1"/>
    <x v="4"/>
    <x v="0"/>
    <x v="1"/>
    <n v="5.1505380000000003E-2"/>
  </r>
  <r>
    <x v="0"/>
    <x v="5"/>
    <x v="2"/>
    <x v="4"/>
    <x v="0"/>
    <x v="1"/>
    <n v="36.850350882000001"/>
  </r>
  <r>
    <x v="0"/>
    <x v="5"/>
    <x v="3"/>
    <x v="4"/>
    <x v="0"/>
    <x v="1"/>
    <n v="6.4989141E-2"/>
  </r>
  <r>
    <x v="0"/>
    <x v="5"/>
    <x v="0"/>
    <x v="5"/>
    <x v="0"/>
    <x v="0"/>
    <n v="558.40694740599997"/>
  </r>
  <r>
    <x v="0"/>
    <x v="5"/>
    <x v="1"/>
    <x v="5"/>
    <x v="0"/>
    <x v="1"/>
    <n v="6.9920665000000007E-2"/>
  </r>
  <r>
    <x v="0"/>
    <x v="5"/>
    <x v="2"/>
    <x v="5"/>
    <x v="0"/>
    <x v="1"/>
    <n v="466.59139747299997"/>
  </r>
  <r>
    <x v="0"/>
    <x v="5"/>
    <x v="3"/>
    <x v="5"/>
    <x v="0"/>
    <x v="1"/>
    <n v="4.4618877000000001E-2"/>
  </r>
  <r>
    <x v="0"/>
    <x v="5"/>
    <x v="0"/>
    <x v="6"/>
    <x v="0"/>
    <x v="0"/>
    <n v="169.98583924100001"/>
  </r>
  <r>
    <x v="0"/>
    <x v="5"/>
    <x v="1"/>
    <x v="6"/>
    <x v="0"/>
    <x v="1"/>
    <n v="6.3805598000000005E-2"/>
  </r>
  <r>
    <x v="0"/>
    <x v="5"/>
    <x v="2"/>
    <x v="6"/>
    <x v="0"/>
    <x v="1"/>
    <n v="142.28053272599999"/>
  </r>
  <r>
    <x v="0"/>
    <x v="5"/>
    <x v="3"/>
    <x v="6"/>
    <x v="0"/>
    <x v="1"/>
    <n v="6.0095181999999997E-2"/>
  </r>
  <r>
    <x v="0"/>
    <x v="5"/>
    <x v="0"/>
    <x v="7"/>
    <x v="0"/>
    <x v="0"/>
    <n v="117.885789811"/>
  </r>
  <r>
    <x v="0"/>
    <x v="5"/>
    <x v="1"/>
    <x v="7"/>
    <x v="0"/>
    <x v="1"/>
    <n v="6.1621456999999998E-2"/>
  </r>
  <r>
    <x v="0"/>
    <x v="5"/>
    <x v="2"/>
    <x v="7"/>
    <x v="0"/>
    <x v="1"/>
    <n v="95.886600286000004"/>
  </r>
  <r>
    <x v="0"/>
    <x v="5"/>
    <x v="3"/>
    <x v="7"/>
    <x v="0"/>
    <x v="1"/>
    <n v="7.0889937E-2"/>
  </r>
  <r>
    <x v="0"/>
    <x v="5"/>
    <x v="0"/>
    <x v="8"/>
    <x v="0"/>
    <x v="0"/>
    <n v="85.179638006000005"/>
  </r>
  <r>
    <x v="0"/>
    <x v="5"/>
    <x v="1"/>
    <x v="8"/>
    <x v="0"/>
    <x v="1"/>
    <n v="5.8478082000000001E-2"/>
  </r>
  <r>
    <x v="0"/>
    <x v="5"/>
    <x v="2"/>
    <x v="8"/>
    <x v="0"/>
    <x v="1"/>
    <n v="69.552503146000006"/>
  </r>
  <r>
    <x v="0"/>
    <x v="5"/>
    <x v="3"/>
    <x v="8"/>
    <x v="0"/>
    <x v="1"/>
    <n v="5.7581441999999997E-2"/>
  </r>
  <r>
    <x v="0"/>
    <x v="5"/>
    <x v="0"/>
    <x v="9"/>
    <x v="0"/>
    <x v="0"/>
    <n v="202.637818498"/>
  </r>
  <r>
    <x v="0"/>
    <x v="5"/>
    <x v="1"/>
    <x v="9"/>
    <x v="0"/>
    <x v="1"/>
    <n v="5.2373781000000001E-2"/>
  </r>
  <r>
    <x v="0"/>
    <x v="5"/>
    <x v="2"/>
    <x v="9"/>
    <x v="0"/>
    <x v="1"/>
    <n v="162.26409159900001"/>
  </r>
  <r>
    <x v="0"/>
    <x v="5"/>
    <x v="3"/>
    <x v="9"/>
    <x v="0"/>
    <x v="1"/>
    <n v="6.2023930999999997E-2"/>
  </r>
  <r>
    <x v="0"/>
    <x v="5"/>
    <x v="0"/>
    <x v="10"/>
    <x v="0"/>
    <x v="0"/>
    <n v="313.93450306199998"/>
  </r>
  <r>
    <x v="0"/>
    <x v="5"/>
    <x v="1"/>
    <x v="10"/>
    <x v="0"/>
    <x v="1"/>
    <n v="3.7332109000000002E-2"/>
  </r>
  <r>
    <x v="0"/>
    <x v="5"/>
    <x v="2"/>
    <x v="10"/>
    <x v="0"/>
    <x v="1"/>
    <n v="287.57699782600002"/>
  </r>
  <r>
    <x v="0"/>
    <x v="5"/>
    <x v="3"/>
    <x v="10"/>
    <x v="0"/>
    <x v="1"/>
    <n v="4.4558052000000001E-2"/>
  </r>
  <r>
    <x v="0"/>
    <x v="5"/>
    <x v="0"/>
    <x v="11"/>
    <x v="0"/>
    <x v="0"/>
    <n v="809.545884183"/>
  </r>
  <r>
    <x v="0"/>
    <x v="5"/>
    <x v="1"/>
    <x v="11"/>
    <x v="0"/>
    <x v="1"/>
    <n v="4.6286955999999997E-2"/>
  </r>
  <r>
    <x v="0"/>
    <x v="5"/>
    <x v="2"/>
    <x v="11"/>
    <x v="0"/>
    <x v="1"/>
    <n v="680.23342772800004"/>
  </r>
  <r>
    <x v="0"/>
    <x v="5"/>
    <x v="3"/>
    <x v="11"/>
    <x v="0"/>
    <x v="1"/>
    <n v="4.0517371000000003E-2"/>
  </r>
  <r>
    <x v="0"/>
    <x v="5"/>
    <x v="0"/>
    <x v="12"/>
    <x v="0"/>
    <x v="0"/>
    <n v="238.023826348"/>
  </r>
  <r>
    <x v="0"/>
    <x v="5"/>
    <x v="1"/>
    <x v="12"/>
    <x v="0"/>
    <x v="1"/>
    <n v="4.7118036000000002E-2"/>
  </r>
  <r>
    <x v="0"/>
    <x v="5"/>
    <x v="2"/>
    <x v="12"/>
    <x v="0"/>
    <x v="1"/>
    <n v="190.69054300900001"/>
  </r>
  <r>
    <x v="0"/>
    <x v="5"/>
    <x v="3"/>
    <x v="12"/>
    <x v="0"/>
    <x v="1"/>
    <n v="5.2929901000000001E-2"/>
  </r>
  <r>
    <x v="0"/>
    <x v="5"/>
    <x v="0"/>
    <x v="13"/>
    <x v="0"/>
    <x v="0"/>
    <n v="650.07346399699998"/>
  </r>
  <r>
    <x v="0"/>
    <x v="5"/>
    <x v="1"/>
    <x v="13"/>
    <x v="0"/>
    <x v="1"/>
    <n v="3.8390161999999999E-2"/>
  </r>
  <r>
    <x v="0"/>
    <x v="5"/>
    <x v="2"/>
    <x v="13"/>
    <x v="0"/>
    <x v="1"/>
    <n v="551.69723510999995"/>
  </r>
  <r>
    <x v="0"/>
    <x v="5"/>
    <x v="3"/>
    <x v="13"/>
    <x v="0"/>
    <x v="1"/>
    <n v="3.5058950999999998E-2"/>
  </r>
  <r>
    <x v="0"/>
    <x v="5"/>
    <x v="0"/>
    <x v="14"/>
    <x v="0"/>
    <x v="0"/>
    <n v="176.78614572000001"/>
  </r>
  <r>
    <x v="0"/>
    <x v="5"/>
    <x v="1"/>
    <x v="14"/>
    <x v="0"/>
    <x v="1"/>
    <n v="4.3954790000000001E-2"/>
  </r>
  <r>
    <x v="0"/>
    <x v="5"/>
    <x v="2"/>
    <x v="14"/>
    <x v="0"/>
    <x v="1"/>
    <n v="147.54960129400001"/>
  </r>
  <r>
    <x v="0"/>
    <x v="5"/>
    <x v="3"/>
    <x v="14"/>
    <x v="0"/>
    <x v="1"/>
    <n v="5.6395280999999998E-2"/>
  </r>
  <r>
    <x v="0"/>
    <x v="5"/>
    <x v="0"/>
    <x v="15"/>
    <x v="0"/>
    <x v="0"/>
    <n v="194.90146421399999"/>
  </r>
  <r>
    <x v="0"/>
    <x v="5"/>
    <x v="1"/>
    <x v="15"/>
    <x v="0"/>
    <x v="1"/>
    <n v="4.6991904000000001E-2"/>
  </r>
  <r>
    <x v="0"/>
    <x v="5"/>
    <x v="2"/>
    <x v="15"/>
    <x v="0"/>
    <x v="1"/>
    <n v="161.025296037"/>
  </r>
  <r>
    <x v="0"/>
    <x v="5"/>
    <x v="3"/>
    <x v="15"/>
    <x v="0"/>
    <x v="1"/>
    <n v="6.1401532000000002E-2"/>
  </r>
  <r>
    <x v="0"/>
    <x v="5"/>
    <x v="0"/>
    <x v="16"/>
    <x v="0"/>
    <x v="0"/>
    <n v="125.150087235"/>
  </r>
  <r>
    <x v="0"/>
    <x v="5"/>
    <x v="1"/>
    <x v="16"/>
    <x v="0"/>
    <x v="1"/>
    <n v="4.7613739000000002E-2"/>
  </r>
  <r>
    <x v="0"/>
    <x v="5"/>
    <x v="2"/>
    <x v="16"/>
    <x v="0"/>
    <x v="1"/>
    <n v="102.27152472500001"/>
  </r>
  <r>
    <x v="0"/>
    <x v="5"/>
    <x v="3"/>
    <x v="16"/>
    <x v="0"/>
    <x v="1"/>
    <n v="6.0593406000000002E-2"/>
  </r>
  <r>
    <x v="0"/>
    <x v="5"/>
    <x v="0"/>
    <x v="17"/>
    <x v="0"/>
    <x v="0"/>
    <n v="291.44547763000003"/>
  </r>
  <r>
    <x v="0"/>
    <x v="5"/>
    <x v="1"/>
    <x v="17"/>
    <x v="0"/>
    <x v="1"/>
    <n v="4.8093793000000003E-2"/>
  </r>
  <r>
    <x v="0"/>
    <x v="5"/>
    <x v="2"/>
    <x v="17"/>
    <x v="0"/>
    <x v="1"/>
    <n v="243.74238299300001"/>
  </r>
  <r>
    <x v="0"/>
    <x v="5"/>
    <x v="3"/>
    <x v="17"/>
    <x v="0"/>
    <x v="1"/>
    <n v="5.8731424999999997E-2"/>
  </r>
  <r>
    <x v="0"/>
    <x v="5"/>
    <x v="0"/>
    <x v="18"/>
    <x v="0"/>
    <x v="0"/>
    <n v="250.89838597400001"/>
  </r>
  <r>
    <x v="0"/>
    <x v="5"/>
    <x v="1"/>
    <x v="18"/>
    <x v="0"/>
    <x v="1"/>
    <n v="4.3690594999999999E-2"/>
  </r>
  <r>
    <x v="0"/>
    <x v="5"/>
    <x v="2"/>
    <x v="18"/>
    <x v="0"/>
    <x v="1"/>
    <n v="215.26573948999999"/>
  </r>
  <r>
    <x v="0"/>
    <x v="5"/>
    <x v="3"/>
    <x v="18"/>
    <x v="0"/>
    <x v="1"/>
    <n v="4.8628758000000001E-2"/>
  </r>
  <r>
    <x v="0"/>
    <x v="5"/>
    <x v="0"/>
    <x v="19"/>
    <x v="0"/>
    <x v="0"/>
    <n v="290.03888325899999"/>
  </r>
  <r>
    <x v="0"/>
    <x v="5"/>
    <x v="1"/>
    <x v="19"/>
    <x v="0"/>
    <x v="1"/>
    <n v="4.7577532999999998E-2"/>
  </r>
  <r>
    <x v="0"/>
    <x v="5"/>
    <x v="2"/>
    <x v="19"/>
    <x v="0"/>
    <x v="1"/>
    <n v="245.84759244700001"/>
  </r>
  <r>
    <x v="0"/>
    <x v="5"/>
    <x v="3"/>
    <x v="19"/>
    <x v="0"/>
    <x v="1"/>
    <n v="6.6289514999999993E-2"/>
  </r>
  <r>
    <x v="0"/>
    <x v="5"/>
    <x v="0"/>
    <x v="20"/>
    <x v="0"/>
    <x v="0"/>
    <n v="35.542045489000003"/>
  </r>
  <r>
    <x v="0"/>
    <x v="5"/>
    <x v="1"/>
    <x v="20"/>
    <x v="0"/>
    <x v="1"/>
    <n v="4.6480346999999998E-2"/>
  </r>
  <r>
    <x v="0"/>
    <x v="5"/>
    <x v="2"/>
    <x v="20"/>
    <x v="0"/>
    <x v="1"/>
    <n v="28.495753716999999"/>
  </r>
  <r>
    <x v="0"/>
    <x v="5"/>
    <x v="3"/>
    <x v="20"/>
    <x v="0"/>
    <x v="1"/>
    <n v="5.5169487000000003E-2"/>
  </r>
  <r>
    <x v="0"/>
    <x v="5"/>
    <x v="0"/>
    <x v="21"/>
    <x v="0"/>
    <x v="0"/>
    <n v="15.480239658"/>
  </r>
  <r>
    <x v="0"/>
    <x v="5"/>
    <x v="1"/>
    <x v="21"/>
    <x v="0"/>
    <x v="1"/>
    <n v="5.3481364000000003E-2"/>
  </r>
  <r>
    <x v="0"/>
    <x v="5"/>
    <x v="2"/>
    <x v="21"/>
    <x v="0"/>
    <x v="1"/>
    <n v="12.678696107"/>
  </r>
  <r>
    <x v="0"/>
    <x v="5"/>
    <x v="3"/>
    <x v="21"/>
    <x v="0"/>
    <x v="1"/>
    <n v="6.3477960999999999E-2"/>
  </r>
  <r>
    <x v="0"/>
    <x v="5"/>
    <x v="0"/>
    <x v="22"/>
    <x v="0"/>
    <x v="0"/>
    <n v="70.687529237000007"/>
  </r>
  <r>
    <x v="0"/>
    <x v="5"/>
    <x v="1"/>
    <x v="22"/>
    <x v="0"/>
    <x v="1"/>
    <n v="1.1341373E-2"/>
  </r>
  <r>
    <x v="0"/>
    <x v="5"/>
    <x v="2"/>
    <x v="22"/>
    <x v="0"/>
    <x v="1"/>
    <n v="16.987426760999998"/>
  </r>
  <r>
    <x v="0"/>
    <x v="5"/>
    <x v="3"/>
    <x v="22"/>
    <x v="0"/>
    <x v="1"/>
    <n v="2.7363380000000001E-3"/>
  </r>
  <r>
    <x v="0"/>
    <x v="5"/>
    <x v="0"/>
    <x v="23"/>
    <x v="0"/>
    <x v="0"/>
    <n v="6.8316177869999999"/>
  </r>
  <r>
    <x v="0"/>
    <x v="5"/>
    <x v="1"/>
    <x v="23"/>
    <x v="0"/>
    <x v="1"/>
    <n v="5.3855298000000003E-2"/>
  </r>
  <r>
    <x v="0"/>
    <x v="5"/>
    <x v="2"/>
    <x v="23"/>
    <x v="0"/>
    <x v="1"/>
    <n v="5.6337202279999996"/>
  </r>
  <r>
    <x v="0"/>
    <x v="5"/>
    <x v="3"/>
    <x v="23"/>
    <x v="0"/>
    <x v="1"/>
    <n v="9.8177802999999994E-2"/>
  </r>
  <r>
    <x v="0"/>
    <x v="5"/>
    <x v="0"/>
    <x v="24"/>
    <x v="0"/>
    <x v="0"/>
    <n v="366.08312147300001"/>
  </r>
  <r>
    <x v="0"/>
    <x v="5"/>
    <x v="1"/>
    <x v="24"/>
    <x v="0"/>
    <x v="1"/>
    <n v="4.1570664E-2"/>
  </r>
  <r>
    <x v="0"/>
    <x v="5"/>
    <x v="2"/>
    <x v="24"/>
    <x v="0"/>
    <x v="1"/>
    <n v="287.10992515700002"/>
  </r>
  <r>
    <x v="0"/>
    <x v="5"/>
    <x v="3"/>
    <x v="24"/>
    <x v="0"/>
    <x v="1"/>
    <n v="3.1665003999999997E-2"/>
  </r>
  <r>
    <x v="0"/>
    <x v="5"/>
    <x v="0"/>
    <x v="25"/>
    <x v="0"/>
    <x v="0"/>
    <n v="22.478702164000001"/>
  </r>
  <r>
    <x v="0"/>
    <x v="5"/>
    <x v="1"/>
    <x v="25"/>
    <x v="0"/>
    <x v="1"/>
    <n v="3.5556688000000003E-2"/>
  </r>
  <r>
    <x v="0"/>
    <x v="5"/>
    <x v="2"/>
    <x v="25"/>
    <x v="0"/>
    <x v="1"/>
    <n v="18.112435209000001"/>
  </r>
  <r>
    <x v="0"/>
    <x v="5"/>
    <x v="3"/>
    <x v="25"/>
    <x v="0"/>
    <x v="1"/>
    <n v="2.8551823E-2"/>
  </r>
  <r>
    <x v="0"/>
    <x v="5"/>
    <x v="0"/>
    <x v="26"/>
    <x v="0"/>
    <x v="0"/>
    <n v="9.6500302179999995"/>
  </r>
  <r>
    <x v="0"/>
    <x v="5"/>
    <x v="1"/>
    <x v="26"/>
    <x v="0"/>
    <x v="1"/>
    <n v="5.2591800000000001E-2"/>
  </r>
  <r>
    <x v="0"/>
    <x v="5"/>
    <x v="2"/>
    <x v="26"/>
    <x v="0"/>
    <x v="1"/>
    <n v="5.7133456809999998"/>
  </r>
  <r>
    <x v="0"/>
    <x v="5"/>
    <x v="3"/>
    <x v="26"/>
    <x v="0"/>
    <x v="1"/>
    <n v="6.1015604000000001E-2"/>
  </r>
  <r>
    <x v="0"/>
    <x v="5"/>
    <x v="0"/>
    <x v="27"/>
    <x v="0"/>
    <x v="0"/>
    <n v="507.11250586"/>
  </r>
  <r>
    <x v="0"/>
    <x v="5"/>
    <x v="1"/>
    <x v="27"/>
    <x v="0"/>
    <x v="1"/>
    <n v="5.4137339999999999E-2"/>
  </r>
  <r>
    <x v="0"/>
    <x v="5"/>
    <x v="2"/>
    <x v="27"/>
    <x v="0"/>
    <x v="1"/>
    <n v="391.19955453300003"/>
  </r>
  <r>
    <x v="0"/>
    <x v="5"/>
    <x v="3"/>
    <x v="27"/>
    <x v="0"/>
    <x v="1"/>
    <n v="8.3505899999999994E-2"/>
  </r>
  <r>
    <x v="0"/>
    <x v="5"/>
    <x v="0"/>
    <x v="28"/>
    <x v="0"/>
    <x v="0"/>
    <n v="547.27256903099999"/>
  </r>
  <r>
    <x v="0"/>
    <x v="5"/>
    <x v="1"/>
    <x v="28"/>
    <x v="0"/>
    <x v="1"/>
    <n v="4.3999877E-2"/>
  </r>
  <r>
    <x v="0"/>
    <x v="5"/>
    <x v="2"/>
    <x v="28"/>
    <x v="0"/>
    <x v="1"/>
    <n v="293.00985980600001"/>
  </r>
  <r>
    <x v="0"/>
    <x v="5"/>
    <x v="3"/>
    <x v="28"/>
    <x v="0"/>
    <x v="1"/>
    <n v="4.4451987999999998E-2"/>
  </r>
  <r>
    <x v="0"/>
    <x v="5"/>
    <x v="0"/>
    <x v="29"/>
    <x v="0"/>
    <x v="0"/>
    <n v="450.57892983400001"/>
  </r>
  <r>
    <x v="0"/>
    <x v="5"/>
    <x v="1"/>
    <x v="29"/>
    <x v="0"/>
    <x v="1"/>
    <n v="4.7863432999999997E-2"/>
  </r>
  <r>
    <x v="0"/>
    <x v="5"/>
    <x v="2"/>
    <x v="29"/>
    <x v="0"/>
    <x v="1"/>
    <n v="289.198571104"/>
  </r>
  <r>
    <x v="0"/>
    <x v="5"/>
    <x v="3"/>
    <x v="29"/>
    <x v="0"/>
    <x v="1"/>
    <n v="5.2080781E-2"/>
  </r>
  <r>
    <x v="0"/>
    <x v="5"/>
    <x v="0"/>
    <x v="30"/>
    <x v="0"/>
    <x v="0"/>
    <n v="109.783575165"/>
  </r>
  <r>
    <x v="0"/>
    <x v="5"/>
    <x v="1"/>
    <x v="30"/>
    <x v="0"/>
    <x v="1"/>
    <n v="7.4352017000000006E-2"/>
  </r>
  <r>
    <x v="0"/>
    <x v="5"/>
    <x v="2"/>
    <x v="30"/>
    <x v="0"/>
    <x v="1"/>
    <n v="68.954856020999998"/>
  </r>
  <r>
    <x v="0"/>
    <x v="5"/>
    <x v="3"/>
    <x v="30"/>
    <x v="0"/>
    <x v="1"/>
    <n v="8.7777431000000003E-2"/>
  </r>
  <r>
    <x v="0"/>
    <x v="5"/>
    <x v="0"/>
    <x v="31"/>
    <x v="0"/>
    <x v="0"/>
    <n v="180.54526789499999"/>
  </r>
  <r>
    <x v="0"/>
    <x v="5"/>
    <x v="1"/>
    <x v="31"/>
    <x v="0"/>
    <x v="1"/>
    <n v="3.7332018000000002E-2"/>
  </r>
  <r>
    <x v="0"/>
    <x v="5"/>
    <x v="2"/>
    <x v="31"/>
    <x v="0"/>
    <x v="1"/>
    <n v="99.273567619999994"/>
  </r>
  <r>
    <x v="0"/>
    <x v="5"/>
    <x v="3"/>
    <x v="31"/>
    <x v="0"/>
    <x v="1"/>
    <n v="2.9398476999999999E-2"/>
  </r>
  <r>
    <x v="0"/>
    <x v="5"/>
    <x v="0"/>
    <x v="32"/>
    <x v="0"/>
    <x v="0"/>
    <n v="564.89183603499998"/>
  </r>
  <r>
    <x v="0"/>
    <x v="5"/>
    <x v="1"/>
    <x v="32"/>
    <x v="0"/>
    <x v="1"/>
    <n v="3.9111106E-2"/>
  </r>
  <r>
    <x v="0"/>
    <x v="5"/>
    <x v="2"/>
    <x v="32"/>
    <x v="0"/>
    <x v="1"/>
    <n v="265.70103482100001"/>
  </r>
  <r>
    <x v="0"/>
    <x v="5"/>
    <x v="3"/>
    <x v="32"/>
    <x v="0"/>
    <x v="1"/>
    <n v="3.3137789000000001E-2"/>
  </r>
  <r>
    <x v="0"/>
    <x v="5"/>
    <x v="0"/>
    <x v="33"/>
    <x v="0"/>
    <x v="0"/>
    <n v="592.31156629999998"/>
  </r>
  <r>
    <x v="0"/>
    <x v="5"/>
    <x v="1"/>
    <x v="33"/>
    <x v="0"/>
    <x v="1"/>
    <n v="2.3246982999999999E-2"/>
  </r>
  <r>
    <x v="0"/>
    <x v="5"/>
    <x v="2"/>
    <x v="33"/>
    <x v="0"/>
    <x v="1"/>
    <n v="228.20981620399999"/>
  </r>
  <r>
    <x v="0"/>
    <x v="5"/>
    <x v="3"/>
    <x v="33"/>
    <x v="0"/>
    <x v="1"/>
    <n v="1.1118311000000001E-2"/>
  </r>
  <r>
    <x v="0"/>
    <x v="5"/>
    <x v="0"/>
    <x v="34"/>
    <x v="0"/>
    <x v="0"/>
    <n v="271.98729379899999"/>
  </r>
  <r>
    <x v="0"/>
    <x v="5"/>
    <x v="1"/>
    <x v="34"/>
    <x v="0"/>
    <x v="1"/>
    <n v="5.1633910999999998E-2"/>
  </r>
  <r>
    <x v="0"/>
    <x v="5"/>
    <x v="2"/>
    <x v="34"/>
    <x v="0"/>
    <x v="1"/>
    <n v="192.25275457699999"/>
  </r>
  <r>
    <x v="0"/>
    <x v="5"/>
    <x v="3"/>
    <x v="34"/>
    <x v="0"/>
    <x v="1"/>
    <n v="5.9444444999999999E-2"/>
  </r>
  <r>
    <x v="0"/>
    <x v="5"/>
    <x v="0"/>
    <x v="35"/>
    <x v="0"/>
    <x v="0"/>
    <n v="188.99406353500001"/>
  </r>
  <r>
    <x v="0"/>
    <x v="5"/>
    <x v="1"/>
    <x v="35"/>
    <x v="0"/>
    <x v="1"/>
    <n v="5.3882563000000001E-2"/>
  </r>
  <r>
    <x v="0"/>
    <x v="5"/>
    <x v="2"/>
    <x v="35"/>
    <x v="0"/>
    <x v="1"/>
    <n v="124.08133384600001"/>
  </r>
  <r>
    <x v="0"/>
    <x v="5"/>
    <x v="3"/>
    <x v="35"/>
    <x v="0"/>
    <x v="1"/>
    <n v="6.3996111999999994E-2"/>
  </r>
  <r>
    <x v="0"/>
    <x v="5"/>
    <x v="0"/>
    <x v="36"/>
    <x v="0"/>
    <x v="0"/>
    <n v="54.555348797000001"/>
  </r>
  <r>
    <x v="0"/>
    <x v="5"/>
    <x v="1"/>
    <x v="36"/>
    <x v="0"/>
    <x v="1"/>
    <n v="5.9069056000000002E-2"/>
  </r>
  <r>
    <x v="0"/>
    <x v="5"/>
    <x v="2"/>
    <x v="36"/>
    <x v="0"/>
    <x v="1"/>
    <n v="32.227129394000002"/>
  </r>
  <r>
    <x v="0"/>
    <x v="5"/>
    <x v="3"/>
    <x v="36"/>
    <x v="0"/>
    <x v="1"/>
    <n v="6.6511562999999996E-2"/>
  </r>
  <r>
    <x v="0"/>
    <x v="5"/>
    <x v="0"/>
    <x v="37"/>
    <x v="0"/>
    <x v="0"/>
    <n v="79.833594081000001"/>
  </r>
  <r>
    <x v="0"/>
    <x v="5"/>
    <x v="1"/>
    <x v="37"/>
    <x v="0"/>
    <x v="1"/>
    <n v="6.6513127000000005E-2"/>
  </r>
  <r>
    <x v="0"/>
    <x v="5"/>
    <x v="2"/>
    <x v="37"/>
    <x v="0"/>
    <x v="1"/>
    <n v="41.957348633999999"/>
  </r>
  <r>
    <x v="0"/>
    <x v="5"/>
    <x v="3"/>
    <x v="37"/>
    <x v="0"/>
    <x v="1"/>
    <n v="8.8289968999999996E-2"/>
  </r>
  <r>
    <x v="0"/>
    <x v="5"/>
    <x v="0"/>
    <x v="38"/>
    <x v="0"/>
    <x v="0"/>
    <n v="171.619450984"/>
  </r>
  <r>
    <x v="0"/>
    <x v="5"/>
    <x v="1"/>
    <x v="38"/>
    <x v="0"/>
    <x v="1"/>
    <n v="9.3647595E-2"/>
  </r>
  <r>
    <x v="0"/>
    <x v="5"/>
    <x v="2"/>
    <x v="38"/>
    <x v="0"/>
    <x v="1"/>
    <n v="46.349111788999998"/>
  </r>
  <r>
    <x v="0"/>
    <x v="5"/>
    <x v="3"/>
    <x v="38"/>
    <x v="0"/>
    <x v="1"/>
    <n v="0.108827592"/>
  </r>
  <r>
    <x v="0"/>
    <x v="5"/>
    <x v="0"/>
    <x v="39"/>
    <x v="0"/>
    <x v="0"/>
    <n v="95.532053849999997"/>
  </r>
  <r>
    <x v="0"/>
    <x v="5"/>
    <x v="1"/>
    <x v="39"/>
    <x v="0"/>
    <x v="1"/>
    <n v="7.2211943000000001E-2"/>
  </r>
  <r>
    <x v="0"/>
    <x v="5"/>
    <x v="2"/>
    <x v="39"/>
    <x v="0"/>
    <x v="1"/>
    <n v="54.676278301000004"/>
  </r>
  <r>
    <x v="0"/>
    <x v="5"/>
    <x v="3"/>
    <x v="39"/>
    <x v="0"/>
    <x v="1"/>
    <n v="0.105651203"/>
  </r>
  <r>
    <x v="0"/>
    <x v="5"/>
    <x v="0"/>
    <x v="40"/>
    <x v="0"/>
    <x v="0"/>
    <n v="43.876268168999999"/>
  </r>
  <r>
    <x v="0"/>
    <x v="5"/>
    <x v="1"/>
    <x v="40"/>
    <x v="0"/>
    <x v="1"/>
    <n v="5.9067923000000001E-2"/>
  </r>
  <r>
    <x v="0"/>
    <x v="5"/>
    <x v="2"/>
    <x v="40"/>
    <x v="0"/>
    <x v="1"/>
    <n v="23.515789772000002"/>
  </r>
  <r>
    <x v="0"/>
    <x v="5"/>
    <x v="3"/>
    <x v="40"/>
    <x v="0"/>
    <x v="1"/>
    <n v="6.5578606999999997E-2"/>
  </r>
  <r>
    <x v="0"/>
    <x v="5"/>
    <x v="0"/>
    <x v="41"/>
    <x v="0"/>
    <x v="0"/>
    <n v="385.91711683699998"/>
  </r>
  <r>
    <x v="0"/>
    <x v="5"/>
    <x v="1"/>
    <x v="41"/>
    <x v="0"/>
    <x v="1"/>
    <n v="8.7081705999999995E-2"/>
  </r>
  <r>
    <x v="0"/>
    <x v="5"/>
    <x v="2"/>
    <x v="41"/>
    <x v="0"/>
    <x v="1"/>
    <n v="155.30102444400001"/>
  </r>
  <r>
    <x v="0"/>
    <x v="5"/>
    <x v="3"/>
    <x v="41"/>
    <x v="0"/>
    <x v="1"/>
    <n v="0.11030021800000001"/>
  </r>
  <r>
    <x v="0"/>
    <x v="5"/>
    <x v="4"/>
    <x v="0"/>
    <x v="1"/>
    <x v="0"/>
    <n v="149.16210915799999"/>
  </r>
  <r>
    <x v="0"/>
    <x v="5"/>
    <x v="5"/>
    <x v="0"/>
    <x v="1"/>
    <x v="1"/>
    <n v="1.6290200000000001E-4"/>
  </r>
  <r>
    <x v="0"/>
    <x v="5"/>
    <x v="6"/>
    <x v="0"/>
    <x v="1"/>
    <x v="1"/>
    <n v="0.47700984899999999"/>
  </r>
  <r>
    <x v="0"/>
    <x v="5"/>
    <x v="4"/>
    <x v="1"/>
    <x v="1"/>
    <x v="0"/>
    <n v="220.675405154"/>
  </r>
  <r>
    <x v="0"/>
    <x v="5"/>
    <x v="5"/>
    <x v="1"/>
    <x v="1"/>
    <x v="1"/>
    <n v="1.9843899999999999E-4"/>
  </r>
  <r>
    <x v="0"/>
    <x v="5"/>
    <x v="6"/>
    <x v="1"/>
    <x v="1"/>
    <x v="1"/>
    <n v="0.47700984899999999"/>
  </r>
  <r>
    <x v="0"/>
    <x v="5"/>
    <x v="4"/>
    <x v="2"/>
    <x v="1"/>
    <x v="0"/>
    <n v="335.95790034800001"/>
  </r>
  <r>
    <x v="0"/>
    <x v="5"/>
    <x v="5"/>
    <x v="2"/>
    <x v="1"/>
    <x v="1"/>
    <n v="4.6103600000000001E-4"/>
  </r>
  <r>
    <x v="0"/>
    <x v="5"/>
    <x v="6"/>
    <x v="2"/>
    <x v="1"/>
    <x v="1"/>
    <n v="0.47700984899999999"/>
  </r>
  <r>
    <x v="0"/>
    <x v="5"/>
    <x v="4"/>
    <x v="3"/>
    <x v="1"/>
    <x v="0"/>
    <n v="129.955000023"/>
  </r>
  <r>
    <x v="0"/>
    <x v="5"/>
    <x v="5"/>
    <x v="3"/>
    <x v="1"/>
    <x v="1"/>
    <n v="1.7961600000000001E-4"/>
  </r>
  <r>
    <x v="0"/>
    <x v="5"/>
    <x v="6"/>
    <x v="3"/>
    <x v="1"/>
    <x v="1"/>
    <n v="0.47700984899999999"/>
  </r>
  <r>
    <x v="0"/>
    <x v="5"/>
    <x v="4"/>
    <x v="4"/>
    <x v="1"/>
    <x v="0"/>
    <n v="58.087962812999997"/>
  </r>
  <r>
    <x v="0"/>
    <x v="5"/>
    <x v="5"/>
    <x v="4"/>
    <x v="1"/>
    <x v="1"/>
    <n v="1.7479E-4"/>
  </r>
  <r>
    <x v="0"/>
    <x v="5"/>
    <x v="6"/>
    <x v="4"/>
    <x v="1"/>
    <x v="1"/>
    <n v="0.47700984899999999"/>
  </r>
  <r>
    <x v="0"/>
    <x v="5"/>
    <x v="4"/>
    <x v="5"/>
    <x v="1"/>
    <x v="0"/>
    <n v="437.447099874"/>
  </r>
  <r>
    <x v="0"/>
    <x v="5"/>
    <x v="5"/>
    <x v="5"/>
    <x v="1"/>
    <x v="1"/>
    <n v="8.5175999999999999E-5"/>
  </r>
  <r>
    <x v="0"/>
    <x v="5"/>
    <x v="6"/>
    <x v="5"/>
    <x v="1"/>
    <x v="1"/>
    <n v="0.47700984899999999"/>
  </r>
  <r>
    <x v="0"/>
    <x v="5"/>
    <x v="4"/>
    <x v="6"/>
    <x v="1"/>
    <x v="0"/>
    <n v="126.467274184"/>
  </r>
  <r>
    <x v="0"/>
    <x v="5"/>
    <x v="5"/>
    <x v="6"/>
    <x v="1"/>
    <x v="1"/>
    <n v="5.4867000000000002E-5"/>
  </r>
  <r>
    <x v="0"/>
    <x v="5"/>
    <x v="6"/>
    <x v="6"/>
    <x v="1"/>
    <x v="1"/>
    <n v="0.47700984899999999"/>
  </r>
  <r>
    <x v="0"/>
    <x v="5"/>
    <x v="4"/>
    <x v="7"/>
    <x v="1"/>
    <x v="0"/>
    <n v="92.148993591000007"/>
  </r>
  <r>
    <x v="0"/>
    <x v="5"/>
    <x v="5"/>
    <x v="7"/>
    <x v="1"/>
    <x v="1"/>
    <n v="4.4146000000000001E-5"/>
  </r>
  <r>
    <x v="0"/>
    <x v="5"/>
    <x v="6"/>
    <x v="7"/>
    <x v="1"/>
    <x v="1"/>
    <n v="0.47700984899999999"/>
  </r>
  <r>
    <x v="0"/>
    <x v="5"/>
    <x v="4"/>
    <x v="8"/>
    <x v="1"/>
    <x v="0"/>
    <n v="74.452901261999997"/>
  </r>
  <r>
    <x v="0"/>
    <x v="5"/>
    <x v="5"/>
    <x v="8"/>
    <x v="1"/>
    <x v="1"/>
    <n v="5.1718000000000002E-5"/>
  </r>
  <r>
    <x v="0"/>
    <x v="5"/>
    <x v="6"/>
    <x v="8"/>
    <x v="1"/>
    <x v="1"/>
    <n v="0.47700984899999999"/>
  </r>
  <r>
    <x v="0"/>
    <x v="5"/>
    <x v="4"/>
    <x v="9"/>
    <x v="1"/>
    <x v="0"/>
    <n v="150.55056999199999"/>
  </r>
  <r>
    <x v="0"/>
    <x v="5"/>
    <x v="5"/>
    <x v="9"/>
    <x v="1"/>
    <x v="1"/>
    <n v="1.14176E-4"/>
  </r>
  <r>
    <x v="0"/>
    <x v="5"/>
    <x v="6"/>
    <x v="9"/>
    <x v="1"/>
    <x v="1"/>
    <n v="0.47700984899999999"/>
  </r>
  <r>
    <x v="0"/>
    <x v="5"/>
    <x v="4"/>
    <x v="10"/>
    <x v="1"/>
    <x v="0"/>
    <n v="114.393478367"/>
  </r>
  <r>
    <x v="0"/>
    <x v="5"/>
    <x v="5"/>
    <x v="10"/>
    <x v="1"/>
    <x v="1"/>
    <n v="1.25077E-4"/>
  </r>
  <r>
    <x v="0"/>
    <x v="5"/>
    <x v="6"/>
    <x v="10"/>
    <x v="1"/>
    <x v="1"/>
    <n v="0.47700984899999999"/>
  </r>
  <r>
    <x v="0"/>
    <x v="5"/>
    <x v="4"/>
    <x v="11"/>
    <x v="1"/>
    <x v="0"/>
    <n v="627.19253920200003"/>
  </r>
  <r>
    <x v="0"/>
    <x v="5"/>
    <x v="5"/>
    <x v="11"/>
    <x v="1"/>
    <x v="1"/>
    <n v="8.9832000000000003E-5"/>
  </r>
  <r>
    <x v="0"/>
    <x v="5"/>
    <x v="6"/>
    <x v="11"/>
    <x v="1"/>
    <x v="1"/>
    <n v="0.47700984899999999"/>
  </r>
  <r>
    <x v="0"/>
    <x v="5"/>
    <x v="4"/>
    <x v="12"/>
    <x v="1"/>
    <x v="0"/>
    <n v="226.597351874"/>
  </r>
  <r>
    <x v="0"/>
    <x v="5"/>
    <x v="5"/>
    <x v="12"/>
    <x v="1"/>
    <x v="1"/>
    <n v="6.1727E-5"/>
  </r>
  <r>
    <x v="0"/>
    <x v="5"/>
    <x v="6"/>
    <x v="12"/>
    <x v="1"/>
    <x v="1"/>
    <n v="0.47700984899999999"/>
  </r>
  <r>
    <x v="0"/>
    <x v="5"/>
    <x v="4"/>
    <x v="13"/>
    <x v="1"/>
    <x v="0"/>
    <n v="530.47240145399996"/>
  </r>
  <r>
    <x v="0"/>
    <x v="5"/>
    <x v="5"/>
    <x v="13"/>
    <x v="1"/>
    <x v="1"/>
    <n v="6.7217000000000004E-5"/>
  </r>
  <r>
    <x v="0"/>
    <x v="5"/>
    <x v="6"/>
    <x v="13"/>
    <x v="1"/>
    <x v="1"/>
    <n v="0.47700984899999999"/>
  </r>
  <r>
    <x v="0"/>
    <x v="5"/>
    <x v="4"/>
    <x v="14"/>
    <x v="1"/>
    <x v="0"/>
    <n v="129.96611648999999"/>
  </r>
  <r>
    <x v="0"/>
    <x v="5"/>
    <x v="5"/>
    <x v="14"/>
    <x v="1"/>
    <x v="1"/>
    <n v="7.2214999999999999E-5"/>
  </r>
  <r>
    <x v="0"/>
    <x v="5"/>
    <x v="6"/>
    <x v="14"/>
    <x v="1"/>
    <x v="1"/>
    <n v="0.47700984899999999"/>
  </r>
  <r>
    <x v="0"/>
    <x v="5"/>
    <x v="4"/>
    <x v="15"/>
    <x v="1"/>
    <x v="0"/>
    <n v="152.39516313999999"/>
  </r>
  <r>
    <x v="0"/>
    <x v="5"/>
    <x v="5"/>
    <x v="15"/>
    <x v="1"/>
    <x v="1"/>
    <n v="5.4716000000000003E-5"/>
  </r>
  <r>
    <x v="0"/>
    <x v="5"/>
    <x v="6"/>
    <x v="15"/>
    <x v="1"/>
    <x v="1"/>
    <n v="0.47700984899999999"/>
  </r>
  <r>
    <x v="0"/>
    <x v="5"/>
    <x v="4"/>
    <x v="16"/>
    <x v="1"/>
    <x v="0"/>
    <n v="110.80410257"/>
  </r>
  <r>
    <x v="0"/>
    <x v="5"/>
    <x v="5"/>
    <x v="16"/>
    <x v="1"/>
    <x v="1"/>
    <n v="4.2157999999999999E-5"/>
  </r>
  <r>
    <x v="0"/>
    <x v="5"/>
    <x v="6"/>
    <x v="16"/>
    <x v="1"/>
    <x v="1"/>
    <n v="0.47700984899999999"/>
  </r>
  <r>
    <x v="0"/>
    <x v="5"/>
    <x v="4"/>
    <x v="17"/>
    <x v="1"/>
    <x v="0"/>
    <n v="224.726123508"/>
  </r>
  <r>
    <x v="0"/>
    <x v="5"/>
    <x v="5"/>
    <x v="17"/>
    <x v="1"/>
    <x v="1"/>
    <n v="5.1412000000000002E-5"/>
  </r>
  <r>
    <x v="0"/>
    <x v="5"/>
    <x v="6"/>
    <x v="17"/>
    <x v="1"/>
    <x v="1"/>
    <n v="0.47700984899999999"/>
  </r>
  <r>
    <x v="0"/>
    <x v="5"/>
    <x v="4"/>
    <x v="18"/>
    <x v="1"/>
    <x v="0"/>
    <n v="180.62834582100001"/>
  </r>
  <r>
    <x v="0"/>
    <x v="5"/>
    <x v="5"/>
    <x v="18"/>
    <x v="1"/>
    <x v="1"/>
    <n v="5.7637999999999999E-5"/>
  </r>
  <r>
    <x v="0"/>
    <x v="5"/>
    <x v="6"/>
    <x v="18"/>
    <x v="1"/>
    <x v="1"/>
    <n v="0.47700984899999999"/>
  </r>
  <r>
    <x v="0"/>
    <x v="5"/>
    <x v="4"/>
    <x v="19"/>
    <x v="1"/>
    <x v="0"/>
    <n v="188.154752844"/>
  </r>
  <r>
    <x v="0"/>
    <x v="5"/>
    <x v="5"/>
    <x v="19"/>
    <x v="1"/>
    <x v="1"/>
    <n v="5.3409000000000003E-5"/>
  </r>
  <r>
    <x v="0"/>
    <x v="5"/>
    <x v="6"/>
    <x v="19"/>
    <x v="1"/>
    <x v="1"/>
    <n v="0.47700984899999999"/>
  </r>
  <r>
    <x v="0"/>
    <x v="5"/>
    <x v="4"/>
    <x v="20"/>
    <x v="1"/>
    <x v="0"/>
    <n v="29.499825442999999"/>
  </r>
  <r>
    <x v="0"/>
    <x v="5"/>
    <x v="5"/>
    <x v="20"/>
    <x v="1"/>
    <x v="1"/>
    <n v="9.7242000000000002E-5"/>
  </r>
  <r>
    <x v="0"/>
    <x v="5"/>
    <x v="6"/>
    <x v="20"/>
    <x v="1"/>
    <x v="1"/>
    <n v="0.47700984899999999"/>
  </r>
  <r>
    <x v="0"/>
    <x v="5"/>
    <x v="4"/>
    <x v="21"/>
    <x v="1"/>
    <x v="0"/>
    <n v="10.769507939"/>
  </r>
  <r>
    <x v="0"/>
    <x v="5"/>
    <x v="5"/>
    <x v="21"/>
    <x v="1"/>
    <x v="1"/>
    <n v="9.3722999999999997E-5"/>
  </r>
  <r>
    <x v="0"/>
    <x v="5"/>
    <x v="6"/>
    <x v="21"/>
    <x v="1"/>
    <x v="1"/>
    <n v="0.47700984899999999"/>
  </r>
  <r>
    <x v="0"/>
    <x v="5"/>
    <x v="4"/>
    <x v="22"/>
    <x v="1"/>
    <x v="0"/>
    <n v="192.87884543800001"/>
  </r>
  <r>
    <x v="0"/>
    <x v="5"/>
    <x v="5"/>
    <x v="22"/>
    <x v="1"/>
    <x v="1"/>
    <n v="1.40252E-4"/>
  </r>
  <r>
    <x v="0"/>
    <x v="5"/>
    <x v="6"/>
    <x v="22"/>
    <x v="1"/>
    <x v="1"/>
    <n v="0.47700984899999999"/>
  </r>
  <r>
    <x v="0"/>
    <x v="5"/>
    <x v="4"/>
    <x v="23"/>
    <x v="1"/>
    <x v="0"/>
    <n v="2.1500114629999998"/>
  </r>
  <r>
    <x v="0"/>
    <x v="5"/>
    <x v="5"/>
    <x v="23"/>
    <x v="1"/>
    <x v="1"/>
    <n v="1.50483E-4"/>
  </r>
  <r>
    <x v="0"/>
    <x v="5"/>
    <x v="6"/>
    <x v="23"/>
    <x v="1"/>
    <x v="1"/>
    <n v="0.47700984899999999"/>
  </r>
  <r>
    <x v="0"/>
    <x v="5"/>
    <x v="4"/>
    <x v="24"/>
    <x v="1"/>
    <x v="0"/>
    <n v="393.47752925499998"/>
  </r>
  <r>
    <x v="0"/>
    <x v="5"/>
    <x v="5"/>
    <x v="24"/>
    <x v="1"/>
    <x v="1"/>
    <n v="9.9730999999999998E-5"/>
  </r>
  <r>
    <x v="0"/>
    <x v="5"/>
    <x v="6"/>
    <x v="24"/>
    <x v="1"/>
    <x v="1"/>
    <n v="0.47700984899999999"/>
  </r>
  <r>
    <x v="0"/>
    <x v="5"/>
    <x v="4"/>
    <x v="25"/>
    <x v="1"/>
    <x v="0"/>
    <n v="22.724667126"/>
  </r>
  <r>
    <x v="0"/>
    <x v="5"/>
    <x v="5"/>
    <x v="25"/>
    <x v="1"/>
    <x v="1"/>
    <n v="8.8051000000000001E-5"/>
  </r>
  <r>
    <x v="0"/>
    <x v="5"/>
    <x v="6"/>
    <x v="25"/>
    <x v="1"/>
    <x v="1"/>
    <n v="0.47700984899999999"/>
  </r>
  <r>
    <x v="0"/>
    <x v="5"/>
    <x v="4"/>
    <x v="26"/>
    <x v="1"/>
    <x v="0"/>
    <n v="16.237302378999999"/>
  </r>
  <r>
    <x v="0"/>
    <x v="5"/>
    <x v="5"/>
    <x v="26"/>
    <x v="1"/>
    <x v="1"/>
    <n v="7.9357000000000006E-5"/>
  </r>
  <r>
    <x v="0"/>
    <x v="5"/>
    <x v="6"/>
    <x v="26"/>
    <x v="1"/>
    <x v="1"/>
    <n v="0.47700984899999999"/>
  </r>
  <r>
    <x v="0"/>
    <x v="5"/>
    <x v="4"/>
    <x v="27"/>
    <x v="1"/>
    <x v="0"/>
    <n v="401.86548972200001"/>
  </r>
  <r>
    <x v="0"/>
    <x v="5"/>
    <x v="5"/>
    <x v="27"/>
    <x v="1"/>
    <x v="1"/>
    <n v="4.0720999999999999E-5"/>
  </r>
  <r>
    <x v="0"/>
    <x v="5"/>
    <x v="6"/>
    <x v="27"/>
    <x v="1"/>
    <x v="1"/>
    <n v="0.47700984899999999"/>
  </r>
  <r>
    <x v="0"/>
    <x v="5"/>
    <x v="4"/>
    <x v="28"/>
    <x v="1"/>
    <x v="0"/>
    <n v="1121.385344563"/>
  </r>
  <r>
    <x v="0"/>
    <x v="5"/>
    <x v="5"/>
    <x v="28"/>
    <x v="1"/>
    <x v="1"/>
    <n v="1.17495E-4"/>
  </r>
  <r>
    <x v="0"/>
    <x v="5"/>
    <x v="6"/>
    <x v="28"/>
    <x v="1"/>
    <x v="1"/>
    <n v="0.47700984899999999"/>
  </r>
  <r>
    <x v="0"/>
    <x v="5"/>
    <x v="4"/>
    <x v="29"/>
    <x v="1"/>
    <x v="0"/>
    <n v="666.83429640700001"/>
  </r>
  <r>
    <x v="0"/>
    <x v="5"/>
    <x v="5"/>
    <x v="29"/>
    <x v="1"/>
    <x v="1"/>
    <n v="1.16495E-4"/>
  </r>
  <r>
    <x v="0"/>
    <x v="5"/>
    <x v="6"/>
    <x v="29"/>
    <x v="1"/>
    <x v="1"/>
    <n v="0.47700984899999999"/>
  </r>
  <r>
    <x v="0"/>
    <x v="5"/>
    <x v="4"/>
    <x v="30"/>
    <x v="1"/>
    <x v="0"/>
    <n v="115.528229955"/>
  </r>
  <r>
    <x v="0"/>
    <x v="5"/>
    <x v="5"/>
    <x v="30"/>
    <x v="1"/>
    <x v="1"/>
    <n v="6.5644999999999999E-5"/>
  </r>
  <r>
    <x v="0"/>
    <x v="5"/>
    <x v="6"/>
    <x v="30"/>
    <x v="1"/>
    <x v="1"/>
    <n v="0.47700984899999999"/>
  </r>
  <r>
    <x v="0"/>
    <x v="5"/>
    <x v="4"/>
    <x v="31"/>
    <x v="1"/>
    <x v="0"/>
    <n v="420.30131517500001"/>
  </r>
  <r>
    <x v="0"/>
    <x v="5"/>
    <x v="5"/>
    <x v="31"/>
    <x v="1"/>
    <x v="1"/>
    <n v="8.9173999999999997E-5"/>
  </r>
  <r>
    <x v="0"/>
    <x v="5"/>
    <x v="6"/>
    <x v="31"/>
    <x v="1"/>
    <x v="1"/>
    <n v="0.47700984899999999"/>
  </r>
  <r>
    <x v="0"/>
    <x v="5"/>
    <x v="4"/>
    <x v="32"/>
    <x v="1"/>
    <x v="0"/>
    <n v="1323.6654317360001"/>
  </r>
  <r>
    <x v="0"/>
    <x v="5"/>
    <x v="5"/>
    <x v="32"/>
    <x v="1"/>
    <x v="1"/>
    <n v="1.5776599999999999E-4"/>
  </r>
  <r>
    <x v="0"/>
    <x v="5"/>
    <x v="6"/>
    <x v="32"/>
    <x v="1"/>
    <x v="1"/>
    <n v="0.47700984899999999"/>
  </r>
  <r>
    <x v="0"/>
    <x v="5"/>
    <x v="4"/>
    <x v="33"/>
    <x v="1"/>
    <x v="0"/>
    <n v="1528.586428307"/>
  </r>
  <r>
    <x v="0"/>
    <x v="5"/>
    <x v="5"/>
    <x v="33"/>
    <x v="1"/>
    <x v="1"/>
    <n v="1.96252E-4"/>
  </r>
  <r>
    <x v="0"/>
    <x v="5"/>
    <x v="6"/>
    <x v="33"/>
    <x v="1"/>
    <x v="1"/>
    <n v="0.47700984899999999"/>
  </r>
  <r>
    <x v="0"/>
    <x v="5"/>
    <x v="4"/>
    <x v="34"/>
    <x v="1"/>
    <x v="0"/>
    <n v="289.89036048999998"/>
  </r>
  <r>
    <x v="0"/>
    <x v="5"/>
    <x v="5"/>
    <x v="34"/>
    <x v="1"/>
    <x v="1"/>
    <n v="1.4346500000000001E-4"/>
  </r>
  <r>
    <x v="0"/>
    <x v="5"/>
    <x v="6"/>
    <x v="34"/>
    <x v="1"/>
    <x v="1"/>
    <n v="0.47700984899999999"/>
  </r>
  <r>
    <x v="0"/>
    <x v="5"/>
    <x v="4"/>
    <x v="35"/>
    <x v="1"/>
    <x v="0"/>
    <n v="225.99413433300001"/>
  </r>
  <r>
    <x v="0"/>
    <x v="5"/>
    <x v="5"/>
    <x v="35"/>
    <x v="1"/>
    <x v="1"/>
    <n v="1.3711300000000001E-4"/>
  </r>
  <r>
    <x v="0"/>
    <x v="5"/>
    <x v="6"/>
    <x v="35"/>
    <x v="1"/>
    <x v="1"/>
    <n v="0.47700984899999999"/>
  </r>
  <r>
    <x v="0"/>
    <x v="5"/>
    <x v="4"/>
    <x v="36"/>
    <x v="1"/>
    <x v="0"/>
    <n v="70.032037174999999"/>
  </r>
  <r>
    <x v="0"/>
    <x v="5"/>
    <x v="5"/>
    <x v="36"/>
    <x v="1"/>
    <x v="1"/>
    <n v="1.84778E-4"/>
  </r>
  <r>
    <x v="0"/>
    <x v="5"/>
    <x v="6"/>
    <x v="36"/>
    <x v="1"/>
    <x v="1"/>
    <n v="0.47700984899999999"/>
  </r>
  <r>
    <x v="0"/>
    <x v="5"/>
    <x v="4"/>
    <x v="37"/>
    <x v="1"/>
    <x v="0"/>
    <n v="102.40843579200001"/>
  </r>
  <r>
    <x v="0"/>
    <x v="5"/>
    <x v="5"/>
    <x v="37"/>
    <x v="1"/>
    <x v="1"/>
    <n v="7.5587999999999995E-5"/>
  </r>
  <r>
    <x v="0"/>
    <x v="5"/>
    <x v="6"/>
    <x v="37"/>
    <x v="1"/>
    <x v="1"/>
    <n v="0.47700984899999999"/>
  </r>
  <r>
    <x v="0"/>
    <x v="5"/>
    <x v="4"/>
    <x v="38"/>
    <x v="1"/>
    <x v="0"/>
    <n v="150.06661584599999"/>
  </r>
  <r>
    <x v="0"/>
    <x v="5"/>
    <x v="5"/>
    <x v="38"/>
    <x v="1"/>
    <x v="1"/>
    <n v="1.78789E-4"/>
  </r>
  <r>
    <x v="0"/>
    <x v="5"/>
    <x v="6"/>
    <x v="38"/>
    <x v="1"/>
    <x v="1"/>
    <n v="0.47700984899999999"/>
  </r>
  <r>
    <x v="0"/>
    <x v="5"/>
    <x v="4"/>
    <x v="39"/>
    <x v="1"/>
    <x v="0"/>
    <n v="70.130161400000006"/>
  </r>
  <r>
    <x v="0"/>
    <x v="5"/>
    <x v="5"/>
    <x v="39"/>
    <x v="1"/>
    <x v="1"/>
    <n v="6.7811999999999994E-5"/>
  </r>
  <r>
    <x v="0"/>
    <x v="5"/>
    <x v="6"/>
    <x v="39"/>
    <x v="1"/>
    <x v="1"/>
    <n v="0.47700984899999999"/>
  </r>
  <r>
    <x v="0"/>
    <x v="5"/>
    <x v="4"/>
    <x v="40"/>
    <x v="1"/>
    <x v="0"/>
    <n v="75.395083166000006"/>
  </r>
  <r>
    <x v="0"/>
    <x v="5"/>
    <x v="5"/>
    <x v="40"/>
    <x v="1"/>
    <x v="1"/>
    <n v="9.7973999999999994E-5"/>
  </r>
  <r>
    <x v="0"/>
    <x v="5"/>
    <x v="6"/>
    <x v="40"/>
    <x v="1"/>
    <x v="1"/>
    <n v="0.47700984899999999"/>
  </r>
  <r>
    <x v="0"/>
    <x v="5"/>
    <x v="4"/>
    <x v="41"/>
    <x v="1"/>
    <x v="0"/>
    <n v="219.093306807"/>
  </r>
  <r>
    <x v="0"/>
    <x v="5"/>
    <x v="5"/>
    <x v="41"/>
    <x v="1"/>
    <x v="1"/>
    <n v="3.6328400000000001E-4"/>
  </r>
  <r>
    <x v="0"/>
    <x v="5"/>
    <x v="6"/>
    <x v="41"/>
    <x v="1"/>
    <x v="1"/>
    <n v="0.47700984899999999"/>
  </r>
  <r>
    <x v="0"/>
    <x v="5"/>
    <x v="7"/>
    <x v="0"/>
    <x v="2"/>
    <x v="2"/>
    <n v="392.83909936499998"/>
  </r>
  <r>
    <x v="0"/>
    <x v="5"/>
    <x v="7"/>
    <x v="1"/>
    <x v="2"/>
    <x v="2"/>
    <n v="46.616932491"/>
  </r>
  <r>
    <x v="0"/>
    <x v="5"/>
    <x v="7"/>
    <x v="2"/>
    <x v="2"/>
    <x v="2"/>
    <n v="19.861664204"/>
  </r>
  <r>
    <x v="0"/>
    <x v="5"/>
    <x v="7"/>
    <x v="3"/>
    <x v="2"/>
    <x v="2"/>
    <n v="16.189920969999999"/>
  </r>
  <r>
    <x v="0"/>
    <x v="5"/>
    <x v="7"/>
    <x v="4"/>
    <x v="2"/>
    <x v="2"/>
    <n v="9.3584169480000003"/>
  </r>
  <r>
    <x v="0"/>
    <x v="5"/>
    <x v="7"/>
    <x v="5"/>
    <x v="2"/>
    <x v="2"/>
    <n v="33.303824200999998"/>
  </r>
  <r>
    <x v="0"/>
    <x v="5"/>
    <x v="7"/>
    <x v="6"/>
    <x v="2"/>
    <x v="2"/>
    <n v="13.478635813"/>
  </r>
  <r>
    <x v="0"/>
    <x v="5"/>
    <x v="7"/>
    <x v="7"/>
    <x v="2"/>
    <x v="2"/>
    <n v="12.575587148"/>
  </r>
  <r>
    <x v="0"/>
    <x v="5"/>
    <x v="7"/>
    <x v="8"/>
    <x v="2"/>
    <x v="2"/>
    <n v="7.2937968580000003"/>
  </r>
  <r>
    <x v="0"/>
    <x v="5"/>
    <x v="7"/>
    <x v="9"/>
    <x v="2"/>
    <x v="2"/>
    <n v="20.1955657"/>
  </r>
  <r>
    <x v="0"/>
    <x v="5"/>
    <x v="7"/>
    <x v="10"/>
    <x v="2"/>
    <x v="2"/>
    <n v="9.5175516160000004"/>
  </r>
  <r>
    <x v="0"/>
    <x v="5"/>
    <x v="7"/>
    <x v="11"/>
    <x v="2"/>
    <x v="2"/>
    <n v="42.641224520000002"/>
  </r>
  <r>
    <x v="0"/>
    <x v="5"/>
    <x v="7"/>
    <x v="12"/>
    <x v="2"/>
    <x v="2"/>
    <n v="20.334586571999999"/>
  </r>
  <r>
    <x v="0"/>
    <x v="5"/>
    <x v="7"/>
    <x v="13"/>
    <x v="2"/>
    <x v="2"/>
    <n v="28.198100740000001"/>
  </r>
  <r>
    <x v="0"/>
    <x v="5"/>
    <x v="7"/>
    <x v="14"/>
    <x v="2"/>
    <x v="2"/>
    <n v="13.354292999"/>
  </r>
  <r>
    <x v="0"/>
    <x v="5"/>
    <x v="7"/>
    <x v="15"/>
    <x v="2"/>
    <x v="2"/>
    <n v="16.829962836"/>
  </r>
  <r>
    <x v="0"/>
    <x v="5"/>
    <x v="7"/>
    <x v="16"/>
    <x v="2"/>
    <x v="2"/>
    <n v="11.228840047"/>
  </r>
  <r>
    <x v="0"/>
    <x v="5"/>
    <x v="7"/>
    <x v="17"/>
    <x v="2"/>
    <x v="2"/>
    <n v="22.698758197"/>
  </r>
  <r>
    <x v="0"/>
    <x v="5"/>
    <x v="7"/>
    <x v="18"/>
    <x v="2"/>
    <x v="2"/>
    <n v="14.094616657"/>
  </r>
  <r>
    <x v="0"/>
    <x v="5"/>
    <x v="7"/>
    <x v="19"/>
    <x v="2"/>
    <x v="2"/>
    <n v="23.656238857000002"/>
  </r>
  <r>
    <x v="0"/>
    <x v="5"/>
    <x v="7"/>
    <x v="20"/>
    <x v="2"/>
    <x v="2"/>
    <n v="3.1453065589999998"/>
  </r>
  <r>
    <x v="0"/>
    <x v="5"/>
    <x v="7"/>
    <x v="21"/>
    <x v="2"/>
    <x v="2"/>
    <n v="1.4348794869999999"/>
  </r>
  <r>
    <x v="0"/>
    <x v="5"/>
    <x v="7"/>
    <x v="22"/>
    <x v="2"/>
    <x v="2"/>
    <n v="1.049389627"/>
  </r>
  <r>
    <x v="0"/>
    <x v="5"/>
    <x v="7"/>
    <x v="23"/>
    <x v="2"/>
    <x v="2"/>
    <n v="0.93684497600000005"/>
  </r>
  <r>
    <x v="0"/>
    <x v="5"/>
    <x v="7"/>
    <x v="24"/>
    <x v="2"/>
    <x v="2"/>
    <n v="20.389962087000001"/>
  </r>
  <r>
    <x v="0"/>
    <x v="5"/>
    <x v="7"/>
    <x v="25"/>
    <x v="2"/>
    <x v="2"/>
    <n v="1.0189845769999999"/>
  </r>
  <r>
    <x v="0"/>
    <x v="5"/>
    <x v="7"/>
    <x v="26"/>
    <x v="2"/>
    <x v="2"/>
    <n v="1.941193129"/>
  </r>
  <r>
    <x v="0"/>
    <x v="5"/>
    <x v="7"/>
    <x v="27"/>
    <x v="2"/>
    <x v="2"/>
    <n v="77.670350765999999"/>
  </r>
  <r>
    <x v="0"/>
    <x v="5"/>
    <x v="7"/>
    <x v="28"/>
    <x v="2"/>
    <x v="2"/>
    <n v="91.650504045999995"/>
  </r>
  <r>
    <x v="0"/>
    <x v="5"/>
    <x v="7"/>
    <x v="29"/>
    <x v="2"/>
    <x v="2"/>
    <n v="67.995934132000002"/>
  </r>
  <r>
    <x v="0"/>
    <x v="5"/>
    <x v="7"/>
    <x v="30"/>
    <x v="2"/>
    <x v="2"/>
    <n v="28.691751027999999"/>
  </r>
  <r>
    <x v="0"/>
    <x v="5"/>
    <x v="7"/>
    <x v="31"/>
    <x v="2"/>
    <x v="2"/>
    <n v="19.521233459000001"/>
  </r>
  <r>
    <x v="0"/>
    <x v="5"/>
    <x v="7"/>
    <x v="32"/>
    <x v="2"/>
    <x v="2"/>
    <n v="80.289082624000002"/>
  </r>
  <r>
    <x v="0"/>
    <x v="5"/>
    <x v="7"/>
    <x v="33"/>
    <x v="2"/>
    <x v="2"/>
    <n v="31.848012418"/>
  </r>
  <r>
    <x v="0"/>
    <x v="5"/>
    <x v="7"/>
    <x v="34"/>
    <x v="2"/>
    <x v="2"/>
    <n v="38.203665565000001"/>
  </r>
  <r>
    <x v="0"/>
    <x v="5"/>
    <x v="7"/>
    <x v="35"/>
    <x v="2"/>
    <x v="2"/>
    <n v="33.447907917999999"/>
  </r>
  <r>
    <x v="0"/>
    <x v="5"/>
    <x v="7"/>
    <x v="36"/>
    <x v="2"/>
    <x v="2"/>
    <n v="11.926701561"/>
  </r>
  <r>
    <x v="0"/>
    <x v="5"/>
    <x v="7"/>
    <x v="37"/>
    <x v="2"/>
    <x v="2"/>
    <n v="26.761064869999998"/>
  </r>
  <r>
    <x v="0"/>
    <x v="5"/>
    <x v="7"/>
    <x v="38"/>
    <x v="2"/>
    <x v="2"/>
    <n v="108.221823482"/>
  </r>
  <r>
    <x v="0"/>
    <x v="5"/>
    <x v="7"/>
    <x v="39"/>
    <x v="2"/>
    <x v="2"/>
    <n v="34.338364108"/>
  </r>
  <r>
    <x v="0"/>
    <x v="5"/>
    <x v="7"/>
    <x v="40"/>
    <x v="2"/>
    <x v="2"/>
    <n v="10.76314322"/>
  </r>
  <r>
    <x v="0"/>
    <x v="5"/>
    <x v="7"/>
    <x v="41"/>
    <x v="2"/>
    <x v="2"/>
    <n v="201.57394756400001"/>
  </r>
  <r>
    <x v="0"/>
    <x v="5"/>
    <x v="8"/>
    <x v="0"/>
    <x v="2"/>
    <x v="3"/>
    <n v="6.4202558000000007E-2"/>
  </r>
  <r>
    <x v="0"/>
    <x v="5"/>
    <x v="8"/>
    <x v="1"/>
    <x v="2"/>
    <x v="3"/>
    <n v="6.4202558000000007E-2"/>
  </r>
  <r>
    <x v="0"/>
    <x v="5"/>
    <x v="8"/>
    <x v="2"/>
    <x v="2"/>
    <x v="3"/>
    <n v="6.4202558000000007E-2"/>
  </r>
  <r>
    <x v="0"/>
    <x v="5"/>
    <x v="8"/>
    <x v="3"/>
    <x v="2"/>
    <x v="3"/>
    <n v="6.4202558000000007E-2"/>
  </r>
  <r>
    <x v="0"/>
    <x v="5"/>
    <x v="8"/>
    <x v="4"/>
    <x v="2"/>
    <x v="3"/>
    <n v="6.4202558000000007E-2"/>
  </r>
  <r>
    <x v="0"/>
    <x v="5"/>
    <x v="8"/>
    <x v="5"/>
    <x v="2"/>
    <x v="3"/>
    <n v="6.4202558000000007E-2"/>
  </r>
  <r>
    <x v="0"/>
    <x v="5"/>
    <x v="8"/>
    <x v="6"/>
    <x v="2"/>
    <x v="3"/>
    <n v="6.4202558000000007E-2"/>
  </r>
  <r>
    <x v="0"/>
    <x v="5"/>
    <x v="8"/>
    <x v="7"/>
    <x v="2"/>
    <x v="3"/>
    <n v="6.4202558000000007E-2"/>
  </r>
  <r>
    <x v="0"/>
    <x v="5"/>
    <x v="8"/>
    <x v="8"/>
    <x v="2"/>
    <x v="3"/>
    <n v="6.4202558000000007E-2"/>
  </r>
  <r>
    <x v="0"/>
    <x v="5"/>
    <x v="8"/>
    <x v="9"/>
    <x v="2"/>
    <x v="3"/>
    <n v="6.4202558000000007E-2"/>
  </r>
  <r>
    <x v="0"/>
    <x v="5"/>
    <x v="8"/>
    <x v="10"/>
    <x v="2"/>
    <x v="3"/>
    <n v="6.4202558000000007E-2"/>
  </r>
  <r>
    <x v="0"/>
    <x v="5"/>
    <x v="8"/>
    <x v="11"/>
    <x v="2"/>
    <x v="3"/>
    <n v="6.4202558000000007E-2"/>
  </r>
  <r>
    <x v="0"/>
    <x v="5"/>
    <x v="8"/>
    <x v="12"/>
    <x v="2"/>
    <x v="3"/>
    <n v="6.4202558000000007E-2"/>
  </r>
  <r>
    <x v="0"/>
    <x v="5"/>
    <x v="8"/>
    <x v="13"/>
    <x v="2"/>
    <x v="3"/>
    <n v="6.4202558000000007E-2"/>
  </r>
  <r>
    <x v="0"/>
    <x v="5"/>
    <x v="8"/>
    <x v="14"/>
    <x v="2"/>
    <x v="3"/>
    <n v="6.4202558000000007E-2"/>
  </r>
  <r>
    <x v="0"/>
    <x v="5"/>
    <x v="8"/>
    <x v="15"/>
    <x v="2"/>
    <x v="3"/>
    <n v="6.4202558000000007E-2"/>
  </r>
  <r>
    <x v="0"/>
    <x v="5"/>
    <x v="8"/>
    <x v="16"/>
    <x v="2"/>
    <x v="3"/>
    <n v="6.4202558000000007E-2"/>
  </r>
  <r>
    <x v="0"/>
    <x v="5"/>
    <x v="8"/>
    <x v="17"/>
    <x v="2"/>
    <x v="3"/>
    <n v="6.4202558000000007E-2"/>
  </r>
  <r>
    <x v="0"/>
    <x v="5"/>
    <x v="8"/>
    <x v="18"/>
    <x v="2"/>
    <x v="3"/>
    <n v="6.4202558000000007E-2"/>
  </r>
  <r>
    <x v="0"/>
    <x v="5"/>
    <x v="8"/>
    <x v="19"/>
    <x v="2"/>
    <x v="3"/>
    <n v="6.4202558000000007E-2"/>
  </r>
  <r>
    <x v="0"/>
    <x v="5"/>
    <x v="8"/>
    <x v="20"/>
    <x v="2"/>
    <x v="3"/>
    <n v="6.4202558000000007E-2"/>
  </r>
  <r>
    <x v="0"/>
    <x v="5"/>
    <x v="8"/>
    <x v="21"/>
    <x v="2"/>
    <x v="3"/>
    <n v="6.4202558000000007E-2"/>
  </r>
  <r>
    <x v="0"/>
    <x v="5"/>
    <x v="8"/>
    <x v="22"/>
    <x v="2"/>
    <x v="3"/>
    <n v="6.4202558000000007E-2"/>
  </r>
  <r>
    <x v="0"/>
    <x v="5"/>
    <x v="8"/>
    <x v="23"/>
    <x v="2"/>
    <x v="3"/>
    <n v="6.4202558000000007E-2"/>
  </r>
  <r>
    <x v="0"/>
    <x v="5"/>
    <x v="8"/>
    <x v="24"/>
    <x v="2"/>
    <x v="3"/>
    <n v="6.4202558000000007E-2"/>
  </r>
  <r>
    <x v="0"/>
    <x v="5"/>
    <x v="8"/>
    <x v="25"/>
    <x v="2"/>
    <x v="3"/>
    <n v="6.4202558000000007E-2"/>
  </r>
  <r>
    <x v="0"/>
    <x v="5"/>
    <x v="8"/>
    <x v="26"/>
    <x v="2"/>
    <x v="3"/>
    <n v="6.4202558000000007E-2"/>
  </r>
  <r>
    <x v="0"/>
    <x v="5"/>
    <x v="8"/>
    <x v="27"/>
    <x v="2"/>
    <x v="3"/>
    <n v="6.4202558000000007E-2"/>
  </r>
  <r>
    <x v="0"/>
    <x v="5"/>
    <x v="8"/>
    <x v="28"/>
    <x v="2"/>
    <x v="3"/>
    <n v="6.4202558000000007E-2"/>
  </r>
  <r>
    <x v="0"/>
    <x v="5"/>
    <x v="8"/>
    <x v="29"/>
    <x v="2"/>
    <x v="3"/>
    <n v="6.4202558000000007E-2"/>
  </r>
  <r>
    <x v="0"/>
    <x v="5"/>
    <x v="8"/>
    <x v="30"/>
    <x v="2"/>
    <x v="3"/>
    <n v="6.4202558000000007E-2"/>
  </r>
  <r>
    <x v="0"/>
    <x v="5"/>
    <x v="8"/>
    <x v="31"/>
    <x v="2"/>
    <x v="3"/>
    <n v="6.4202558000000007E-2"/>
  </r>
  <r>
    <x v="0"/>
    <x v="5"/>
    <x v="8"/>
    <x v="32"/>
    <x v="2"/>
    <x v="3"/>
    <n v="6.4202558000000007E-2"/>
  </r>
  <r>
    <x v="0"/>
    <x v="5"/>
    <x v="8"/>
    <x v="33"/>
    <x v="2"/>
    <x v="3"/>
    <n v="6.4202558000000007E-2"/>
  </r>
  <r>
    <x v="0"/>
    <x v="5"/>
    <x v="8"/>
    <x v="34"/>
    <x v="2"/>
    <x v="3"/>
    <n v="6.4202558000000007E-2"/>
  </r>
  <r>
    <x v="0"/>
    <x v="5"/>
    <x v="8"/>
    <x v="35"/>
    <x v="2"/>
    <x v="3"/>
    <n v="6.4202558000000007E-2"/>
  </r>
  <r>
    <x v="0"/>
    <x v="5"/>
    <x v="8"/>
    <x v="36"/>
    <x v="2"/>
    <x v="3"/>
    <n v="6.4202558000000007E-2"/>
  </r>
  <r>
    <x v="0"/>
    <x v="5"/>
    <x v="8"/>
    <x v="37"/>
    <x v="2"/>
    <x v="3"/>
    <n v="6.4202558000000007E-2"/>
  </r>
  <r>
    <x v="0"/>
    <x v="5"/>
    <x v="8"/>
    <x v="38"/>
    <x v="2"/>
    <x v="3"/>
    <n v="6.4202558000000007E-2"/>
  </r>
  <r>
    <x v="0"/>
    <x v="5"/>
    <x v="8"/>
    <x v="39"/>
    <x v="2"/>
    <x v="3"/>
    <n v="6.4202558000000007E-2"/>
  </r>
  <r>
    <x v="0"/>
    <x v="5"/>
    <x v="8"/>
    <x v="40"/>
    <x v="2"/>
    <x v="3"/>
    <n v="6.4202558000000007E-2"/>
  </r>
  <r>
    <x v="0"/>
    <x v="5"/>
    <x v="8"/>
    <x v="41"/>
    <x v="2"/>
    <x v="3"/>
    <n v="6.4202558000000007E-2"/>
  </r>
  <r>
    <x v="0"/>
    <x v="5"/>
    <x v="7"/>
    <x v="0"/>
    <x v="3"/>
    <x v="2"/>
    <n v="394.84998166299999"/>
  </r>
  <r>
    <x v="0"/>
    <x v="5"/>
    <x v="7"/>
    <x v="1"/>
    <x v="3"/>
    <x v="2"/>
    <n v="44.855767659000001"/>
  </r>
  <r>
    <x v="0"/>
    <x v="5"/>
    <x v="7"/>
    <x v="2"/>
    <x v="3"/>
    <x v="2"/>
    <n v="17.963235415"/>
  </r>
  <r>
    <x v="0"/>
    <x v="5"/>
    <x v="7"/>
    <x v="3"/>
    <x v="3"/>
    <x v="2"/>
    <n v="15.281363921000001"/>
  </r>
  <r>
    <x v="0"/>
    <x v="5"/>
    <x v="7"/>
    <x v="4"/>
    <x v="3"/>
    <x v="2"/>
    <n v="8.9265405710000003"/>
  </r>
  <r>
    <x v="0"/>
    <x v="5"/>
    <x v="7"/>
    <x v="5"/>
    <x v="3"/>
    <x v="2"/>
    <n v="30.990179446999999"/>
  </r>
  <r>
    <x v="0"/>
    <x v="5"/>
    <x v="7"/>
    <x v="6"/>
    <x v="3"/>
    <x v="2"/>
    <n v="12.785636337"/>
  </r>
  <r>
    <x v="0"/>
    <x v="5"/>
    <x v="7"/>
    <x v="7"/>
    <x v="3"/>
    <x v="2"/>
    <n v="12.066467920999999"/>
  </r>
  <r>
    <x v="0"/>
    <x v="5"/>
    <x v="7"/>
    <x v="8"/>
    <x v="3"/>
    <x v="2"/>
    <n v="6.8989054520000002"/>
  </r>
  <r>
    <x v="0"/>
    <x v="5"/>
    <x v="7"/>
    <x v="9"/>
    <x v="3"/>
    <x v="2"/>
    <n v="19.200401478"/>
  </r>
  <r>
    <x v="0"/>
    <x v="5"/>
    <x v="7"/>
    <x v="10"/>
    <x v="3"/>
    <x v="2"/>
    <n v="8.8567515930000003"/>
  </r>
  <r>
    <x v="0"/>
    <x v="5"/>
    <x v="7"/>
    <x v="11"/>
    <x v="3"/>
    <x v="2"/>
    <n v="39.444440055999998"/>
  </r>
  <r>
    <x v="0"/>
    <x v="5"/>
    <x v="7"/>
    <x v="12"/>
    <x v="3"/>
    <x v="2"/>
    <n v="19.127579866000001"/>
  </r>
  <r>
    <x v="0"/>
    <x v="5"/>
    <x v="7"/>
    <x v="13"/>
    <x v="3"/>
    <x v="2"/>
    <n v="25.855375303999999"/>
  </r>
  <r>
    <x v="0"/>
    <x v="5"/>
    <x v="7"/>
    <x v="14"/>
    <x v="3"/>
    <x v="2"/>
    <n v="12.614401986000001"/>
  </r>
  <r>
    <x v="0"/>
    <x v="5"/>
    <x v="7"/>
    <x v="15"/>
    <x v="3"/>
    <x v="2"/>
    <n v="15.987957117000001"/>
  </r>
  <r>
    <x v="0"/>
    <x v="5"/>
    <x v="7"/>
    <x v="16"/>
    <x v="3"/>
    <x v="2"/>
    <n v="10.657178396000001"/>
  </r>
  <r>
    <x v="0"/>
    <x v="5"/>
    <x v="7"/>
    <x v="17"/>
    <x v="3"/>
    <x v="2"/>
    <n v="21.498266537999999"/>
  </r>
  <r>
    <x v="0"/>
    <x v="5"/>
    <x v="7"/>
    <x v="18"/>
    <x v="3"/>
    <x v="2"/>
    <n v="13.185602328"/>
  </r>
  <r>
    <x v="0"/>
    <x v="5"/>
    <x v="7"/>
    <x v="19"/>
    <x v="3"/>
    <x v="2"/>
    <n v="22.5915751"/>
  </r>
  <r>
    <x v="0"/>
    <x v="5"/>
    <x v="7"/>
    <x v="20"/>
    <x v="3"/>
    <x v="2"/>
    <n v="2.9669016269999999"/>
  </r>
  <r>
    <x v="0"/>
    <x v="5"/>
    <x v="7"/>
    <x v="21"/>
    <x v="3"/>
    <x v="2"/>
    <n v="1.3662894809999999"/>
  </r>
  <r>
    <x v="0"/>
    <x v="5"/>
    <x v="7"/>
    <x v="22"/>
    <x v="3"/>
    <x v="2"/>
    <n v="0.84710118099999998"/>
  </r>
  <r>
    <x v="0"/>
    <x v="5"/>
    <x v="7"/>
    <x v="23"/>
    <x v="3"/>
    <x v="2"/>
    <n v="0.92160628099999997"/>
  </r>
  <r>
    <x v="0"/>
    <x v="5"/>
    <x v="7"/>
    <x v="24"/>
    <x v="3"/>
    <x v="2"/>
    <n v="18.587710220000002"/>
  </r>
  <r>
    <x v="0"/>
    <x v="5"/>
    <x v="7"/>
    <x v="25"/>
    <x v="3"/>
    <x v="2"/>
    <n v="0.92333176800000005"/>
  </r>
  <r>
    <x v="0"/>
    <x v="5"/>
    <x v="7"/>
    <x v="26"/>
    <x v="3"/>
    <x v="2"/>
    <n v="1.843372894"/>
  </r>
  <r>
    <x v="0"/>
    <x v="5"/>
    <x v="7"/>
    <x v="27"/>
    <x v="3"/>
    <x v="2"/>
    <n v="75.431369093000001"/>
  </r>
  <r>
    <x v="0"/>
    <x v="5"/>
    <x v="7"/>
    <x v="28"/>
    <x v="3"/>
    <x v="2"/>
    <n v="85.272602156999994"/>
  </r>
  <r>
    <x v="0"/>
    <x v="5"/>
    <x v="7"/>
    <x v="29"/>
    <x v="3"/>
    <x v="2"/>
    <n v="63.901579597999998"/>
  </r>
  <r>
    <x v="0"/>
    <x v="5"/>
    <x v="7"/>
    <x v="30"/>
    <x v="3"/>
    <x v="2"/>
    <n v="27.972491626"/>
  </r>
  <r>
    <x v="0"/>
    <x v="5"/>
    <x v="7"/>
    <x v="31"/>
    <x v="3"/>
    <x v="2"/>
    <n v="17.718525995"/>
  </r>
  <r>
    <x v="0"/>
    <x v="5"/>
    <x v="7"/>
    <x v="32"/>
    <x v="3"/>
    <x v="2"/>
    <n v="73.407227465000005"/>
  </r>
  <r>
    <x v="0"/>
    <x v="5"/>
    <x v="7"/>
    <x v="33"/>
    <x v="3"/>
    <x v="2"/>
    <n v="27.477487781000001"/>
  </r>
  <r>
    <x v="0"/>
    <x v="5"/>
    <x v="7"/>
    <x v="34"/>
    <x v="3"/>
    <x v="2"/>
    <n v="36.218893016999999"/>
  </r>
  <r>
    <x v="0"/>
    <x v="5"/>
    <x v="7"/>
    <x v="35"/>
    <x v="3"/>
    <x v="2"/>
    <n v="31.868926359"/>
  </r>
  <r>
    <x v="0"/>
    <x v="5"/>
    <x v="7"/>
    <x v="36"/>
    <x v="3"/>
    <x v="2"/>
    <n v="11.394667631000001"/>
  </r>
  <r>
    <x v="0"/>
    <x v="5"/>
    <x v="7"/>
    <x v="37"/>
    <x v="3"/>
    <x v="2"/>
    <n v="26.102207691"/>
  </r>
  <r>
    <x v="0"/>
    <x v="5"/>
    <x v="7"/>
    <x v="38"/>
    <x v="3"/>
    <x v="2"/>
    <n v="107.393386529"/>
  </r>
  <r>
    <x v="0"/>
    <x v="5"/>
    <x v="7"/>
    <x v="39"/>
    <x v="3"/>
    <x v="2"/>
    <n v="33.987801869999998"/>
  </r>
  <r>
    <x v="0"/>
    <x v="5"/>
    <x v="7"/>
    <x v="40"/>
    <x v="3"/>
    <x v="2"/>
    <n v="10.271751463999999"/>
  </r>
  <r>
    <x v="0"/>
    <x v="5"/>
    <x v="7"/>
    <x v="41"/>
    <x v="3"/>
    <x v="2"/>
    <n v="200.269731326"/>
  </r>
  <r>
    <x v="0"/>
    <x v="5"/>
    <x v="8"/>
    <x v="0"/>
    <x v="3"/>
    <x v="3"/>
    <n v="6.1995635E-2"/>
  </r>
  <r>
    <x v="0"/>
    <x v="5"/>
    <x v="8"/>
    <x v="1"/>
    <x v="3"/>
    <x v="3"/>
    <n v="6.1995635E-2"/>
  </r>
  <r>
    <x v="0"/>
    <x v="5"/>
    <x v="8"/>
    <x v="2"/>
    <x v="3"/>
    <x v="3"/>
    <n v="6.1995635E-2"/>
  </r>
  <r>
    <x v="0"/>
    <x v="5"/>
    <x v="8"/>
    <x v="3"/>
    <x v="3"/>
    <x v="3"/>
    <n v="6.1995635E-2"/>
  </r>
  <r>
    <x v="0"/>
    <x v="5"/>
    <x v="8"/>
    <x v="4"/>
    <x v="3"/>
    <x v="3"/>
    <n v="6.1995635E-2"/>
  </r>
  <r>
    <x v="0"/>
    <x v="5"/>
    <x v="8"/>
    <x v="5"/>
    <x v="3"/>
    <x v="3"/>
    <n v="6.1995635E-2"/>
  </r>
  <r>
    <x v="0"/>
    <x v="5"/>
    <x v="8"/>
    <x v="6"/>
    <x v="3"/>
    <x v="3"/>
    <n v="6.1995635E-2"/>
  </r>
  <r>
    <x v="0"/>
    <x v="5"/>
    <x v="8"/>
    <x v="7"/>
    <x v="3"/>
    <x v="3"/>
    <n v="6.1995635E-2"/>
  </r>
  <r>
    <x v="0"/>
    <x v="5"/>
    <x v="8"/>
    <x v="8"/>
    <x v="3"/>
    <x v="3"/>
    <n v="6.1995635E-2"/>
  </r>
  <r>
    <x v="0"/>
    <x v="5"/>
    <x v="8"/>
    <x v="9"/>
    <x v="3"/>
    <x v="3"/>
    <n v="6.1995635E-2"/>
  </r>
  <r>
    <x v="0"/>
    <x v="5"/>
    <x v="8"/>
    <x v="10"/>
    <x v="3"/>
    <x v="3"/>
    <n v="6.1995635E-2"/>
  </r>
  <r>
    <x v="0"/>
    <x v="5"/>
    <x v="8"/>
    <x v="11"/>
    <x v="3"/>
    <x v="3"/>
    <n v="6.1995635E-2"/>
  </r>
  <r>
    <x v="0"/>
    <x v="5"/>
    <x v="8"/>
    <x v="12"/>
    <x v="3"/>
    <x v="3"/>
    <n v="6.1995635E-2"/>
  </r>
  <r>
    <x v="0"/>
    <x v="5"/>
    <x v="8"/>
    <x v="13"/>
    <x v="3"/>
    <x v="3"/>
    <n v="6.1995635E-2"/>
  </r>
  <r>
    <x v="0"/>
    <x v="5"/>
    <x v="8"/>
    <x v="14"/>
    <x v="3"/>
    <x v="3"/>
    <n v="6.1995635E-2"/>
  </r>
  <r>
    <x v="0"/>
    <x v="5"/>
    <x v="8"/>
    <x v="15"/>
    <x v="3"/>
    <x v="3"/>
    <n v="6.1995635E-2"/>
  </r>
  <r>
    <x v="0"/>
    <x v="5"/>
    <x v="8"/>
    <x v="16"/>
    <x v="3"/>
    <x v="3"/>
    <n v="6.1995635E-2"/>
  </r>
  <r>
    <x v="0"/>
    <x v="5"/>
    <x v="8"/>
    <x v="17"/>
    <x v="3"/>
    <x v="3"/>
    <n v="6.1995635E-2"/>
  </r>
  <r>
    <x v="0"/>
    <x v="5"/>
    <x v="8"/>
    <x v="18"/>
    <x v="3"/>
    <x v="3"/>
    <n v="6.1995635E-2"/>
  </r>
  <r>
    <x v="0"/>
    <x v="5"/>
    <x v="8"/>
    <x v="19"/>
    <x v="3"/>
    <x v="3"/>
    <n v="6.1995635E-2"/>
  </r>
  <r>
    <x v="0"/>
    <x v="5"/>
    <x v="8"/>
    <x v="20"/>
    <x v="3"/>
    <x v="3"/>
    <n v="6.1995635E-2"/>
  </r>
  <r>
    <x v="0"/>
    <x v="5"/>
    <x v="8"/>
    <x v="21"/>
    <x v="3"/>
    <x v="3"/>
    <n v="6.1995635E-2"/>
  </r>
  <r>
    <x v="0"/>
    <x v="5"/>
    <x v="8"/>
    <x v="22"/>
    <x v="3"/>
    <x v="3"/>
    <n v="6.1995635E-2"/>
  </r>
  <r>
    <x v="0"/>
    <x v="5"/>
    <x v="8"/>
    <x v="23"/>
    <x v="3"/>
    <x v="3"/>
    <n v="6.1995635E-2"/>
  </r>
  <r>
    <x v="0"/>
    <x v="5"/>
    <x v="8"/>
    <x v="24"/>
    <x v="3"/>
    <x v="3"/>
    <n v="6.1995635E-2"/>
  </r>
  <r>
    <x v="0"/>
    <x v="5"/>
    <x v="8"/>
    <x v="25"/>
    <x v="3"/>
    <x v="3"/>
    <n v="6.1995635E-2"/>
  </r>
  <r>
    <x v="0"/>
    <x v="5"/>
    <x v="8"/>
    <x v="26"/>
    <x v="3"/>
    <x v="3"/>
    <n v="6.1995635E-2"/>
  </r>
  <r>
    <x v="0"/>
    <x v="5"/>
    <x v="8"/>
    <x v="27"/>
    <x v="3"/>
    <x v="3"/>
    <n v="6.1995635E-2"/>
  </r>
  <r>
    <x v="0"/>
    <x v="5"/>
    <x v="8"/>
    <x v="28"/>
    <x v="3"/>
    <x v="3"/>
    <n v="6.1995635E-2"/>
  </r>
  <r>
    <x v="0"/>
    <x v="5"/>
    <x v="8"/>
    <x v="29"/>
    <x v="3"/>
    <x v="3"/>
    <n v="6.1995635E-2"/>
  </r>
  <r>
    <x v="0"/>
    <x v="5"/>
    <x v="8"/>
    <x v="30"/>
    <x v="3"/>
    <x v="3"/>
    <n v="6.1995635E-2"/>
  </r>
  <r>
    <x v="0"/>
    <x v="5"/>
    <x v="8"/>
    <x v="31"/>
    <x v="3"/>
    <x v="3"/>
    <n v="6.1995635E-2"/>
  </r>
  <r>
    <x v="0"/>
    <x v="5"/>
    <x v="8"/>
    <x v="32"/>
    <x v="3"/>
    <x v="3"/>
    <n v="6.1995635E-2"/>
  </r>
  <r>
    <x v="0"/>
    <x v="5"/>
    <x v="8"/>
    <x v="33"/>
    <x v="3"/>
    <x v="3"/>
    <n v="6.1995635E-2"/>
  </r>
  <r>
    <x v="0"/>
    <x v="5"/>
    <x v="8"/>
    <x v="34"/>
    <x v="3"/>
    <x v="3"/>
    <n v="6.1995635E-2"/>
  </r>
  <r>
    <x v="0"/>
    <x v="5"/>
    <x v="8"/>
    <x v="35"/>
    <x v="3"/>
    <x v="3"/>
    <n v="6.1995635E-2"/>
  </r>
  <r>
    <x v="0"/>
    <x v="5"/>
    <x v="8"/>
    <x v="36"/>
    <x v="3"/>
    <x v="3"/>
    <n v="6.1995635E-2"/>
  </r>
  <r>
    <x v="0"/>
    <x v="5"/>
    <x v="8"/>
    <x v="37"/>
    <x v="3"/>
    <x v="3"/>
    <n v="6.1995635E-2"/>
  </r>
  <r>
    <x v="0"/>
    <x v="5"/>
    <x v="8"/>
    <x v="38"/>
    <x v="3"/>
    <x v="3"/>
    <n v="6.1995635E-2"/>
  </r>
  <r>
    <x v="0"/>
    <x v="5"/>
    <x v="8"/>
    <x v="39"/>
    <x v="3"/>
    <x v="3"/>
    <n v="6.1995635E-2"/>
  </r>
  <r>
    <x v="0"/>
    <x v="5"/>
    <x v="8"/>
    <x v="40"/>
    <x v="3"/>
    <x v="3"/>
    <n v="6.1995635E-2"/>
  </r>
  <r>
    <x v="0"/>
    <x v="5"/>
    <x v="8"/>
    <x v="41"/>
    <x v="3"/>
    <x v="3"/>
    <n v="6.1995635E-2"/>
  </r>
  <r>
    <x v="0"/>
    <x v="5"/>
    <x v="9"/>
    <x v="42"/>
    <x v="4"/>
    <x v="4"/>
    <n v="72.864686934000005"/>
  </r>
  <r>
    <x v="0"/>
    <x v="5"/>
    <x v="9"/>
    <x v="42"/>
    <x v="5"/>
    <x v="4"/>
    <n v="1.044902287"/>
  </r>
  <r>
    <x v="0"/>
    <x v="5"/>
    <x v="9"/>
    <x v="42"/>
    <x v="6"/>
    <x v="4"/>
    <n v="0"/>
  </r>
  <r>
    <x v="0"/>
    <x v="5"/>
    <x v="9"/>
    <x v="42"/>
    <x v="7"/>
    <x v="4"/>
    <n v="0"/>
  </r>
  <r>
    <x v="0"/>
    <x v="5"/>
    <x v="9"/>
    <x v="42"/>
    <x v="8"/>
    <x v="4"/>
    <n v="0"/>
  </r>
  <r>
    <x v="0"/>
    <x v="5"/>
    <x v="9"/>
    <x v="42"/>
    <x v="9"/>
    <x v="4"/>
    <n v="81.804399528999994"/>
  </r>
  <r>
    <x v="0"/>
    <x v="5"/>
    <x v="9"/>
    <x v="42"/>
    <x v="10"/>
    <x v="4"/>
    <n v="2.3318790699999998"/>
  </r>
  <r>
    <x v="0"/>
    <x v="5"/>
    <x v="9"/>
    <x v="42"/>
    <x v="11"/>
    <x v="4"/>
    <n v="14.192646455"/>
  </r>
  <r>
    <x v="0"/>
    <x v="5"/>
    <x v="9"/>
    <x v="42"/>
    <x v="12"/>
    <x v="4"/>
    <n v="2.011332339"/>
  </r>
  <r>
    <x v="0"/>
    <x v="5"/>
    <x v="9"/>
    <x v="42"/>
    <x v="13"/>
    <x v="4"/>
    <n v="3.22922485"/>
  </r>
  <r>
    <x v="0"/>
    <x v="5"/>
    <x v="9"/>
    <x v="42"/>
    <x v="14"/>
    <x v="4"/>
    <n v="2.5462099509999998"/>
  </r>
  <r>
    <x v="0"/>
    <x v="5"/>
    <x v="9"/>
    <x v="42"/>
    <x v="15"/>
    <x v="4"/>
    <n v="11.281685875000001"/>
  </r>
  <r>
    <x v="0"/>
    <x v="5"/>
    <x v="9"/>
    <x v="42"/>
    <x v="16"/>
    <x v="4"/>
    <n v="1.5150439659999999"/>
  </r>
  <r>
    <x v="0"/>
    <x v="5"/>
    <x v="9"/>
    <x v="42"/>
    <x v="17"/>
    <x v="4"/>
    <n v="0"/>
  </r>
  <r>
    <x v="0"/>
    <x v="5"/>
    <x v="9"/>
    <x v="42"/>
    <x v="18"/>
    <x v="4"/>
    <n v="0.93242570000000002"/>
  </r>
  <r>
    <x v="0"/>
    <x v="5"/>
    <x v="9"/>
    <x v="42"/>
    <x v="19"/>
    <x v="4"/>
    <n v="0.48837064299999999"/>
  </r>
  <r>
    <x v="0"/>
    <x v="5"/>
    <x v="9"/>
    <x v="42"/>
    <x v="20"/>
    <x v="4"/>
    <n v="0.12461019800000001"/>
  </r>
  <r>
    <x v="0"/>
    <x v="5"/>
    <x v="9"/>
    <x v="42"/>
    <x v="21"/>
    <x v="4"/>
    <n v="8.4191414790000003"/>
  </r>
  <r>
    <x v="0"/>
    <x v="5"/>
    <x v="9"/>
    <x v="42"/>
    <x v="22"/>
    <x v="4"/>
    <n v="8.9634062340000007"/>
  </r>
  <r>
    <x v="0"/>
    <x v="5"/>
    <x v="9"/>
    <x v="42"/>
    <x v="23"/>
    <x v="4"/>
    <n v="8.4593948920000006"/>
  </r>
  <r>
    <x v="0"/>
    <x v="5"/>
    <x v="9"/>
    <x v="42"/>
    <x v="24"/>
    <x v="4"/>
    <n v="0.605925096"/>
  </r>
  <r>
    <x v="0"/>
    <x v="5"/>
    <x v="9"/>
    <x v="42"/>
    <x v="25"/>
    <x v="4"/>
    <n v="0.62569065099999999"/>
  </r>
  <r>
    <x v="0"/>
    <x v="5"/>
    <x v="9"/>
    <x v="42"/>
    <x v="26"/>
    <x v="4"/>
    <n v="0"/>
  </r>
  <r>
    <x v="0"/>
    <x v="5"/>
    <x v="9"/>
    <x v="42"/>
    <x v="27"/>
    <x v="4"/>
    <n v="0"/>
  </r>
  <r>
    <x v="0"/>
    <x v="5"/>
    <x v="9"/>
    <x v="42"/>
    <x v="28"/>
    <x v="4"/>
    <n v="8.2650414019999996"/>
  </r>
  <r>
    <x v="0"/>
    <x v="5"/>
    <x v="9"/>
    <x v="42"/>
    <x v="29"/>
    <x v="4"/>
    <n v="1.1292333649999999"/>
  </r>
  <r>
    <x v="0"/>
    <x v="5"/>
    <x v="9"/>
    <x v="42"/>
    <x v="30"/>
    <x v="4"/>
    <n v="0.48874695400000001"/>
  </r>
  <r>
    <x v="0"/>
    <x v="5"/>
    <x v="9"/>
    <x v="42"/>
    <x v="31"/>
    <x v="4"/>
    <n v="0"/>
  </r>
  <r>
    <x v="0"/>
    <x v="5"/>
    <x v="9"/>
    <x v="42"/>
    <x v="32"/>
    <x v="4"/>
    <n v="34.317504020000001"/>
  </r>
  <r>
    <x v="0"/>
    <x v="5"/>
    <x v="9"/>
    <x v="42"/>
    <x v="33"/>
    <x v="4"/>
    <n v="11.458846927"/>
  </r>
  <r>
    <x v="0"/>
    <x v="5"/>
    <x v="9"/>
    <x v="42"/>
    <x v="34"/>
    <x v="4"/>
    <n v="1.0682540110000001"/>
  </r>
  <r>
    <x v="0"/>
    <x v="5"/>
    <x v="9"/>
    <x v="42"/>
    <x v="35"/>
    <x v="4"/>
    <n v="17.193066830999999"/>
  </r>
  <r>
    <x v="0"/>
    <x v="5"/>
    <x v="9"/>
    <x v="42"/>
    <x v="36"/>
    <x v="4"/>
    <n v="22.034573537"/>
  </r>
  <r>
    <x v="0"/>
    <x v="5"/>
    <x v="9"/>
    <x v="42"/>
    <x v="37"/>
    <x v="4"/>
    <n v="154.44369882300001"/>
  </r>
  <r>
    <x v="0"/>
    <x v="5"/>
    <x v="9"/>
    <x v="42"/>
    <x v="38"/>
    <x v="4"/>
    <n v="0.42501241699999998"/>
  </r>
  <r>
    <x v="0"/>
    <x v="5"/>
    <x v="9"/>
    <x v="42"/>
    <x v="39"/>
    <x v="4"/>
    <n v="0.18715943299999999"/>
  </r>
  <r>
    <x v="0"/>
    <x v="5"/>
    <x v="9"/>
    <x v="42"/>
    <x v="40"/>
    <x v="4"/>
    <n v="0.247203275"/>
  </r>
  <r>
    <x v="0"/>
    <x v="5"/>
    <x v="9"/>
    <x v="42"/>
    <x v="41"/>
    <x v="4"/>
    <n v="2.5345337130000001"/>
  </r>
  <r>
    <x v="0"/>
    <x v="5"/>
    <x v="9"/>
    <x v="42"/>
    <x v="42"/>
    <x v="4"/>
    <n v="-5.1776551260000003"/>
  </r>
  <r>
    <x v="0"/>
    <x v="5"/>
    <x v="9"/>
    <x v="42"/>
    <x v="43"/>
    <x v="4"/>
    <n v="-1.3608218599999999"/>
  </r>
  <r>
    <x v="0"/>
    <x v="5"/>
    <x v="9"/>
    <x v="42"/>
    <x v="44"/>
    <x v="4"/>
    <n v="1.998933504"/>
  </r>
  <r>
    <x v="0"/>
    <x v="5"/>
    <x v="9"/>
    <x v="42"/>
    <x v="45"/>
    <x v="4"/>
    <n v="-0.116723099"/>
  </r>
  <r>
    <x v="0"/>
    <x v="5"/>
    <x v="10"/>
    <x v="42"/>
    <x v="0"/>
    <x v="4"/>
    <n v="0.52638813699999998"/>
  </r>
  <r>
    <x v="0"/>
    <x v="5"/>
    <x v="11"/>
    <x v="42"/>
    <x v="0"/>
    <x v="4"/>
    <n v="12.985387005"/>
  </r>
  <r>
    <x v="0"/>
    <x v="5"/>
    <x v="9"/>
    <x v="43"/>
    <x v="4"/>
    <x v="4"/>
    <n v="131.34485539799999"/>
  </r>
  <r>
    <x v="0"/>
    <x v="5"/>
    <x v="9"/>
    <x v="43"/>
    <x v="5"/>
    <x v="4"/>
    <n v="0.67260457900000004"/>
  </r>
  <r>
    <x v="0"/>
    <x v="5"/>
    <x v="9"/>
    <x v="43"/>
    <x v="6"/>
    <x v="4"/>
    <n v="0"/>
  </r>
  <r>
    <x v="0"/>
    <x v="5"/>
    <x v="9"/>
    <x v="43"/>
    <x v="7"/>
    <x v="4"/>
    <n v="0"/>
  </r>
  <r>
    <x v="0"/>
    <x v="5"/>
    <x v="9"/>
    <x v="43"/>
    <x v="8"/>
    <x v="4"/>
    <n v="0"/>
  </r>
  <r>
    <x v="0"/>
    <x v="5"/>
    <x v="9"/>
    <x v="43"/>
    <x v="9"/>
    <x v="4"/>
    <n v="295.44240555499999"/>
  </r>
  <r>
    <x v="0"/>
    <x v="5"/>
    <x v="9"/>
    <x v="43"/>
    <x v="10"/>
    <x v="4"/>
    <n v="3.2635073769999998"/>
  </r>
  <r>
    <x v="0"/>
    <x v="5"/>
    <x v="9"/>
    <x v="43"/>
    <x v="11"/>
    <x v="4"/>
    <n v="61.406742543"/>
  </r>
  <r>
    <x v="0"/>
    <x v="5"/>
    <x v="9"/>
    <x v="43"/>
    <x v="12"/>
    <x v="4"/>
    <n v="5.9849245360000003"/>
  </r>
  <r>
    <x v="0"/>
    <x v="5"/>
    <x v="9"/>
    <x v="43"/>
    <x v="13"/>
    <x v="4"/>
    <n v="11.226788317"/>
  </r>
  <r>
    <x v="0"/>
    <x v="5"/>
    <x v="9"/>
    <x v="43"/>
    <x v="14"/>
    <x v="4"/>
    <n v="21.878998833000001"/>
  </r>
  <r>
    <x v="0"/>
    <x v="5"/>
    <x v="9"/>
    <x v="43"/>
    <x v="15"/>
    <x v="4"/>
    <n v="43.232767164000002"/>
  </r>
  <r>
    <x v="0"/>
    <x v="5"/>
    <x v="9"/>
    <x v="43"/>
    <x v="16"/>
    <x v="4"/>
    <n v="2.9596175900000001"/>
  </r>
  <r>
    <x v="0"/>
    <x v="5"/>
    <x v="9"/>
    <x v="43"/>
    <x v="17"/>
    <x v="4"/>
    <n v="0"/>
  </r>
  <r>
    <x v="0"/>
    <x v="5"/>
    <x v="9"/>
    <x v="43"/>
    <x v="18"/>
    <x v="4"/>
    <n v="3.5051576720000002"/>
  </r>
  <r>
    <x v="0"/>
    <x v="5"/>
    <x v="9"/>
    <x v="43"/>
    <x v="19"/>
    <x v="4"/>
    <n v="0.94612554400000004"/>
  </r>
  <r>
    <x v="0"/>
    <x v="5"/>
    <x v="9"/>
    <x v="43"/>
    <x v="20"/>
    <x v="4"/>
    <n v="0.93912945699999995"/>
  </r>
  <r>
    <x v="0"/>
    <x v="5"/>
    <x v="9"/>
    <x v="43"/>
    <x v="21"/>
    <x v="4"/>
    <n v="51.589856066000003"/>
  </r>
  <r>
    <x v="0"/>
    <x v="5"/>
    <x v="9"/>
    <x v="43"/>
    <x v="22"/>
    <x v="4"/>
    <n v="23.139487234000001"/>
  </r>
  <r>
    <x v="0"/>
    <x v="5"/>
    <x v="9"/>
    <x v="43"/>
    <x v="23"/>
    <x v="4"/>
    <n v="25.635528928999999"/>
  </r>
  <r>
    <x v="0"/>
    <x v="5"/>
    <x v="9"/>
    <x v="43"/>
    <x v="24"/>
    <x v="4"/>
    <n v="1.263682645"/>
  </r>
  <r>
    <x v="0"/>
    <x v="5"/>
    <x v="9"/>
    <x v="43"/>
    <x v="25"/>
    <x v="4"/>
    <n v="1.1756741959999999"/>
  </r>
  <r>
    <x v="0"/>
    <x v="5"/>
    <x v="9"/>
    <x v="43"/>
    <x v="26"/>
    <x v="4"/>
    <n v="0"/>
  </r>
  <r>
    <x v="0"/>
    <x v="5"/>
    <x v="9"/>
    <x v="43"/>
    <x v="27"/>
    <x v="4"/>
    <n v="0"/>
  </r>
  <r>
    <x v="0"/>
    <x v="5"/>
    <x v="9"/>
    <x v="43"/>
    <x v="28"/>
    <x v="4"/>
    <n v="16.834775995000001"/>
  </r>
  <r>
    <x v="0"/>
    <x v="5"/>
    <x v="9"/>
    <x v="43"/>
    <x v="29"/>
    <x v="4"/>
    <n v="13.136755758"/>
  </r>
  <r>
    <x v="0"/>
    <x v="5"/>
    <x v="9"/>
    <x v="43"/>
    <x v="30"/>
    <x v="4"/>
    <n v="1.5968612689999999"/>
  </r>
  <r>
    <x v="0"/>
    <x v="5"/>
    <x v="9"/>
    <x v="43"/>
    <x v="31"/>
    <x v="4"/>
    <n v="0"/>
  </r>
  <r>
    <x v="0"/>
    <x v="5"/>
    <x v="9"/>
    <x v="43"/>
    <x v="32"/>
    <x v="4"/>
    <n v="69.474893378999994"/>
  </r>
  <r>
    <x v="0"/>
    <x v="5"/>
    <x v="9"/>
    <x v="43"/>
    <x v="33"/>
    <x v="4"/>
    <n v="26.357715764000002"/>
  </r>
  <r>
    <x v="0"/>
    <x v="5"/>
    <x v="9"/>
    <x v="43"/>
    <x v="34"/>
    <x v="4"/>
    <n v="-5.1093591700000003"/>
  </r>
  <r>
    <x v="0"/>
    <x v="5"/>
    <x v="9"/>
    <x v="43"/>
    <x v="35"/>
    <x v="4"/>
    <n v="44.735182606999999"/>
  </r>
  <r>
    <x v="0"/>
    <x v="5"/>
    <x v="9"/>
    <x v="43"/>
    <x v="36"/>
    <x v="4"/>
    <n v="80.490289838999999"/>
  </r>
  <r>
    <x v="0"/>
    <x v="5"/>
    <x v="9"/>
    <x v="43"/>
    <x v="37"/>
    <x v="4"/>
    <n v="343.89709075899998"/>
  </r>
  <r>
    <x v="0"/>
    <x v="5"/>
    <x v="9"/>
    <x v="43"/>
    <x v="38"/>
    <x v="4"/>
    <n v="3.6615111069999999"/>
  </r>
  <r>
    <x v="0"/>
    <x v="5"/>
    <x v="9"/>
    <x v="43"/>
    <x v="39"/>
    <x v="4"/>
    <n v="0.41015368499999999"/>
  </r>
  <r>
    <x v="0"/>
    <x v="5"/>
    <x v="9"/>
    <x v="43"/>
    <x v="40"/>
    <x v="4"/>
    <n v="-8.1125329999999999E-3"/>
  </r>
  <r>
    <x v="0"/>
    <x v="5"/>
    <x v="9"/>
    <x v="43"/>
    <x v="41"/>
    <x v="4"/>
    <n v="-1.422009911"/>
  </r>
  <r>
    <x v="0"/>
    <x v="5"/>
    <x v="9"/>
    <x v="43"/>
    <x v="42"/>
    <x v="4"/>
    <n v="-23.531064212"/>
  </r>
  <r>
    <x v="0"/>
    <x v="5"/>
    <x v="9"/>
    <x v="43"/>
    <x v="43"/>
    <x v="4"/>
    <n v="-14.985075296"/>
  </r>
  <r>
    <x v="0"/>
    <x v="5"/>
    <x v="9"/>
    <x v="43"/>
    <x v="44"/>
    <x v="4"/>
    <n v="4.5374083719999998"/>
  </r>
  <r>
    <x v="0"/>
    <x v="5"/>
    <x v="9"/>
    <x v="43"/>
    <x v="45"/>
    <x v="4"/>
    <n v="-1.5223326100000001"/>
  </r>
  <r>
    <x v="0"/>
    <x v="5"/>
    <x v="10"/>
    <x v="43"/>
    <x v="0"/>
    <x v="4"/>
    <n v="2.0058625170000002"/>
  </r>
  <r>
    <x v="0"/>
    <x v="5"/>
    <x v="11"/>
    <x v="43"/>
    <x v="0"/>
    <x v="4"/>
    <n v="52.523135164000003"/>
  </r>
  <r>
    <x v="0"/>
    <x v="5"/>
    <x v="12"/>
    <x v="0"/>
    <x v="0"/>
    <x v="0"/>
    <n v="667.81202259300005"/>
  </r>
  <r>
    <x v="0"/>
    <x v="5"/>
    <x v="13"/>
    <x v="0"/>
    <x v="0"/>
    <x v="0"/>
    <n v="292.01617904"/>
  </r>
  <r>
    <x v="0"/>
    <x v="5"/>
    <x v="14"/>
    <x v="0"/>
    <x v="0"/>
    <x v="0"/>
    <n v="0.89625765899999998"/>
  </r>
  <r>
    <x v="0"/>
    <x v="5"/>
    <x v="15"/>
    <x v="0"/>
    <x v="0"/>
    <x v="1"/>
    <n v="9.2281706000000005E-2"/>
  </r>
  <r>
    <x v="0"/>
    <x v="5"/>
    <x v="16"/>
    <x v="0"/>
    <x v="0"/>
    <x v="1"/>
    <n v="9.8850753E-2"/>
  </r>
  <r>
    <x v="0"/>
    <x v="5"/>
    <x v="12"/>
    <x v="1"/>
    <x v="0"/>
    <x v="0"/>
    <n v="215.832653276"/>
  </r>
  <r>
    <x v="0"/>
    <x v="5"/>
    <x v="13"/>
    <x v="1"/>
    <x v="0"/>
    <x v="0"/>
    <n v="36.94078691"/>
  </r>
  <r>
    <x v="0"/>
    <x v="5"/>
    <x v="14"/>
    <x v="1"/>
    <x v="0"/>
    <x v="0"/>
    <n v="0.29338299800000001"/>
  </r>
  <r>
    <x v="0"/>
    <x v="5"/>
    <x v="15"/>
    <x v="1"/>
    <x v="0"/>
    <x v="1"/>
    <n v="5.2910840000000001E-2"/>
  </r>
  <r>
    <x v="0"/>
    <x v="5"/>
    <x v="16"/>
    <x v="1"/>
    <x v="0"/>
    <x v="1"/>
    <n v="5.4116450000000003E-2"/>
  </r>
  <r>
    <x v="0"/>
    <x v="5"/>
    <x v="12"/>
    <x v="2"/>
    <x v="0"/>
    <x v="0"/>
    <n v="265.68515775399999"/>
  </r>
  <r>
    <x v="0"/>
    <x v="5"/>
    <x v="13"/>
    <x v="2"/>
    <x v="0"/>
    <x v="0"/>
    <n v="96.473038310000007"/>
  </r>
  <r>
    <x v="0"/>
    <x v="5"/>
    <x v="14"/>
    <x v="2"/>
    <x v="0"/>
    <x v="0"/>
    <n v="2.1787036679999998"/>
  </r>
  <r>
    <x v="0"/>
    <x v="5"/>
    <x v="15"/>
    <x v="2"/>
    <x v="0"/>
    <x v="1"/>
    <n v="3.2900638000000003E-2"/>
  </r>
  <r>
    <x v="0"/>
    <x v="5"/>
    <x v="16"/>
    <x v="2"/>
    <x v="0"/>
    <x v="1"/>
    <n v="3.0845986999999998E-2"/>
  </r>
  <r>
    <x v="0"/>
    <x v="5"/>
    <x v="12"/>
    <x v="3"/>
    <x v="0"/>
    <x v="0"/>
    <n v="126.885217931"/>
  </r>
  <r>
    <x v="0"/>
    <x v="5"/>
    <x v="13"/>
    <x v="3"/>
    <x v="0"/>
    <x v="0"/>
    <n v="80.646724547999995"/>
  </r>
  <r>
    <x v="0"/>
    <x v="5"/>
    <x v="14"/>
    <x v="3"/>
    <x v="0"/>
    <x v="0"/>
    <n v="0.28846780799999999"/>
  </r>
  <r>
    <x v="0"/>
    <x v="5"/>
    <x v="15"/>
    <x v="3"/>
    <x v="0"/>
    <x v="1"/>
    <n v="4.1129888000000003E-2"/>
  </r>
  <r>
    <x v="0"/>
    <x v="5"/>
    <x v="16"/>
    <x v="3"/>
    <x v="0"/>
    <x v="1"/>
    <n v="4.2330253999999998E-2"/>
  </r>
  <r>
    <x v="0"/>
    <x v="5"/>
    <x v="12"/>
    <x v="4"/>
    <x v="0"/>
    <x v="0"/>
    <n v="57.488068230000003"/>
  </r>
  <r>
    <x v="0"/>
    <x v="5"/>
    <x v="13"/>
    <x v="4"/>
    <x v="0"/>
    <x v="0"/>
    <n v="6.7031537380000001"/>
  </r>
  <r>
    <x v="0"/>
    <x v="5"/>
    <x v="14"/>
    <x v="4"/>
    <x v="0"/>
    <x v="0"/>
    <n v="0.47460309899999997"/>
  </r>
  <r>
    <x v="0"/>
    <x v="5"/>
    <x v="15"/>
    <x v="4"/>
    <x v="0"/>
    <x v="1"/>
    <n v="4.8095375000000003E-2"/>
  </r>
  <r>
    <x v="0"/>
    <x v="5"/>
    <x v="16"/>
    <x v="4"/>
    <x v="0"/>
    <x v="1"/>
    <n v="4.8685198999999998E-2"/>
  </r>
  <r>
    <x v="0"/>
    <x v="5"/>
    <x v="12"/>
    <x v="5"/>
    <x v="0"/>
    <x v="0"/>
    <n v="537.71929975700004"/>
  </r>
  <r>
    <x v="0"/>
    <x v="5"/>
    <x v="13"/>
    <x v="5"/>
    <x v="0"/>
    <x v="0"/>
    <n v="149.53579842600001"/>
  </r>
  <r>
    <x v="0"/>
    <x v="5"/>
    <x v="14"/>
    <x v="5"/>
    <x v="0"/>
    <x v="0"/>
    <n v="4.728607534"/>
  </r>
  <r>
    <x v="0"/>
    <x v="5"/>
    <x v="15"/>
    <x v="5"/>
    <x v="0"/>
    <x v="1"/>
    <n v="6.9453306000000006E-2"/>
  </r>
  <r>
    <x v="0"/>
    <x v="5"/>
    <x v="16"/>
    <x v="5"/>
    <x v="0"/>
    <x v="1"/>
    <n v="7.2103911000000007E-2"/>
  </r>
  <r>
    <x v="0"/>
    <x v="5"/>
    <x v="12"/>
    <x v="6"/>
    <x v="0"/>
    <x v="0"/>
    <n v="161.41132280900001"/>
  </r>
  <r>
    <x v="0"/>
    <x v="5"/>
    <x v="13"/>
    <x v="6"/>
    <x v="0"/>
    <x v="0"/>
    <n v="22.376352997000001"/>
  </r>
  <r>
    <x v="0"/>
    <x v="5"/>
    <x v="14"/>
    <x v="6"/>
    <x v="0"/>
    <x v="0"/>
    <n v="8.6702455369999996"/>
  </r>
  <r>
    <x v="0"/>
    <x v="5"/>
    <x v="15"/>
    <x v="6"/>
    <x v="0"/>
    <x v="1"/>
    <n v="6.2981270000000006E-2"/>
  </r>
  <r>
    <x v="0"/>
    <x v="5"/>
    <x v="16"/>
    <x v="6"/>
    <x v="0"/>
    <x v="1"/>
    <n v="6.4123179000000002E-2"/>
  </r>
  <r>
    <x v="0"/>
    <x v="5"/>
    <x v="12"/>
    <x v="7"/>
    <x v="0"/>
    <x v="0"/>
    <n v="91.345887477000005"/>
  </r>
  <r>
    <x v="0"/>
    <x v="5"/>
    <x v="13"/>
    <x v="7"/>
    <x v="0"/>
    <x v="0"/>
    <n v="36.684005980999999"/>
  </r>
  <r>
    <x v="0"/>
    <x v="5"/>
    <x v="14"/>
    <x v="7"/>
    <x v="0"/>
    <x v="0"/>
    <n v="18.214427418"/>
  </r>
  <r>
    <x v="0"/>
    <x v="5"/>
    <x v="15"/>
    <x v="7"/>
    <x v="0"/>
    <x v="1"/>
    <n v="6.4698623999999996E-2"/>
  </r>
  <r>
    <x v="0"/>
    <x v="5"/>
    <x v="16"/>
    <x v="7"/>
    <x v="0"/>
    <x v="1"/>
    <n v="6.8091699000000006E-2"/>
  </r>
  <r>
    <x v="0"/>
    <x v="5"/>
    <x v="12"/>
    <x v="8"/>
    <x v="0"/>
    <x v="0"/>
    <n v="76.984279219000001"/>
  </r>
  <r>
    <x v="0"/>
    <x v="5"/>
    <x v="13"/>
    <x v="8"/>
    <x v="0"/>
    <x v="0"/>
    <n v="10.618936135"/>
  </r>
  <r>
    <x v="0"/>
    <x v="5"/>
    <x v="14"/>
    <x v="8"/>
    <x v="0"/>
    <x v="0"/>
    <n v="7.1171319970000004"/>
  </r>
  <r>
    <x v="0"/>
    <x v="5"/>
    <x v="15"/>
    <x v="8"/>
    <x v="0"/>
    <x v="1"/>
    <n v="5.862937E-2"/>
  </r>
  <r>
    <x v="0"/>
    <x v="5"/>
    <x v="16"/>
    <x v="8"/>
    <x v="0"/>
    <x v="1"/>
    <n v="5.9657019999999998E-2"/>
  </r>
  <r>
    <x v="0"/>
    <x v="5"/>
    <x v="12"/>
    <x v="9"/>
    <x v="0"/>
    <x v="0"/>
    <n v="186.33024798100001"/>
  </r>
  <r>
    <x v="0"/>
    <x v="5"/>
    <x v="13"/>
    <x v="9"/>
    <x v="0"/>
    <x v="0"/>
    <n v="34.350968307999999"/>
  </r>
  <r>
    <x v="0"/>
    <x v="5"/>
    <x v="14"/>
    <x v="9"/>
    <x v="0"/>
    <x v="0"/>
    <n v="16.150184521"/>
  </r>
  <r>
    <x v="0"/>
    <x v="5"/>
    <x v="15"/>
    <x v="9"/>
    <x v="0"/>
    <x v="1"/>
    <n v="5.1730639000000002E-2"/>
  </r>
  <r>
    <x v="0"/>
    <x v="5"/>
    <x v="16"/>
    <x v="9"/>
    <x v="0"/>
    <x v="1"/>
    <n v="5.2772956000000003E-2"/>
  </r>
  <r>
    <x v="0"/>
    <x v="5"/>
    <x v="12"/>
    <x v="10"/>
    <x v="0"/>
    <x v="0"/>
    <n v="313.18056182800001"/>
  </r>
  <r>
    <x v="0"/>
    <x v="5"/>
    <x v="13"/>
    <x v="10"/>
    <x v="0"/>
    <x v="0"/>
    <n v="33.806071592999999"/>
  </r>
  <r>
    <x v="0"/>
    <x v="5"/>
    <x v="14"/>
    <x v="10"/>
    <x v="0"/>
    <x v="0"/>
    <n v="6.2804008939999996"/>
  </r>
  <r>
    <x v="0"/>
    <x v="5"/>
    <x v="15"/>
    <x v="10"/>
    <x v="0"/>
    <x v="1"/>
    <n v="3.6737430000000001E-2"/>
  </r>
  <r>
    <x v="0"/>
    <x v="5"/>
    <x v="16"/>
    <x v="10"/>
    <x v="0"/>
    <x v="1"/>
    <n v="3.6638565999999997E-2"/>
  </r>
  <r>
    <x v="0"/>
    <x v="5"/>
    <x v="12"/>
    <x v="11"/>
    <x v="0"/>
    <x v="0"/>
    <n v="789.66248151299999"/>
  </r>
  <r>
    <x v="0"/>
    <x v="5"/>
    <x v="13"/>
    <x v="11"/>
    <x v="0"/>
    <x v="0"/>
    <n v="187.50304620899999"/>
  </r>
  <r>
    <x v="0"/>
    <x v="5"/>
    <x v="14"/>
    <x v="11"/>
    <x v="0"/>
    <x v="0"/>
    <n v="34.656191307999997"/>
  </r>
  <r>
    <x v="0"/>
    <x v="5"/>
    <x v="15"/>
    <x v="11"/>
    <x v="0"/>
    <x v="1"/>
    <n v="4.4725850999999997E-2"/>
  </r>
  <r>
    <x v="0"/>
    <x v="5"/>
    <x v="16"/>
    <x v="11"/>
    <x v="0"/>
    <x v="1"/>
    <n v="4.5469124999999999E-2"/>
  </r>
  <r>
    <x v="0"/>
    <x v="5"/>
    <x v="12"/>
    <x v="12"/>
    <x v="0"/>
    <x v="0"/>
    <n v="235.47901811400001"/>
  </r>
  <r>
    <x v="0"/>
    <x v="5"/>
    <x v="13"/>
    <x v="12"/>
    <x v="0"/>
    <x v="0"/>
    <n v="8.171146405"/>
  </r>
  <r>
    <x v="0"/>
    <x v="5"/>
    <x v="14"/>
    <x v="12"/>
    <x v="0"/>
    <x v="0"/>
    <n v="8.0858111830000006"/>
  </r>
  <r>
    <x v="0"/>
    <x v="5"/>
    <x v="15"/>
    <x v="12"/>
    <x v="0"/>
    <x v="1"/>
    <n v="4.5871744999999998E-2"/>
  </r>
  <r>
    <x v="0"/>
    <x v="5"/>
    <x v="16"/>
    <x v="12"/>
    <x v="0"/>
    <x v="1"/>
    <n v="4.5998015000000003E-2"/>
  </r>
  <r>
    <x v="0"/>
    <x v="5"/>
    <x v="12"/>
    <x v="13"/>
    <x v="0"/>
    <x v="0"/>
    <n v="645.87890314900005"/>
  </r>
  <r>
    <x v="0"/>
    <x v="5"/>
    <x v="13"/>
    <x v="13"/>
    <x v="0"/>
    <x v="0"/>
    <n v="79.275689502000006"/>
  </r>
  <r>
    <x v="0"/>
    <x v="5"/>
    <x v="14"/>
    <x v="13"/>
    <x v="0"/>
    <x v="0"/>
    <n v="20.127326128"/>
  </r>
  <r>
    <x v="0"/>
    <x v="5"/>
    <x v="15"/>
    <x v="13"/>
    <x v="0"/>
    <x v="1"/>
    <n v="3.7413185000000002E-2"/>
  </r>
  <r>
    <x v="0"/>
    <x v="5"/>
    <x v="16"/>
    <x v="13"/>
    <x v="0"/>
    <x v="1"/>
    <n v="3.7351187000000001E-2"/>
  </r>
  <r>
    <x v="0"/>
    <x v="5"/>
    <x v="12"/>
    <x v="14"/>
    <x v="0"/>
    <x v="0"/>
    <n v="161.82814247499999"/>
  </r>
  <r>
    <x v="0"/>
    <x v="5"/>
    <x v="13"/>
    <x v="14"/>
    <x v="0"/>
    <x v="0"/>
    <n v="10.423524681"/>
  </r>
  <r>
    <x v="0"/>
    <x v="5"/>
    <x v="14"/>
    <x v="14"/>
    <x v="0"/>
    <x v="0"/>
    <n v="14.678254924000001"/>
  </r>
  <r>
    <x v="0"/>
    <x v="5"/>
    <x v="15"/>
    <x v="14"/>
    <x v="0"/>
    <x v="1"/>
    <n v="4.3751234999999999E-2"/>
  </r>
  <r>
    <x v="0"/>
    <x v="5"/>
    <x v="16"/>
    <x v="14"/>
    <x v="0"/>
    <x v="1"/>
    <n v="4.3923588999999999E-2"/>
  </r>
  <r>
    <x v="0"/>
    <x v="5"/>
    <x v="12"/>
    <x v="15"/>
    <x v="0"/>
    <x v="0"/>
    <n v="170.05413625200001"/>
  </r>
  <r>
    <x v="0"/>
    <x v="5"/>
    <x v="13"/>
    <x v="15"/>
    <x v="0"/>
    <x v="0"/>
    <n v="68.307401798000001"/>
  </r>
  <r>
    <x v="0"/>
    <x v="5"/>
    <x v="14"/>
    <x v="15"/>
    <x v="0"/>
    <x v="0"/>
    <n v="20.933230362"/>
  </r>
  <r>
    <x v="0"/>
    <x v="5"/>
    <x v="15"/>
    <x v="15"/>
    <x v="0"/>
    <x v="1"/>
    <n v="4.6410619E-2"/>
  </r>
  <r>
    <x v="0"/>
    <x v="5"/>
    <x v="16"/>
    <x v="15"/>
    <x v="0"/>
    <x v="1"/>
    <n v="4.7941682999999999E-2"/>
  </r>
  <r>
    <x v="0"/>
    <x v="5"/>
    <x v="12"/>
    <x v="16"/>
    <x v="0"/>
    <x v="0"/>
    <n v="108.021173424"/>
  </r>
  <r>
    <x v="0"/>
    <x v="5"/>
    <x v="13"/>
    <x v="16"/>
    <x v="0"/>
    <x v="0"/>
    <n v="58.489618538000002"/>
  </r>
  <r>
    <x v="0"/>
    <x v="5"/>
    <x v="14"/>
    <x v="16"/>
    <x v="0"/>
    <x v="0"/>
    <n v="9.828374814"/>
  </r>
  <r>
    <x v="0"/>
    <x v="5"/>
    <x v="15"/>
    <x v="16"/>
    <x v="0"/>
    <x v="1"/>
    <n v="4.8264624999999999E-2"/>
  </r>
  <r>
    <x v="0"/>
    <x v="5"/>
    <x v="16"/>
    <x v="16"/>
    <x v="0"/>
    <x v="1"/>
    <n v="5.0668616E-2"/>
  </r>
  <r>
    <x v="0"/>
    <x v="5"/>
    <x v="12"/>
    <x v="17"/>
    <x v="0"/>
    <x v="0"/>
    <n v="263.00339411200002"/>
  </r>
  <r>
    <x v="0"/>
    <x v="5"/>
    <x v="13"/>
    <x v="17"/>
    <x v="0"/>
    <x v="0"/>
    <n v="96.964354178999997"/>
  </r>
  <r>
    <x v="0"/>
    <x v="5"/>
    <x v="14"/>
    <x v="17"/>
    <x v="0"/>
    <x v="0"/>
    <n v="16.204613916"/>
  </r>
  <r>
    <x v="0"/>
    <x v="5"/>
    <x v="15"/>
    <x v="17"/>
    <x v="0"/>
    <x v="1"/>
    <n v="4.8610516999999999E-2"/>
  </r>
  <r>
    <x v="0"/>
    <x v="5"/>
    <x v="16"/>
    <x v="17"/>
    <x v="0"/>
    <x v="1"/>
    <n v="5.0283738000000001E-2"/>
  </r>
  <r>
    <x v="0"/>
    <x v="5"/>
    <x v="12"/>
    <x v="18"/>
    <x v="0"/>
    <x v="0"/>
    <n v="208.58964562400001"/>
  </r>
  <r>
    <x v="0"/>
    <x v="5"/>
    <x v="13"/>
    <x v="18"/>
    <x v="0"/>
    <x v="0"/>
    <n v="53.045795984999998"/>
  </r>
  <r>
    <x v="0"/>
    <x v="5"/>
    <x v="14"/>
    <x v="18"/>
    <x v="0"/>
    <x v="0"/>
    <n v="35.907678877999999"/>
  </r>
  <r>
    <x v="0"/>
    <x v="5"/>
    <x v="15"/>
    <x v="18"/>
    <x v="0"/>
    <x v="1"/>
    <n v="4.4006194999999998E-2"/>
  </r>
  <r>
    <x v="0"/>
    <x v="5"/>
    <x v="16"/>
    <x v="18"/>
    <x v="0"/>
    <x v="1"/>
    <n v="4.4709833999999997E-2"/>
  </r>
  <r>
    <x v="0"/>
    <x v="5"/>
    <x v="12"/>
    <x v="19"/>
    <x v="0"/>
    <x v="0"/>
    <n v="195.52525704300001"/>
  </r>
  <r>
    <x v="0"/>
    <x v="5"/>
    <x v="13"/>
    <x v="19"/>
    <x v="0"/>
    <x v="0"/>
    <n v="275.091023592"/>
  </r>
  <r>
    <x v="0"/>
    <x v="5"/>
    <x v="14"/>
    <x v="19"/>
    <x v="0"/>
    <x v="0"/>
    <n v="91.476463038999995"/>
  </r>
  <r>
    <x v="0"/>
    <x v="5"/>
    <x v="15"/>
    <x v="19"/>
    <x v="0"/>
    <x v="1"/>
    <n v="4.3892553000000001E-2"/>
  </r>
  <r>
    <x v="0"/>
    <x v="5"/>
    <x v="16"/>
    <x v="19"/>
    <x v="0"/>
    <x v="1"/>
    <n v="4.7829339999999998E-2"/>
  </r>
  <r>
    <x v="0"/>
    <x v="5"/>
    <x v="12"/>
    <x v="20"/>
    <x v="0"/>
    <x v="0"/>
    <n v="29.363098574999999"/>
  </r>
  <r>
    <x v="0"/>
    <x v="5"/>
    <x v="13"/>
    <x v="20"/>
    <x v="0"/>
    <x v="0"/>
    <n v="36.517703242000003"/>
  </r>
  <r>
    <x v="0"/>
    <x v="5"/>
    <x v="14"/>
    <x v="20"/>
    <x v="0"/>
    <x v="0"/>
    <n v="6.9900923559999999"/>
  </r>
  <r>
    <x v="0"/>
    <x v="5"/>
    <x v="15"/>
    <x v="20"/>
    <x v="0"/>
    <x v="1"/>
    <n v="4.2497227999999998E-2"/>
  </r>
  <r>
    <x v="0"/>
    <x v="5"/>
    <x v="16"/>
    <x v="20"/>
    <x v="0"/>
    <x v="1"/>
    <n v="4.5432065000000001E-2"/>
  </r>
  <r>
    <x v="0"/>
    <x v="5"/>
    <x v="12"/>
    <x v="21"/>
    <x v="0"/>
    <x v="0"/>
    <n v="13.88000274"/>
  </r>
  <r>
    <x v="0"/>
    <x v="5"/>
    <x v="13"/>
    <x v="21"/>
    <x v="0"/>
    <x v="0"/>
    <n v="0.88469128399999997"/>
  </r>
  <r>
    <x v="0"/>
    <x v="5"/>
    <x v="14"/>
    <x v="21"/>
    <x v="0"/>
    <x v="0"/>
    <n v="1.267818858"/>
  </r>
  <r>
    <x v="0"/>
    <x v="5"/>
    <x v="15"/>
    <x v="21"/>
    <x v="0"/>
    <x v="1"/>
    <n v="5.4703083999999999E-2"/>
  </r>
  <r>
    <x v="0"/>
    <x v="5"/>
    <x v="16"/>
    <x v="21"/>
    <x v="0"/>
    <x v="1"/>
    <n v="5.511112E-2"/>
  </r>
  <r>
    <x v="0"/>
    <x v="5"/>
    <x v="12"/>
    <x v="22"/>
    <x v="0"/>
    <x v="0"/>
    <n v="76.073383172000007"/>
  </r>
  <r>
    <x v="0"/>
    <x v="5"/>
    <x v="13"/>
    <x v="22"/>
    <x v="0"/>
    <x v="0"/>
    <n v="1.3908332370000001"/>
  </r>
  <r>
    <x v="0"/>
    <x v="5"/>
    <x v="14"/>
    <x v="22"/>
    <x v="0"/>
    <x v="0"/>
    <n v="4.1916354020000002"/>
  </r>
  <r>
    <x v="0"/>
    <x v="5"/>
    <x v="15"/>
    <x v="22"/>
    <x v="0"/>
    <x v="1"/>
    <n v="1.1283947000000001E-2"/>
  </r>
  <r>
    <x v="0"/>
    <x v="5"/>
    <x v="16"/>
    <x v="22"/>
    <x v="0"/>
    <x v="1"/>
    <n v="9.5606130000000008E-3"/>
  </r>
  <r>
    <x v="0"/>
    <x v="5"/>
    <x v="12"/>
    <x v="23"/>
    <x v="0"/>
    <x v="0"/>
    <n v="7.0141573959999999"/>
  </r>
  <r>
    <x v="0"/>
    <x v="5"/>
    <x v="13"/>
    <x v="23"/>
    <x v="0"/>
    <x v="0"/>
    <n v="0"/>
  </r>
  <r>
    <x v="0"/>
    <x v="5"/>
    <x v="14"/>
    <x v="23"/>
    <x v="0"/>
    <x v="0"/>
    <n v="0"/>
  </r>
  <r>
    <x v="0"/>
    <x v="5"/>
    <x v="15"/>
    <x v="23"/>
    <x v="0"/>
    <x v="1"/>
    <n v="5.2453758000000003E-2"/>
  </r>
  <r>
    <x v="0"/>
    <x v="5"/>
    <x v="16"/>
    <x v="23"/>
    <x v="0"/>
    <x v="1"/>
    <n v="5.2453758000000003E-2"/>
  </r>
  <r>
    <x v="0"/>
    <x v="5"/>
    <x v="12"/>
    <x v="24"/>
    <x v="0"/>
    <x v="0"/>
    <n v="373.82350613199998"/>
  </r>
  <r>
    <x v="0"/>
    <x v="5"/>
    <x v="13"/>
    <x v="24"/>
    <x v="0"/>
    <x v="0"/>
    <n v="0.30052359099999998"/>
  </r>
  <r>
    <x v="0"/>
    <x v="5"/>
    <x v="14"/>
    <x v="24"/>
    <x v="0"/>
    <x v="0"/>
    <n v="0.34318822300000001"/>
  </r>
  <r>
    <x v="0"/>
    <x v="5"/>
    <x v="15"/>
    <x v="24"/>
    <x v="0"/>
    <x v="1"/>
    <n v="4.0670493000000002E-2"/>
  </r>
  <r>
    <x v="0"/>
    <x v="5"/>
    <x v="16"/>
    <x v="24"/>
    <x v="0"/>
    <x v="1"/>
    <n v="4.0671530999999997E-2"/>
  </r>
  <r>
    <x v="0"/>
    <x v="5"/>
    <x v="12"/>
    <x v="25"/>
    <x v="0"/>
    <x v="0"/>
    <n v="21.792044799999999"/>
  </r>
  <r>
    <x v="0"/>
    <x v="5"/>
    <x v="13"/>
    <x v="25"/>
    <x v="0"/>
    <x v="0"/>
    <n v="1.98E-7"/>
  </r>
  <r>
    <x v="0"/>
    <x v="5"/>
    <x v="14"/>
    <x v="25"/>
    <x v="0"/>
    <x v="0"/>
    <n v="0"/>
  </r>
  <r>
    <x v="0"/>
    <x v="5"/>
    <x v="15"/>
    <x v="25"/>
    <x v="0"/>
    <x v="1"/>
    <n v="3.6677063000000003E-2"/>
  </r>
  <r>
    <x v="0"/>
    <x v="5"/>
    <x v="16"/>
    <x v="25"/>
    <x v="0"/>
    <x v="1"/>
    <n v="3.6677063000000003E-2"/>
  </r>
  <r>
    <x v="0"/>
    <x v="5"/>
    <x v="12"/>
    <x v="26"/>
    <x v="0"/>
    <x v="0"/>
    <n v="9.6878021729999997"/>
  </r>
  <r>
    <x v="0"/>
    <x v="5"/>
    <x v="13"/>
    <x v="26"/>
    <x v="0"/>
    <x v="0"/>
    <n v="0"/>
  </r>
  <r>
    <x v="0"/>
    <x v="5"/>
    <x v="14"/>
    <x v="26"/>
    <x v="0"/>
    <x v="0"/>
    <n v="0"/>
  </r>
  <r>
    <x v="0"/>
    <x v="5"/>
    <x v="15"/>
    <x v="26"/>
    <x v="0"/>
    <x v="1"/>
    <n v="5.2386749000000003E-2"/>
  </r>
  <r>
    <x v="0"/>
    <x v="5"/>
    <x v="16"/>
    <x v="26"/>
    <x v="0"/>
    <x v="1"/>
    <n v="5.2386749000000003E-2"/>
  </r>
  <r>
    <x v="0"/>
    <x v="5"/>
    <x v="12"/>
    <x v="27"/>
    <x v="0"/>
    <x v="0"/>
    <n v="457.775342658"/>
  </r>
  <r>
    <x v="0"/>
    <x v="5"/>
    <x v="13"/>
    <x v="27"/>
    <x v="0"/>
    <x v="0"/>
    <n v="5.2540822589999996"/>
  </r>
  <r>
    <x v="0"/>
    <x v="5"/>
    <x v="14"/>
    <x v="27"/>
    <x v="0"/>
    <x v="0"/>
    <n v="1.600006995"/>
  </r>
  <r>
    <x v="0"/>
    <x v="5"/>
    <x v="15"/>
    <x v="27"/>
    <x v="0"/>
    <x v="1"/>
    <n v="5.9692954999999999E-2"/>
  </r>
  <r>
    <x v="0"/>
    <x v="5"/>
    <x v="16"/>
    <x v="27"/>
    <x v="0"/>
    <x v="1"/>
    <n v="5.9783746999999998E-2"/>
  </r>
  <r>
    <x v="0"/>
    <x v="5"/>
    <x v="12"/>
    <x v="28"/>
    <x v="0"/>
    <x v="0"/>
    <n v="505.79760188400002"/>
  </r>
  <r>
    <x v="0"/>
    <x v="5"/>
    <x v="13"/>
    <x v="28"/>
    <x v="0"/>
    <x v="0"/>
    <n v="0"/>
  </r>
  <r>
    <x v="0"/>
    <x v="5"/>
    <x v="14"/>
    <x v="28"/>
    <x v="0"/>
    <x v="0"/>
    <n v="62.904180228999998"/>
  </r>
  <r>
    <x v="0"/>
    <x v="5"/>
    <x v="15"/>
    <x v="28"/>
    <x v="0"/>
    <x v="1"/>
    <n v="4.2245110000000002E-2"/>
  </r>
  <r>
    <x v="0"/>
    <x v="5"/>
    <x v="16"/>
    <x v="28"/>
    <x v="0"/>
    <x v="1"/>
    <n v="4.2245110000000002E-2"/>
  </r>
  <r>
    <x v="0"/>
    <x v="5"/>
    <x v="12"/>
    <x v="29"/>
    <x v="0"/>
    <x v="0"/>
    <n v="437.93587901699999"/>
  </r>
  <r>
    <x v="0"/>
    <x v="5"/>
    <x v="13"/>
    <x v="29"/>
    <x v="0"/>
    <x v="0"/>
    <n v="53.497375908000002"/>
  </r>
  <r>
    <x v="0"/>
    <x v="5"/>
    <x v="14"/>
    <x v="29"/>
    <x v="0"/>
    <x v="0"/>
    <n v="21.190397582999999"/>
  </r>
  <r>
    <x v="0"/>
    <x v="5"/>
    <x v="15"/>
    <x v="29"/>
    <x v="0"/>
    <x v="1"/>
    <n v="4.6529662999999999E-2"/>
  </r>
  <r>
    <x v="0"/>
    <x v="5"/>
    <x v="16"/>
    <x v="29"/>
    <x v="0"/>
    <x v="1"/>
    <n v="4.7042735000000002E-2"/>
  </r>
  <r>
    <x v="0"/>
    <x v="5"/>
    <x v="12"/>
    <x v="30"/>
    <x v="0"/>
    <x v="0"/>
    <n v="107.844810395"/>
  </r>
  <r>
    <x v="0"/>
    <x v="5"/>
    <x v="13"/>
    <x v="30"/>
    <x v="0"/>
    <x v="0"/>
    <n v="34.251275595999999"/>
  </r>
  <r>
    <x v="0"/>
    <x v="5"/>
    <x v="14"/>
    <x v="30"/>
    <x v="0"/>
    <x v="0"/>
    <n v="0.83893606200000004"/>
  </r>
  <r>
    <x v="0"/>
    <x v="5"/>
    <x v="15"/>
    <x v="30"/>
    <x v="0"/>
    <x v="1"/>
    <n v="7.1743841000000003E-2"/>
  </r>
  <r>
    <x v="0"/>
    <x v="5"/>
    <x v="16"/>
    <x v="30"/>
    <x v="0"/>
    <x v="1"/>
    <n v="7.5204012000000001E-2"/>
  </r>
  <r>
    <x v="0"/>
    <x v="5"/>
    <x v="12"/>
    <x v="31"/>
    <x v="0"/>
    <x v="0"/>
    <n v="172.38284012099999"/>
  </r>
  <r>
    <x v="0"/>
    <x v="5"/>
    <x v="13"/>
    <x v="31"/>
    <x v="0"/>
    <x v="0"/>
    <n v="8.1630336060000008"/>
  </r>
  <r>
    <x v="0"/>
    <x v="5"/>
    <x v="14"/>
    <x v="31"/>
    <x v="0"/>
    <x v="0"/>
    <n v="5.973223913"/>
  </r>
  <r>
    <x v="0"/>
    <x v="5"/>
    <x v="15"/>
    <x v="31"/>
    <x v="0"/>
    <x v="1"/>
    <n v="3.7746175E-2"/>
  </r>
  <r>
    <x v="0"/>
    <x v="5"/>
    <x v="16"/>
    <x v="31"/>
    <x v="0"/>
    <x v="1"/>
    <n v="3.7729249999999999E-2"/>
  </r>
  <r>
    <x v="0"/>
    <x v="5"/>
    <x v="12"/>
    <x v="32"/>
    <x v="0"/>
    <x v="0"/>
    <n v="592.51273464500002"/>
  </r>
  <r>
    <x v="0"/>
    <x v="5"/>
    <x v="13"/>
    <x v="32"/>
    <x v="0"/>
    <x v="0"/>
    <n v="4.5235038379999999"/>
  </r>
  <r>
    <x v="0"/>
    <x v="5"/>
    <x v="14"/>
    <x v="32"/>
    <x v="0"/>
    <x v="0"/>
    <n v="2.8012453370000001"/>
  </r>
  <r>
    <x v="0"/>
    <x v="5"/>
    <x v="15"/>
    <x v="32"/>
    <x v="0"/>
    <x v="1"/>
    <n v="3.7110098000000001E-2"/>
  </r>
  <r>
    <x v="0"/>
    <x v="5"/>
    <x v="16"/>
    <x v="32"/>
    <x v="0"/>
    <x v="1"/>
    <n v="3.7103522E-2"/>
  </r>
  <r>
    <x v="0"/>
    <x v="5"/>
    <x v="12"/>
    <x v="33"/>
    <x v="0"/>
    <x v="0"/>
    <n v="594.70061665699996"/>
  </r>
  <r>
    <x v="0"/>
    <x v="5"/>
    <x v="13"/>
    <x v="33"/>
    <x v="0"/>
    <x v="0"/>
    <n v="0"/>
  </r>
  <r>
    <x v="0"/>
    <x v="5"/>
    <x v="14"/>
    <x v="33"/>
    <x v="0"/>
    <x v="0"/>
    <n v="0"/>
  </r>
  <r>
    <x v="0"/>
    <x v="5"/>
    <x v="15"/>
    <x v="33"/>
    <x v="0"/>
    <x v="1"/>
    <n v="2.3153591000000001E-2"/>
  </r>
  <r>
    <x v="0"/>
    <x v="5"/>
    <x v="16"/>
    <x v="33"/>
    <x v="0"/>
    <x v="1"/>
    <n v="2.3153591000000001E-2"/>
  </r>
  <r>
    <x v="0"/>
    <x v="5"/>
    <x v="12"/>
    <x v="34"/>
    <x v="0"/>
    <x v="0"/>
    <n v="265.14305599900001"/>
  </r>
  <r>
    <x v="0"/>
    <x v="5"/>
    <x v="13"/>
    <x v="34"/>
    <x v="0"/>
    <x v="0"/>
    <n v="57.301454055999997"/>
  </r>
  <r>
    <x v="0"/>
    <x v="5"/>
    <x v="14"/>
    <x v="34"/>
    <x v="0"/>
    <x v="0"/>
    <n v="13.781432405"/>
  </r>
  <r>
    <x v="0"/>
    <x v="5"/>
    <x v="15"/>
    <x v="34"/>
    <x v="0"/>
    <x v="1"/>
    <n v="4.9403438000000001E-2"/>
  </r>
  <r>
    <x v="0"/>
    <x v="5"/>
    <x v="16"/>
    <x v="34"/>
    <x v="0"/>
    <x v="1"/>
    <n v="5.0525398999999999E-2"/>
  </r>
  <r>
    <x v="0"/>
    <x v="5"/>
    <x v="12"/>
    <x v="35"/>
    <x v="0"/>
    <x v="0"/>
    <n v="190.147648659"/>
  </r>
  <r>
    <x v="0"/>
    <x v="5"/>
    <x v="13"/>
    <x v="35"/>
    <x v="0"/>
    <x v="0"/>
    <n v="5.2759220730000003"/>
  </r>
  <r>
    <x v="0"/>
    <x v="5"/>
    <x v="14"/>
    <x v="35"/>
    <x v="0"/>
    <x v="0"/>
    <n v="8.0677752000000005E-2"/>
  </r>
  <r>
    <x v="0"/>
    <x v="5"/>
    <x v="15"/>
    <x v="35"/>
    <x v="0"/>
    <x v="1"/>
    <n v="5.3351265000000002E-2"/>
  </r>
  <r>
    <x v="0"/>
    <x v="5"/>
    <x v="16"/>
    <x v="35"/>
    <x v="0"/>
    <x v="1"/>
    <n v="5.3535126000000002E-2"/>
  </r>
  <r>
    <x v="0"/>
    <x v="5"/>
    <x v="12"/>
    <x v="36"/>
    <x v="0"/>
    <x v="0"/>
    <n v="51.683719230000001"/>
  </r>
  <r>
    <x v="0"/>
    <x v="5"/>
    <x v="13"/>
    <x v="36"/>
    <x v="0"/>
    <x v="0"/>
    <n v="9.719917251"/>
  </r>
  <r>
    <x v="0"/>
    <x v="5"/>
    <x v="14"/>
    <x v="36"/>
    <x v="0"/>
    <x v="0"/>
    <n v="0.30998263700000001"/>
  </r>
  <r>
    <x v="0"/>
    <x v="5"/>
    <x v="15"/>
    <x v="36"/>
    <x v="0"/>
    <x v="1"/>
    <n v="6.0411288E-2"/>
  </r>
  <r>
    <x v="0"/>
    <x v="5"/>
    <x v="16"/>
    <x v="36"/>
    <x v="0"/>
    <x v="1"/>
    <n v="6.2051688000000001E-2"/>
  </r>
  <r>
    <x v="0"/>
    <x v="5"/>
    <x v="12"/>
    <x v="37"/>
    <x v="0"/>
    <x v="0"/>
    <n v="79.678622047000005"/>
  </r>
  <r>
    <x v="0"/>
    <x v="5"/>
    <x v="13"/>
    <x v="37"/>
    <x v="0"/>
    <x v="0"/>
    <n v="3.0788021830000001"/>
  </r>
  <r>
    <x v="0"/>
    <x v="5"/>
    <x v="14"/>
    <x v="37"/>
    <x v="0"/>
    <x v="0"/>
    <n v="0.230014475"/>
  </r>
  <r>
    <x v="0"/>
    <x v="5"/>
    <x v="15"/>
    <x v="37"/>
    <x v="0"/>
    <x v="1"/>
    <n v="6.6057114E-2"/>
  </r>
  <r>
    <x v="0"/>
    <x v="5"/>
    <x v="16"/>
    <x v="37"/>
    <x v="0"/>
    <x v="1"/>
    <n v="6.6475561000000002E-2"/>
  </r>
  <r>
    <x v="0"/>
    <x v="5"/>
    <x v="12"/>
    <x v="38"/>
    <x v="0"/>
    <x v="0"/>
    <n v="165.648554351"/>
  </r>
  <r>
    <x v="0"/>
    <x v="5"/>
    <x v="13"/>
    <x v="38"/>
    <x v="0"/>
    <x v="0"/>
    <n v="9.5764508839999998"/>
  </r>
  <r>
    <x v="0"/>
    <x v="5"/>
    <x v="14"/>
    <x v="38"/>
    <x v="0"/>
    <x v="0"/>
    <n v="6.6550678000000002E-2"/>
  </r>
  <r>
    <x v="0"/>
    <x v="5"/>
    <x v="15"/>
    <x v="38"/>
    <x v="0"/>
    <x v="1"/>
    <n v="9.5955815E-2"/>
  </r>
  <r>
    <x v="0"/>
    <x v="5"/>
    <x v="16"/>
    <x v="38"/>
    <x v="0"/>
    <x v="1"/>
    <n v="9.6996603000000001E-2"/>
  </r>
  <r>
    <x v="0"/>
    <x v="5"/>
    <x v="12"/>
    <x v="39"/>
    <x v="0"/>
    <x v="0"/>
    <n v="87.630143114999996"/>
  </r>
  <r>
    <x v="0"/>
    <x v="5"/>
    <x v="13"/>
    <x v="39"/>
    <x v="0"/>
    <x v="0"/>
    <n v="3.7393062819999998"/>
  </r>
  <r>
    <x v="0"/>
    <x v="5"/>
    <x v="14"/>
    <x v="39"/>
    <x v="0"/>
    <x v="0"/>
    <n v="6.6018739000000007E-2"/>
  </r>
  <r>
    <x v="0"/>
    <x v="5"/>
    <x v="15"/>
    <x v="39"/>
    <x v="0"/>
    <x v="1"/>
    <n v="7.8148508000000005E-2"/>
  </r>
  <r>
    <x v="0"/>
    <x v="5"/>
    <x v="16"/>
    <x v="39"/>
    <x v="0"/>
    <x v="1"/>
    <n v="7.8677232E-2"/>
  </r>
  <r>
    <x v="0"/>
    <x v="5"/>
    <x v="12"/>
    <x v="40"/>
    <x v="0"/>
    <x v="0"/>
    <n v="42.005213623000003"/>
  </r>
  <r>
    <x v="0"/>
    <x v="5"/>
    <x v="13"/>
    <x v="40"/>
    <x v="0"/>
    <x v="0"/>
    <n v="28.402914561999999"/>
  </r>
  <r>
    <x v="0"/>
    <x v="5"/>
    <x v="14"/>
    <x v="40"/>
    <x v="0"/>
    <x v="0"/>
    <n v="1.5039464789999999"/>
  </r>
  <r>
    <x v="0"/>
    <x v="5"/>
    <x v="15"/>
    <x v="40"/>
    <x v="0"/>
    <x v="1"/>
    <n v="5.4794271999999998E-2"/>
  </r>
  <r>
    <x v="0"/>
    <x v="5"/>
    <x v="16"/>
    <x v="40"/>
    <x v="0"/>
    <x v="1"/>
    <n v="5.9821600000000003E-2"/>
  </r>
  <r>
    <x v="0"/>
    <x v="5"/>
    <x v="12"/>
    <x v="41"/>
    <x v="0"/>
    <x v="0"/>
    <n v="363.05255643800001"/>
  </r>
  <r>
    <x v="0"/>
    <x v="5"/>
    <x v="13"/>
    <x v="41"/>
    <x v="0"/>
    <x v="0"/>
    <n v="7.8728705210000003"/>
  </r>
  <r>
    <x v="0"/>
    <x v="5"/>
    <x v="14"/>
    <x v="41"/>
    <x v="0"/>
    <x v="0"/>
    <n v="0.11557440400000001"/>
  </r>
  <r>
    <x v="0"/>
    <x v="5"/>
    <x v="15"/>
    <x v="41"/>
    <x v="0"/>
    <x v="1"/>
    <n v="9.2201816000000006E-2"/>
  </r>
  <r>
    <x v="0"/>
    <x v="5"/>
    <x v="16"/>
    <x v="41"/>
    <x v="0"/>
    <x v="1"/>
    <n v="9.2546881999999997E-2"/>
  </r>
  <r>
    <x v="0"/>
    <x v="5"/>
    <x v="17"/>
    <x v="0"/>
    <x v="46"/>
    <x v="1"/>
    <n v="66.076968245000003"/>
  </r>
  <r>
    <x v="0"/>
    <x v="5"/>
    <x v="17"/>
    <x v="0"/>
    <x v="47"/>
    <x v="1"/>
    <n v="66.076968245000003"/>
  </r>
  <r>
    <x v="0"/>
    <x v="5"/>
    <x v="17"/>
    <x v="0"/>
    <x v="48"/>
    <x v="1"/>
    <n v="66.076968245000003"/>
  </r>
  <r>
    <x v="0"/>
    <x v="5"/>
    <x v="17"/>
    <x v="0"/>
    <x v="49"/>
    <x v="1"/>
    <n v="0"/>
  </r>
  <r>
    <x v="0"/>
    <x v="5"/>
    <x v="17"/>
    <x v="0"/>
    <x v="50"/>
    <x v="1"/>
    <n v="0"/>
  </r>
  <r>
    <x v="0"/>
    <x v="5"/>
    <x v="17"/>
    <x v="0"/>
    <x v="51"/>
    <x v="1"/>
    <n v="0"/>
  </r>
  <r>
    <x v="0"/>
    <x v="5"/>
    <x v="17"/>
    <x v="0"/>
    <x v="52"/>
    <x v="1"/>
    <n v="0"/>
  </r>
  <r>
    <x v="0"/>
    <x v="5"/>
    <x v="17"/>
    <x v="0"/>
    <x v="53"/>
    <x v="1"/>
    <n v="0"/>
  </r>
  <r>
    <x v="0"/>
    <x v="5"/>
    <x v="17"/>
    <x v="0"/>
    <x v="54"/>
    <x v="1"/>
    <n v="0"/>
  </r>
  <r>
    <x v="0"/>
    <x v="5"/>
    <x v="17"/>
    <x v="0"/>
    <x v="55"/>
    <x v="1"/>
    <n v="0"/>
  </r>
  <r>
    <x v="0"/>
    <x v="5"/>
    <x v="17"/>
    <x v="1"/>
    <x v="46"/>
    <x v="1"/>
    <n v="11.694518179999999"/>
  </r>
  <r>
    <x v="0"/>
    <x v="5"/>
    <x v="17"/>
    <x v="1"/>
    <x v="47"/>
    <x v="1"/>
    <n v="11.694518179999999"/>
  </r>
  <r>
    <x v="0"/>
    <x v="5"/>
    <x v="17"/>
    <x v="1"/>
    <x v="48"/>
    <x v="1"/>
    <n v="11.694518179999999"/>
  </r>
  <r>
    <x v="0"/>
    <x v="5"/>
    <x v="17"/>
    <x v="1"/>
    <x v="49"/>
    <x v="1"/>
    <n v="0"/>
  </r>
  <r>
    <x v="0"/>
    <x v="5"/>
    <x v="17"/>
    <x v="1"/>
    <x v="50"/>
    <x v="1"/>
    <n v="0"/>
  </r>
  <r>
    <x v="0"/>
    <x v="5"/>
    <x v="17"/>
    <x v="1"/>
    <x v="51"/>
    <x v="1"/>
    <n v="0"/>
  </r>
  <r>
    <x v="0"/>
    <x v="5"/>
    <x v="17"/>
    <x v="1"/>
    <x v="52"/>
    <x v="1"/>
    <n v="0"/>
  </r>
  <r>
    <x v="0"/>
    <x v="5"/>
    <x v="17"/>
    <x v="1"/>
    <x v="53"/>
    <x v="1"/>
    <n v="0"/>
  </r>
  <r>
    <x v="0"/>
    <x v="5"/>
    <x v="17"/>
    <x v="1"/>
    <x v="54"/>
    <x v="1"/>
    <n v="0"/>
  </r>
  <r>
    <x v="0"/>
    <x v="5"/>
    <x v="17"/>
    <x v="1"/>
    <x v="55"/>
    <x v="1"/>
    <n v="0"/>
  </r>
  <r>
    <x v="0"/>
    <x v="5"/>
    <x v="17"/>
    <x v="2"/>
    <x v="46"/>
    <x v="1"/>
    <n v="8.2703807109999996"/>
  </r>
  <r>
    <x v="0"/>
    <x v="5"/>
    <x v="17"/>
    <x v="2"/>
    <x v="47"/>
    <x v="1"/>
    <n v="8.2703807109999996"/>
  </r>
  <r>
    <x v="0"/>
    <x v="5"/>
    <x v="17"/>
    <x v="2"/>
    <x v="48"/>
    <x v="1"/>
    <n v="8.2703807109999996"/>
  </r>
  <r>
    <x v="0"/>
    <x v="5"/>
    <x v="17"/>
    <x v="2"/>
    <x v="49"/>
    <x v="1"/>
    <n v="0"/>
  </r>
  <r>
    <x v="0"/>
    <x v="5"/>
    <x v="17"/>
    <x v="2"/>
    <x v="50"/>
    <x v="1"/>
    <n v="0"/>
  </r>
  <r>
    <x v="0"/>
    <x v="5"/>
    <x v="17"/>
    <x v="2"/>
    <x v="51"/>
    <x v="1"/>
    <n v="0"/>
  </r>
  <r>
    <x v="0"/>
    <x v="5"/>
    <x v="17"/>
    <x v="2"/>
    <x v="52"/>
    <x v="1"/>
    <n v="0"/>
  </r>
  <r>
    <x v="0"/>
    <x v="5"/>
    <x v="17"/>
    <x v="2"/>
    <x v="53"/>
    <x v="1"/>
    <n v="0"/>
  </r>
  <r>
    <x v="0"/>
    <x v="5"/>
    <x v="17"/>
    <x v="2"/>
    <x v="54"/>
    <x v="1"/>
    <n v="0"/>
  </r>
  <r>
    <x v="0"/>
    <x v="5"/>
    <x v="17"/>
    <x v="2"/>
    <x v="55"/>
    <x v="1"/>
    <n v="0"/>
  </r>
  <r>
    <x v="0"/>
    <x v="5"/>
    <x v="17"/>
    <x v="3"/>
    <x v="46"/>
    <x v="1"/>
    <n v="5.383741143"/>
  </r>
  <r>
    <x v="0"/>
    <x v="5"/>
    <x v="17"/>
    <x v="3"/>
    <x v="47"/>
    <x v="1"/>
    <n v="5.383741143"/>
  </r>
  <r>
    <x v="0"/>
    <x v="5"/>
    <x v="17"/>
    <x v="3"/>
    <x v="48"/>
    <x v="1"/>
    <n v="5.383741143"/>
  </r>
  <r>
    <x v="0"/>
    <x v="5"/>
    <x v="17"/>
    <x v="3"/>
    <x v="49"/>
    <x v="1"/>
    <n v="0"/>
  </r>
  <r>
    <x v="0"/>
    <x v="5"/>
    <x v="17"/>
    <x v="3"/>
    <x v="50"/>
    <x v="1"/>
    <n v="0"/>
  </r>
  <r>
    <x v="0"/>
    <x v="5"/>
    <x v="17"/>
    <x v="3"/>
    <x v="51"/>
    <x v="1"/>
    <n v="0"/>
  </r>
  <r>
    <x v="0"/>
    <x v="5"/>
    <x v="17"/>
    <x v="3"/>
    <x v="52"/>
    <x v="1"/>
    <n v="0"/>
  </r>
  <r>
    <x v="0"/>
    <x v="5"/>
    <x v="17"/>
    <x v="3"/>
    <x v="53"/>
    <x v="1"/>
    <n v="0"/>
  </r>
  <r>
    <x v="0"/>
    <x v="5"/>
    <x v="17"/>
    <x v="3"/>
    <x v="54"/>
    <x v="1"/>
    <n v="0"/>
  </r>
  <r>
    <x v="0"/>
    <x v="5"/>
    <x v="17"/>
    <x v="3"/>
    <x v="55"/>
    <x v="1"/>
    <n v="0"/>
  </r>
  <r>
    <x v="0"/>
    <x v="5"/>
    <x v="17"/>
    <x v="4"/>
    <x v="46"/>
    <x v="1"/>
    <n v="2.8208002570000001"/>
  </r>
  <r>
    <x v="0"/>
    <x v="5"/>
    <x v="17"/>
    <x v="4"/>
    <x v="47"/>
    <x v="1"/>
    <n v="2.8208002570000001"/>
  </r>
  <r>
    <x v="0"/>
    <x v="5"/>
    <x v="17"/>
    <x v="4"/>
    <x v="48"/>
    <x v="1"/>
    <n v="2.8208002570000001"/>
  </r>
  <r>
    <x v="0"/>
    <x v="5"/>
    <x v="17"/>
    <x v="4"/>
    <x v="49"/>
    <x v="1"/>
    <n v="0"/>
  </r>
  <r>
    <x v="0"/>
    <x v="5"/>
    <x v="17"/>
    <x v="4"/>
    <x v="50"/>
    <x v="1"/>
    <n v="0"/>
  </r>
  <r>
    <x v="0"/>
    <x v="5"/>
    <x v="17"/>
    <x v="4"/>
    <x v="51"/>
    <x v="1"/>
    <n v="0"/>
  </r>
  <r>
    <x v="0"/>
    <x v="5"/>
    <x v="17"/>
    <x v="4"/>
    <x v="52"/>
    <x v="1"/>
    <n v="0"/>
  </r>
  <r>
    <x v="0"/>
    <x v="5"/>
    <x v="17"/>
    <x v="4"/>
    <x v="53"/>
    <x v="1"/>
    <n v="0"/>
  </r>
  <r>
    <x v="0"/>
    <x v="5"/>
    <x v="17"/>
    <x v="4"/>
    <x v="54"/>
    <x v="1"/>
    <n v="0"/>
  </r>
  <r>
    <x v="0"/>
    <x v="5"/>
    <x v="17"/>
    <x v="4"/>
    <x v="55"/>
    <x v="1"/>
    <n v="0"/>
  </r>
  <r>
    <x v="0"/>
    <x v="5"/>
    <x v="17"/>
    <x v="5"/>
    <x v="46"/>
    <x v="1"/>
    <n v="39.044184983999997"/>
  </r>
  <r>
    <x v="0"/>
    <x v="5"/>
    <x v="17"/>
    <x v="5"/>
    <x v="47"/>
    <x v="1"/>
    <n v="39.044184983999997"/>
  </r>
  <r>
    <x v="0"/>
    <x v="5"/>
    <x v="17"/>
    <x v="5"/>
    <x v="48"/>
    <x v="1"/>
    <n v="39.044184983999997"/>
  </r>
  <r>
    <x v="0"/>
    <x v="5"/>
    <x v="17"/>
    <x v="5"/>
    <x v="49"/>
    <x v="1"/>
    <n v="0"/>
  </r>
  <r>
    <x v="0"/>
    <x v="5"/>
    <x v="17"/>
    <x v="5"/>
    <x v="50"/>
    <x v="1"/>
    <n v="0"/>
  </r>
  <r>
    <x v="0"/>
    <x v="5"/>
    <x v="17"/>
    <x v="5"/>
    <x v="51"/>
    <x v="1"/>
    <n v="0"/>
  </r>
  <r>
    <x v="0"/>
    <x v="5"/>
    <x v="17"/>
    <x v="5"/>
    <x v="52"/>
    <x v="1"/>
    <n v="0"/>
  </r>
  <r>
    <x v="0"/>
    <x v="5"/>
    <x v="17"/>
    <x v="5"/>
    <x v="53"/>
    <x v="1"/>
    <n v="0"/>
  </r>
  <r>
    <x v="0"/>
    <x v="5"/>
    <x v="17"/>
    <x v="5"/>
    <x v="54"/>
    <x v="1"/>
    <n v="0"/>
  </r>
  <r>
    <x v="0"/>
    <x v="5"/>
    <x v="17"/>
    <x v="5"/>
    <x v="55"/>
    <x v="1"/>
    <n v="0"/>
  </r>
  <r>
    <x v="0"/>
    <x v="5"/>
    <x v="17"/>
    <x v="6"/>
    <x v="46"/>
    <x v="1"/>
    <n v="10.846048055000001"/>
  </r>
  <r>
    <x v="0"/>
    <x v="5"/>
    <x v="17"/>
    <x v="6"/>
    <x v="47"/>
    <x v="1"/>
    <n v="10.846048055000001"/>
  </r>
  <r>
    <x v="0"/>
    <x v="5"/>
    <x v="17"/>
    <x v="6"/>
    <x v="48"/>
    <x v="1"/>
    <n v="10.846048055000001"/>
  </r>
  <r>
    <x v="0"/>
    <x v="5"/>
    <x v="17"/>
    <x v="6"/>
    <x v="49"/>
    <x v="1"/>
    <n v="0"/>
  </r>
  <r>
    <x v="0"/>
    <x v="5"/>
    <x v="17"/>
    <x v="6"/>
    <x v="50"/>
    <x v="1"/>
    <n v="0"/>
  </r>
  <r>
    <x v="0"/>
    <x v="5"/>
    <x v="17"/>
    <x v="6"/>
    <x v="51"/>
    <x v="1"/>
    <n v="0"/>
  </r>
  <r>
    <x v="0"/>
    <x v="5"/>
    <x v="17"/>
    <x v="6"/>
    <x v="52"/>
    <x v="1"/>
    <n v="0"/>
  </r>
  <r>
    <x v="0"/>
    <x v="5"/>
    <x v="17"/>
    <x v="6"/>
    <x v="53"/>
    <x v="1"/>
    <n v="0"/>
  </r>
  <r>
    <x v="0"/>
    <x v="5"/>
    <x v="17"/>
    <x v="6"/>
    <x v="54"/>
    <x v="1"/>
    <n v="0"/>
  </r>
  <r>
    <x v="0"/>
    <x v="5"/>
    <x v="17"/>
    <x v="6"/>
    <x v="55"/>
    <x v="1"/>
    <n v="0"/>
  </r>
  <r>
    <x v="0"/>
    <x v="5"/>
    <x v="17"/>
    <x v="7"/>
    <x v="46"/>
    <x v="1"/>
    <n v="7.2642940759999997"/>
  </r>
  <r>
    <x v="0"/>
    <x v="5"/>
    <x v="17"/>
    <x v="7"/>
    <x v="47"/>
    <x v="1"/>
    <n v="7.2642940759999997"/>
  </r>
  <r>
    <x v="0"/>
    <x v="5"/>
    <x v="17"/>
    <x v="7"/>
    <x v="48"/>
    <x v="1"/>
    <n v="7.2642940759999997"/>
  </r>
  <r>
    <x v="0"/>
    <x v="5"/>
    <x v="17"/>
    <x v="7"/>
    <x v="49"/>
    <x v="1"/>
    <n v="0"/>
  </r>
  <r>
    <x v="0"/>
    <x v="5"/>
    <x v="17"/>
    <x v="7"/>
    <x v="50"/>
    <x v="1"/>
    <n v="0"/>
  </r>
  <r>
    <x v="0"/>
    <x v="5"/>
    <x v="17"/>
    <x v="7"/>
    <x v="51"/>
    <x v="1"/>
    <n v="0"/>
  </r>
  <r>
    <x v="0"/>
    <x v="5"/>
    <x v="17"/>
    <x v="7"/>
    <x v="52"/>
    <x v="1"/>
    <n v="0"/>
  </r>
  <r>
    <x v="0"/>
    <x v="5"/>
    <x v="17"/>
    <x v="7"/>
    <x v="53"/>
    <x v="1"/>
    <n v="0"/>
  </r>
  <r>
    <x v="0"/>
    <x v="5"/>
    <x v="17"/>
    <x v="7"/>
    <x v="54"/>
    <x v="1"/>
    <n v="0"/>
  </r>
  <r>
    <x v="0"/>
    <x v="5"/>
    <x v="17"/>
    <x v="7"/>
    <x v="55"/>
    <x v="1"/>
    <n v="0"/>
  </r>
  <r>
    <x v="0"/>
    <x v="5"/>
    <x v="17"/>
    <x v="8"/>
    <x v="46"/>
    <x v="1"/>
    <n v="4.9811418950000004"/>
  </r>
  <r>
    <x v="0"/>
    <x v="5"/>
    <x v="17"/>
    <x v="8"/>
    <x v="47"/>
    <x v="1"/>
    <n v="4.9811418950000004"/>
  </r>
  <r>
    <x v="0"/>
    <x v="5"/>
    <x v="17"/>
    <x v="8"/>
    <x v="48"/>
    <x v="1"/>
    <n v="4.9811418950000004"/>
  </r>
  <r>
    <x v="0"/>
    <x v="5"/>
    <x v="17"/>
    <x v="8"/>
    <x v="49"/>
    <x v="1"/>
    <n v="0"/>
  </r>
  <r>
    <x v="0"/>
    <x v="5"/>
    <x v="17"/>
    <x v="8"/>
    <x v="50"/>
    <x v="1"/>
    <n v="0"/>
  </r>
  <r>
    <x v="0"/>
    <x v="5"/>
    <x v="17"/>
    <x v="8"/>
    <x v="51"/>
    <x v="1"/>
    <n v="0"/>
  </r>
  <r>
    <x v="0"/>
    <x v="5"/>
    <x v="17"/>
    <x v="8"/>
    <x v="52"/>
    <x v="1"/>
    <n v="0"/>
  </r>
  <r>
    <x v="0"/>
    <x v="5"/>
    <x v="17"/>
    <x v="8"/>
    <x v="53"/>
    <x v="1"/>
    <n v="0"/>
  </r>
  <r>
    <x v="0"/>
    <x v="5"/>
    <x v="17"/>
    <x v="8"/>
    <x v="54"/>
    <x v="1"/>
    <n v="0"/>
  </r>
  <r>
    <x v="0"/>
    <x v="5"/>
    <x v="17"/>
    <x v="8"/>
    <x v="55"/>
    <x v="1"/>
    <n v="0"/>
  </r>
  <r>
    <x v="0"/>
    <x v="5"/>
    <x v="17"/>
    <x v="9"/>
    <x v="46"/>
    <x v="1"/>
    <n v="10.612908671"/>
  </r>
  <r>
    <x v="0"/>
    <x v="5"/>
    <x v="17"/>
    <x v="9"/>
    <x v="47"/>
    <x v="1"/>
    <n v="10.612908671"/>
  </r>
  <r>
    <x v="0"/>
    <x v="5"/>
    <x v="17"/>
    <x v="9"/>
    <x v="48"/>
    <x v="1"/>
    <n v="10.612908671"/>
  </r>
  <r>
    <x v="0"/>
    <x v="5"/>
    <x v="17"/>
    <x v="9"/>
    <x v="49"/>
    <x v="1"/>
    <n v="0"/>
  </r>
  <r>
    <x v="0"/>
    <x v="5"/>
    <x v="17"/>
    <x v="9"/>
    <x v="50"/>
    <x v="1"/>
    <n v="0"/>
  </r>
  <r>
    <x v="0"/>
    <x v="5"/>
    <x v="17"/>
    <x v="9"/>
    <x v="51"/>
    <x v="1"/>
    <n v="0"/>
  </r>
  <r>
    <x v="0"/>
    <x v="5"/>
    <x v="17"/>
    <x v="9"/>
    <x v="52"/>
    <x v="1"/>
    <n v="0"/>
  </r>
  <r>
    <x v="0"/>
    <x v="5"/>
    <x v="17"/>
    <x v="9"/>
    <x v="53"/>
    <x v="1"/>
    <n v="0"/>
  </r>
  <r>
    <x v="0"/>
    <x v="5"/>
    <x v="17"/>
    <x v="9"/>
    <x v="54"/>
    <x v="1"/>
    <n v="0"/>
  </r>
  <r>
    <x v="0"/>
    <x v="5"/>
    <x v="17"/>
    <x v="9"/>
    <x v="55"/>
    <x v="1"/>
    <n v="0"/>
  </r>
  <r>
    <x v="0"/>
    <x v="5"/>
    <x v="17"/>
    <x v="10"/>
    <x v="46"/>
    <x v="1"/>
    <n v="11.719837224999999"/>
  </r>
  <r>
    <x v="0"/>
    <x v="5"/>
    <x v="17"/>
    <x v="10"/>
    <x v="47"/>
    <x v="1"/>
    <n v="11.719837224999999"/>
  </r>
  <r>
    <x v="0"/>
    <x v="5"/>
    <x v="17"/>
    <x v="10"/>
    <x v="48"/>
    <x v="1"/>
    <n v="11.719837224999999"/>
  </r>
  <r>
    <x v="0"/>
    <x v="5"/>
    <x v="17"/>
    <x v="10"/>
    <x v="49"/>
    <x v="1"/>
    <n v="0"/>
  </r>
  <r>
    <x v="0"/>
    <x v="5"/>
    <x v="17"/>
    <x v="10"/>
    <x v="50"/>
    <x v="1"/>
    <n v="0"/>
  </r>
  <r>
    <x v="0"/>
    <x v="5"/>
    <x v="17"/>
    <x v="10"/>
    <x v="51"/>
    <x v="1"/>
    <n v="0"/>
  </r>
  <r>
    <x v="0"/>
    <x v="5"/>
    <x v="17"/>
    <x v="10"/>
    <x v="52"/>
    <x v="1"/>
    <n v="0"/>
  </r>
  <r>
    <x v="0"/>
    <x v="5"/>
    <x v="17"/>
    <x v="10"/>
    <x v="53"/>
    <x v="1"/>
    <n v="0"/>
  </r>
  <r>
    <x v="0"/>
    <x v="5"/>
    <x v="17"/>
    <x v="10"/>
    <x v="54"/>
    <x v="1"/>
    <n v="0"/>
  </r>
  <r>
    <x v="0"/>
    <x v="5"/>
    <x v="17"/>
    <x v="10"/>
    <x v="55"/>
    <x v="1"/>
    <n v="0"/>
  </r>
  <r>
    <x v="0"/>
    <x v="5"/>
    <x v="17"/>
    <x v="11"/>
    <x v="46"/>
    <x v="1"/>
    <n v="37.471414342999999"/>
  </r>
  <r>
    <x v="0"/>
    <x v="5"/>
    <x v="17"/>
    <x v="11"/>
    <x v="47"/>
    <x v="1"/>
    <n v="37.471414342999999"/>
  </r>
  <r>
    <x v="0"/>
    <x v="5"/>
    <x v="17"/>
    <x v="11"/>
    <x v="48"/>
    <x v="1"/>
    <n v="37.471414342999999"/>
  </r>
  <r>
    <x v="0"/>
    <x v="5"/>
    <x v="17"/>
    <x v="11"/>
    <x v="49"/>
    <x v="1"/>
    <n v="0"/>
  </r>
  <r>
    <x v="0"/>
    <x v="5"/>
    <x v="17"/>
    <x v="11"/>
    <x v="50"/>
    <x v="1"/>
    <n v="0"/>
  </r>
  <r>
    <x v="0"/>
    <x v="5"/>
    <x v="17"/>
    <x v="11"/>
    <x v="51"/>
    <x v="1"/>
    <n v="0"/>
  </r>
  <r>
    <x v="0"/>
    <x v="5"/>
    <x v="17"/>
    <x v="11"/>
    <x v="52"/>
    <x v="1"/>
    <n v="0"/>
  </r>
  <r>
    <x v="0"/>
    <x v="5"/>
    <x v="17"/>
    <x v="11"/>
    <x v="53"/>
    <x v="1"/>
    <n v="0"/>
  </r>
  <r>
    <x v="0"/>
    <x v="5"/>
    <x v="17"/>
    <x v="11"/>
    <x v="54"/>
    <x v="1"/>
    <n v="0"/>
  </r>
  <r>
    <x v="0"/>
    <x v="5"/>
    <x v="17"/>
    <x v="11"/>
    <x v="55"/>
    <x v="1"/>
    <n v="0"/>
  </r>
  <r>
    <x v="0"/>
    <x v="5"/>
    <x v="17"/>
    <x v="12"/>
    <x v="46"/>
    <x v="1"/>
    <n v="11.215215125"/>
  </r>
  <r>
    <x v="0"/>
    <x v="5"/>
    <x v="17"/>
    <x v="12"/>
    <x v="47"/>
    <x v="1"/>
    <n v="11.215215125"/>
  </r>
  <r>
    <x v="0"/>
    <x v="5"/>
    <x v="17"/>
    <x v="12"/>
    <x v="48"/>
    <x v="1"/>
    <n v="11.215215125"/>
  </r>
  <r>
    <x v="0"/>
    <x v="5"/>
    <x v="17"/>
    <x v="12"/>
    <x v="49"/>
    <x v="1"/>
    <n v="0"/>
  </r>
  <r>
    <x v="0"/>
    <x v="5"/>
    <x v="17"/>
    <x v="12"/>
    <x v="50"/>
    <x v="1"/>
    <n v="0"/>
  </r>
  <r>
    <x v="0"/>
    <x v="5"/>
    <x v="17"/>
    <x v="12"/>
    <x v="51"/>
    <x v="1"/>
    <n v="0"/>
  </r>
  <r>
    <x v="0"/>
    <x v="5"/>
    <x v="17"/>
    <x v="12"/>
    <x v="52"/>
    <x v="1"/>
    <n v="0"/>
  </r>
  <r>
    <x v="0"/>
    <x v="5"/>
    <x v="17"/>
    <x v="12"/>
    <x v="53"/>
    <x v="1"/>
    <n v="0"/>
  </r>
  <r>
    <x v="0"/>
    <x v="5"/>
    <x v="17"/>
    <x v="12"/>
    <x v="54"/>
    <x v="1"/>
    <n v="0"/>
  </r>
  <r>
    <x v="0"/>
    <x v="5"/>
    <x v="17"/>
    <x v="12"/>
    <x v="55"/>
    <x v="1"/>
    <n v="0"/>
  </r>
  <r>
    <x v="0"/>
    <x v="5"/>
    <x v="17"/>
    <x v="13"/>
    <x v="46"/>
    <x v="1"/>
    <n v="24.956425303"/>
  </r>
  <r>
    <x v="0"/>
    <x v="5"/>
    <x v="17"/>
    <x v="13"/>
    <x v="47"/>
    <x v="1"/>
    <n v="24.956425303"/>
  </r>
  <r>
    <x v="0"/>
    <x v="5"/>
    <x v="17"/>
    <x v="13"/>
    <x v="48"/>
    <x v="1"/>
    <n v="24.956425303"/>
  </r>
  <r>
    <x v="0"/>
    <x v="5"/>
    <x v="17"/>
    <x v="13"/>
    <x v="49"/>
    <x v="1"/>
    <n v="0"/>
  </r>
  <r>
    <x v="0"/>
    <x v="5"/>
    <x v="17"/>
    <x v="13"/>
    <x v="50"/>
    <x v="1"/>
    <n v="0"/>
  </r>
  <r>
    <x v="0"/>
    <x v="5"/>
    <x v="17"/>
    <x v="13"/>
    <x v="51"/>
    <x v="1"/>
    <n v="0"/>
  </r>
  <r>
    <x v="0"/>
    <x v="5"/>
    <x v="17"/>
    <x v="13"/>
    <x v="52"/>
    <x v="1"/>
    <n v="0"/>
  </r>
  <r>
    <x v="0"/>
    <x v="5"/>
    <x v="17"/>
    <x v="13"/>
    <x v="53"/>
    <x v="1"/>
    <n v="0"/>
  </r>
  <r>
    <x v="0"/>
    <x v="5"/>
    <x v="17"/>
    <x v="13"/>
    <x v="54"/>
    <x v="1"/>
    <n v="0"/>
  </r>
  <r>
    <x v="0"/>
    <x v="5"/>
    <x v="17"/>
    <x v="13"/>
    <x v="55"/>
    <x v="1"/>
    <n v="0"/>
  </r>
  <r>
    <x v="0"/>
    <x v="5"/>
    <x v="17"/>
    <x v="14"/>
    <x v="46"/>
    <x v="1"/>
    <n v="7.7705978340000001"/>
  </r>
  <r>
    <x v="0"/>
    <x v="5"/>
    <x v="17"/>
    <x v="14"/>
    <x v="47"/>
    <x v="1"/>
    <n v="7.7705978340000001"/>
  </r>
  <r>
    <x v="0"/>
    <x v="5"/>
    <x v="17"/>
    <x v="14"/>
    <x v="48"/>
    <x v="1"/>
    <n v="7.7705978340000001"/>
  </r>
  <r>
    <x v="0"/>
    <x v="5"/>
    <x v="17"/>
    <x v="14"/>
    <x v="49"/>
    <x v="1"/>
    <n v="0"/>
  </r>
  <r>
    <x v="0"/>
    <x v="5"/>
    <x v="17"/>
    <x v="14"/>
    <x v="50"/>
    <x v="1"/>
    <n v="0"/>
  </r>
  <r>
    <x v="0"/>
    <x v="5"/>
    <x v="17"/>
    <x v="14"/>
    <x v="51"/>
    <x v="1"/>
    <n v="0"/>
  </r>
  <r>
    <x v="0"/>
    <x v="5"/>
    <x v="17"/>
    <x v="14"/>
    <x v="52"/>
    <x v="1"/>
    <n v="0"/>
  </r>
  <r>
    <x v="0"/>
    <x v="5"/>
    <x v="17"/>
    <x v="14"/>
    <x v="53"/>
    <x v="1"/>
    <n v="0"/>
  </r>
  <r>
    <x v="0"/>
    <x v="5"/>
    <x v="17"/>
    <x v="14"/>
    <x v="54"/>
    <x v="1"/>
    <n v="0"/>
  </r>
  <r>
    <x v="0"/>
    <x v="5"/>
    <x v="17"/>
    <x v="14"/>
    <x v="55"/>
    <x v="1"/>
    <n v="0"/>
  </r>
  <r>
    <x v="0"/>
    <x v="5"/>
    <x v="17"/>
    <x v="15"/>
    <x v="46"/>
    <x v="1"/>
    <n v="9.1587909389999993"/>
  </r>
  <r>
    <x v="0"/>
    <x v="5"/>
    <x v="17"/>
    <x v="15"/>
    <x v="47"/>
    <x v="1"/>
    <n v="9.1587909389999993"/>
  </r>
  <r>
    <x v="0"/>
    <x v="5"/>
    <x v="17"/>
    <x v="15"/>
    <x v="48"/>
    <x v="1"/>
    <n v="9.1587909389999993"/>
  </r>
  <r>
    <x v="0"/>
    <x v="5"/>
    <x v="17"/>
    <x v="15"/>
    <x v="49"/>
    <x v="1"/>
    <n v="0"/>
  </r>
  <r>
    <x v="0"/>
    <x v="5"/>
    <x v="17"/>
    <x v="15"/>
    <x v="50"/>
    <x v="1"/>
    <n v="0"/>
  </r>
  <r>
    <x v="0"/>
    <x v="5"/>
    <x v="17"/>
    <x v="15"/>
    <x v="51"/>
    <x v="1"/>
    <n v="0"/>
  </r>
  <r>
    <x v="0"/>
    <x v="5"/>
    <x v="17"/>
    <x v="15"/>
    <x v="52"/>
    <x v="1"/>
    <n v="0"/>
  </r>
  <r>
    <x v="0"/>
    <x v="5"/>
    <x v="17"/>
    <x v="15"/>
    <x v="53"/>
    <x v="1"/>
    <n v="0"/>
  </r>
  <r>
    <x v="0"/>
    <x v="5"/>
    <x v="17"/>
    <x v="15"/>
    <x v="54"/>
    <x v="1"/>
    <n v="0"/>
  </r>
  <r>
    <x v="0"/>
    <x v="5"/>
    <x v="17"/>
    <x v="15"/>
    <x v="55"/>
    <x v="1"/>
    <n v="0"/>
  </r>
  <r>
    <x v="0"/>
    <x v="5"/>
    <x v="17"/>
    <x v="16"/>
    <x v="46"/>
    <x v="1"/>
    <n v="5.9588636470000003"/>
  </r>
  <r>
    <x v="0"/>
    <x v="5"/>
    <x v="17"/>
    <x v="16"/>
    <x v="47"/>
    <x v="1"/>
    <n v="5.9588636470000003"/>
  </r>
  <r>
    <x v="0"/>
    <x v="5"/>
    <x v="17"/>
    <x v="16"/>
    <x v="48"/>
    <x v="1"/>
    <n v="5.9588636470000003"/>
  </r>
  <r>
    <x v="0"/>
    <x v="5"/>
    <x v="17"/>
    <x v="16"/>
    <x v="49"/>
    <x v="1"/>
    <n v="0"/>
  </r>
  <r>
    <x v="0"/>
    <x v="5"/>
    <x v="17"/>
    <x v="16"/>
    <x v="50"/>
    <x v="1"/>
    <n v="0"/>
  </r>
  <r>
    <x v="0"/>
    <x v="5"/>
    <x v="17"/>
    <x v="16"/>
    <x v="51"/>
    <x v="1"/>
    <n v="0"/>
  </r>
  <r>
    <x v="0"/>
    <x v="5"/>
    <x v="17"/>
    <x v="16"/>
    <x v="52"/>
    <x v="1"/>
    <n v="0"/>
  </r>
  <r>
    <x v="0"/>
    <x v="5"/>
    <x v="17"/>
    <x v="16"/>
    <x v="53"/>
    <x v="1"/>
    <n v="0"/>
  </r>
  <r>
    <x v="0"/>
    <x v="5"/>
    <x v="17"/>
    <x v="16"/>
    <x v="54"/>
    <x v="1"/>
    <n v="0"/>
  </r>
  <r>
    <x v="0"/>
    <x v="5"/>
    <x v="17"/>
    <x v="16"/>
    <x v="55"/>
    <x v="1"/>
    <n v="0"/>
  </r>
  <r>
    <x v="0"/>
    <x v="5"/>
    <x v="17"/>
    <x v="17"/>
    <x v="46"/>
    <x v="1"/>
    <n v="14.016718595"/>
  </r>
  <r>
    <x v="0"/>
    <x v="5"/>
    <x v="17"/>
    <x v="17"/>
    <x v="47"/>
    <x v="1"/>
    <n v="14.016718595"/>
  </r>
  <r>
    <x v="0"/>
    <x v="5"/>
    <x v="17"/>
    <x v="17"/>
    <x v="48"/>
    <x v="1"/>
    <n v="14.016718595"/>
  </r>
  <r>
    <x v="0"/>
    <x v="5"/>
    <x v="17"/>
    <x v="17"/>
    <x v="49"/>
    <x v="1"/>
    <n v="0"/>
  </r>
  <r>
    <x v="0"/>
    <x v="5"/>
    <x v="17"/>
    <x v="17"/>
    <x v="50"/>
    <x v="1"/>
    <n v="0"/>
  </r>
  <r>
    <x v="0"/>
    <x v="5"/>
    <x v="17"/>
    <x v="17"/>
    <x v="51"/>
    <x v="1"/>
    <n v="0"/>
  </r>
  <r>
    <x v="0"/>
    <x v="5"/>
    <x v="17"/>
    <x v="17"/>
    <x v="52"/>
    <x v="1"/>
    <n v="0"/>
  </r>
  <r>
    <x v="0"/>
    <x v="5"/>
    <x v="17"/>
    <x v="17"/>
    <x v="53"/>
    <x v="1"/>
    <n v="0"/>
  </r>
  <r>
    <x v="0"/>
    <x v="5"/>
    <x v="17"/>
    <x v="17"/>
    <x v="54"/>
    <x v="1"/>
    <n v="0"/>
  </r>
  <r>
    <x v="0"/>
    <x v="5"/>
    <x v="17"/>
    <x v="17"/>
    <x v="55"/>
    <x v="1"/>
    <n v="0"/>
  </r>
  <r>
    <x v="0"/>
    <x v="5"/>
    <x v="17"/>
    <x v="18"/>
    <x v="46"/>
    <x v="1"/>
    <n v="10.961899786"/>
  </r>
  <r>
    <x v="0"/>
    <x v="5"/>
    <x v="17"/>
    <x v="18"/>
    <x v="47"/>
    <x v="1"/>
    <n v="10.961899786"/>
  </r>
  <r>
    <x v="0"/>
    <x v="5"/>
    <x v="17"/>
    <x v="18"/>
    <x v="48"/>
    <x v="1"/>
    <n v="10.961899786"/>
  </r>
  <r>
    <x v="0"/>
    <x v="5"/>
    <x v="17"/>
    <x v="18"/>
    <x v="49"/>
    <x v="1"/>
    <n v="0"/>
  </r>
  <r>
    <x v="0"/>
    <x v="5"/>
    <x v="17"/>
    <x v="18"/>
    <x v="50"/>
    <x v="1"/>
    <n v="0"/>
  </r>
  <r>
    <x v="0"/>
    <x v="5"/>
    <x v="17"/>
    <x v="18"/>
    <x v="51"/>
    <x v="1"/>
    <n v="0"/>
  </r>
  <r>
    <x v="0"/>
    <x v="5"/>
    <x v="17"/>
    <x v="18"/>
    <x v="52"/>
    <x v="1"/>
    <n v="0"/>
  </r>
  <r>
    <x v="0"/>
    <x v="5"/>
    <x v="17"/>
    <x v="18"/>
    <x v="53"/>
    <x v="1"/>
    <n v="0"/>
  </r>
  <r>
    <x v="0"/>
    <x v="5"/>
    <x v="17"/>
    <x v="18"/>
    <x v="54"/>
    <x v="1"/>
    <n v="0"/>
  </r>
  <r>
    <x v="0"/>
    <x v="5"/>
    <x v="17"/>
    <x v="18"/>
    <x v="55"/>
    <x v="1"/>
    <n v="0"/>
  </r>
  <r>
    <x v="0"/>
    <x v="5"/>
    <x v="17"/>
    <x v="19"/>
    <x v="46"/>
    <x v="1"/>
    <n v="13.799334683"/>
  </r>
  <r>
    <x v="0"/>
    <x v="5"/>
    <x v="17"/>
    <x v="19"/>
    <x v="47"/>
    <x v="1"/>
    <n v="13.799334683"/>
  </r>
  <r>
    <x v="0"/>
    <x v="5"/>
    <x v="17"/>
    <x v="19"/>
    <x v="48"/>
    <x v="1"/>
    <n v="13.799334683"/>
  </r>
  <r>
    <x v="0"/>
    <x v="5"/>
    <x v="17"/>
    <x v="19"/>
    <x v="49"/>
    <x v="1"/>
    <n v="0"/>
  </r>
  <r>
    <x v="0"/>
    <x v="5"/>
    <x v="17"/>
    <x v="19"/>
    <x v="50"/>
    <x v="1"/>
    <n v="0"/>
  </r>
  <r>
    <x v="0"/>
    <x v="5"/>
    <x v="17"/>
    <x v="19"/>
    <x v="51"/>
    <x v="1"/>
    <n v="0"/>
  </r>
  <r>
    <x v="0"/>
    <x v="5"/>
    <x v="17"/>
    <x v="19"/>
    <x v="52"/>
    <x v="1"/>
    <n v="0"/>
  </r>
  <r>
    <x v="0"/>
    <x v="5"/>
    <x v="17"/>
    <x v="19"/>
    <x v="53"/>
    <x v="1"/>
    <n v="0"/>
  </r>
  <r>
    <x v="0"/>
    <x v="5"/>
    <x v="17"/>
    <x v="19"/>
    <x v="54"/>
    <x v="1"/>
    <n v="0"/>
  </r>
  <r>
    <x v="0"/>
    <x v="5"/>
    <x v="17"/>
    <x v="19"/>
    <x v="55"/>
    <x v="1"/>
    <n v="0"/>
  </r>
  <r>
    <x v="0"/>
    <x v="5"/>
    <x v="17"/>
    <x v="20"/>
    <x v="46"/>
    <x v="1"/>
    <n v="1.6520065930000001"/>
  </r>
  <r>
    <x v="0"/>
    <x v="5"/>
    <x v="17"/>
    <x v="20"/>
    <x v="47"/>
    <x v="1"/>
    <n v="1.6520065930000001"/>
  </r>
  <r>
    <x v="0"/>
    <x v="5"/>
    <x v="17"/>
    <x v="20"/>
    <x v="48"/>
    <x v="1"/>
    <n v="1.6520065930000001"/>
  </r>
  <r>
    <x v="0"/>
    <x v="5"/>
    <x v="17"/>
    <x v="20"/>
    <x v="49"/>
    <x v="1"/>
    <n v="0"/>
  </r>
  <r>
    <x v="0"/>
    <x v="5"/>
    <x v="17"/>
    <x v="20"/>
    <x v="50"/>
    <x v="1"/>
    <n v="0"/>
  </r>
  <r>
    <x v="0"/>
    <x v="5"/>
    <x v="17"/>
    <x v="20"/>
    <x v="51"/>
    <x v="1"/>
    <n v="0"/>
  </r>
  <r>
    <x v="0"/>
    <x v="5"/>
    <x v="17"/>
    <x v="20"/>
    <x v="52"/>
    <x v="1"/>
    <n v="0"/>
  </r>
  <r>
    <x v="0"/>
    <x v="5"/>
    <x v="17"/>
    <x v="20"/>
    <x v="53"/>
    <x v="1"/>
    <n v="0"/>
  </r>
  <r>
    <x v="0"/>
    <x v="5"/>
    <x v="17"/>
    <x v="20"/>
    <x v="54"/>
    <x v="1"/>
    <n v="0"/>
  </r>
  <r>
    <x v="0"/>
    <x v="5"/>
    <x v="17"/>
    <x v="20"/>
    <x v="55"/>
    <x v="1"/>
    <n v="0"/>
  </r>
  <r>
    <x v="0"/>
    <x v="5"/>
    <x v="17"/>
    <x v="21"/>
    <x v="46"/>
    <x v="1"/>
    <n v="0.82790433799999996"/>
  </r>
  <r>
    <x v="0"/>
    <x v="5"/>
    <x v="17"/>
    <x v="21"/>
    <x v="47"/>
    <x v="1"/>
    <n v="0.82790433799999996"/>
  </r>
  <r>
    <x v="0"/>
    <x v="5"/>
    <x v="17"/>
    <x v="21"/>
    <x v="48"/>
    <x v="1"/>
    <n v="0.82790433799999996"/>
  </r>
  <r>
    <x v="0"/>
    <x v="5"/>
    <x v="17"/>
    <x v="21"/>
    <x v="49"/>
    <x v="1"/>
    <n v="0"/>
  </r>
  <r>
    <x v="0"/>
    <x v="5"/>
    <x v="17"/>
    <x v="21"/>
    <x v="50"/>
    <x v="1"/>
    <n v="0"/>
  </r>
  <r>
    <x v="0"/>
    <x v="5"/>
    <x v="17"/>
    <x v="21"/>
    <x v="51"/>
    <x v="1"/>
    <n v="0"/>
  </r>
  <r>
    <x v="0"/>
    <x v="5"/>
    <x v="17"/>
    <x v="21"/>
    <x v="52"/>
    <x v="1"/>
    <n v="0"/>
  </r>
  <r>
    <x v="0"/>
    <x v="5"/>
    <x v="17"/>
    <x v="21"/>
    <x v="53"/>
    <x v="1"/>
    <n v="0"/>
  </r>
  <r>
    <x v="0"/>
    <x v="5"/>
    <x v="17"/>
    <x v="21"/>
    <x v="54"/>
    <x v="1"/>
    <n v="0"/>
  </r>
  <r>
    <x v="0"/>
    <x v="5"/>
    <x v="17"/>
    <x v="21"/>
    <x v="55"/>
    <x v="1"/>
    <n v="0"/>
  </r>
  <r>
    <x v="0"/>
    <x v="5"/>
    <x v="17"/>
    <x v="22"/>
    <x v="46"/>
    <x v="1"/>
    <n v="0.801693663"/>
  </r>
  <r>
    <x v="0"/>
    <x v="5"/>
    <x v="17"/>
    <x v="22"/>
    <x v="47"/>
    <x v="1"/>
    <n v="0.801693663"/>
  </r>
  <r>
    <x v="0"/>
    <x v="5"/>
    <x v="17"/>
    <x v="22"/>
    <x v="48"/>
    <x v="1"/>
    <n v="0.801693663"/>
  </r>
  <r>
    <x v="0"/>
    <x v="5"/>
    <x v="17"/>
    <x v="22"/>
    <x v="49"/>
    <x v="1"/>
    <n v="0"/>
  </r>
  <r>
    <x v="0"/>
    <x v="5"/>
    <x v="17"/>
    <x v="22"/>
    <x v="50"/>
    <x v="1"/>
    <n v="0"/>
  </r>
  <r>
    <x v="0"/>
    <x v="5"/>
    <x v="17"/>
    <x v="22"/>
    <x v="51"/>
    <x v="1"/>
    <n v="0"/>
  </r>
  <r>
    <x v="0"/>
    <x v="5"/>
    <x v="17"/>
    <x v="22"/>
    <x v="52"/>
    <x v="1"/>
    <n v="0"/>
  </r>
  <r>
    <x v="0"/>
    <x v="5"/>
    <x v="17"/>
    <x v="22"/>
    <x v="53"/>
    <x v="1"/>
    <n v="0"/>
  </r>
  <r>
    <x v="0"/>
    <x v="5"/>
    <x v="17"/>
    <x v="22"/>
    <x v="54"/>
    <x v="1"/>
    <n v="0"/>
  </r>
  <r>
    <x v="0"/>
    <x v="5"/>
    <x v="17"/>
    <x v="22"/>
    <x v="55"/>
    <x v="1"/>
    <n v="0"/>
  </r>
  <r>
    <x v="0"/>
    <x v="5"/>
    <x v="17"/>
    <x v="23"/>
    <x v="46"/>
    <x v="1"/>
    <n v="0.36791881500000001"/>
  </r>
  <r>
    <x v="0"/>
    <x v="5"/>
    <x v="17"/>
    <x v="23"/>
    <x v="47"/>
    <x v="1"/>
    <n v="0.36791881500000001"/>
  </r>
  <r>
    <x v="0"/>
    <x v="5"/>
    <x v="17"/>
    <x v="23"/>
    <x v="48"/>
    <x v="1"/>
    <n v="0.36791881500000001"/>
  </r>
  <r>
    <x v="0"/>
    <x v="5"/>
    <x v="17"/>
    <x v="23"/>
    <x v="49"/>
    <x v="1"/>
    <n v="0"/>
  </r>
  <r>
    <x v="0"/>
    <x v="5"/>
    <x v="17"/>
    <x v="23"/>
    <x v="50"/>
    <x v="1"/>
    <n v="0"/>
  </r>
  <r>
    <x v="0"/>
    <x v="5"/>
    <x v="17"/>
    <x v="23"/>
    <x v="51"/>
    <x v="1"/>
    <n v="0"/>
  </r>
  <r>
    <x v="0"/>
    <x v="5"/>
    <x v="17"/>
    <x v="23"/>
    <x v="52"/>
    <x v="1"/>
    <n v="0"/>
  </r>
  <r>
    <x v="0"/>
    <x v="5"/>
    <x v="17"/>
    <x v="23"/>
    <x v="53"/>
    <x v="1"/>
    <n v="0"/>
  </r>
  <r>
    <x v="0"/>
    <x v="5"/>
    <x v="17"/>
    <x v="23"/>
    <x v="54"/>
    <x v="1"/>
    <n v="0"/>
  </r>
  <r>
    <x v="0"/>
    <x v="5"/>
    <x v="17"/>
    <x v="23"/>
    <x v="55"/>
    <x v="1"/>
    <n v="0"/>
  </r>
  <r>
    <x v="0"/>
    <x v="5"/>
    <x v="17"/>
    <x v="24"/>
    <x v="46"/>
    <x v="1"/>
    <n v="15.218318257"/>
  </r>
  <r>
    <x v="0"/>
    <x v="5"/>
    <x v="17"/>
    <x v="24"/>
    <x v="47"/>
    <x v="1"/>
    <n v="15.218318257"/>
  </r>
  <r>
    <x v="0"/>
    <x v="5"/>
    <x v="17"/>
    <x v="24"/>
    <x v="48"/>
    <x v="1"/>
    <n v="15.218318257"/>
  </r>
  <r>
    <x v="0"/>
    <x v="5"/>
    <x v="17"/>
    <x v="24"/>
    <x v="49"/>
    <x v="1"/>
    <n v="0"/>
  </r>
  <r>
    <x v="0"/>
    <x v="5"/>
    <x v="17"/>
    <x v="24"/>
    <x v="50"/>
    <x v="1"/>
    <n v="0"/>
  </r>
  <r>
    <x v="0"/>
    <x v="5"/>
    <x v="17"/>
    <x v="24"/>
    <x v="51"/>
    <x v="1"/>
    <n v="0"/>
  </r>
  <r>
    <x v="0"/>
    <x v="5"/>
    <x v="17"/>
    <x v="24"/>
    <x v="52"/>
    <x v="1"/>
    <n v="0"/>
  </r>
  <r>
    <x v="0"/>
    <x v="5"/>
    <x v="17"/>
    <x v="24"/>
    <x v="53"/>
    <x v="1"/>
    <n v="0"/>
  </r>
  <r>
    <x v="0"/>
    <x v="5"/>
    <x v="17"/>
    <x v="24"/>
    <x v="54"/>
    <x v="1"/>
    <n v="0"/>
  </r>
  <r>
    <x v="0"/>
    <x v="5"/>
    <x v="17"/>
    <x v="24"/>
    <x v="55"/>
    <x v="1"/>
    <n v="0"/>
  </r>
  <r>
    <x v="0"/>
    <x v="5"/>
    <x v="17"/>
    <x v="25"/>
    <x v="46"/>
    <x v="1"/>
    <n v="0.79926819999999998"/>
  </r>
  <r>
    <x v="0"/>
    <x v="5"/>
    <x v="17"/>
    <x v="25"/>
    <x v="47"/>
    <x v="1"/>
    <n v="0.79926819999999998"/>
  </r>
  <r>
    <x v="0"/>
    <x v="5"/>
    <x v="17"/>
    <x v="25"/>
    <x v="48"/>
    <x v="1"/>
    <n v="0.79926819999999998"/>
  </r>
  <r>
    <x v="0"/>
    <x v="5"/>
    <x v="17"/>
    <x v="25"/>
    <x v="49"/>
    <x v="1"/>
    <n v="0"/>
  </r>
  <r>
    <x v="0"/>
    <x v="5"/>
    <x v="17"/>
    <x v="25"/>
    <x v="50"/>
    <x v="1"/>
    <n v="0"/>
  </r>
  <r>
    <x v="0"/>
    <x v="5"/>
    <x v="17"/>
    <x v="25"/>
    <x v="51"/>
    <x v="1"/>
    <n v="0"/>
  </r>
  <r>
    <x v="0"/>
    <x v="5"/>
    <x v="17"/>
    <x v="25"/>
    <x v="52"/>
    <x v="1"/>
    <n v="0"/>
  </r>
  <r>
    <x v="0"/>
    <x v="5"/>
    <x v="17"/>
    <x v="25"/>
    <x v="53"/>
    <x v="1"/>
    <n v="0"/>
  </r>
  <r>
    <x v="0"/>
    <x v="5"/>
    <x v="17"/>
    <x v="25"/>
    <x v="54"/>
    <x v="1"/>
    <n v="0"/>
  </r>
  <r>
    <x v="0"/>
    <x v="5"/>
    <x v="17"/>
    <x v="25"/>
    <x v="55"/>
    <x v="1"/>
    <n v="0"/>
  </r>
  <r>
    <x v="0"/>
    <x v="5"/>
    <x v="17"/>
    <x v="26"/>
    <x v="46"/>
    <x v="1"/>
    <n v="0.507512458"/>
  </r>
  <r>
    <x v="0"/>
    <x v="5"/>
    <x v="17"/>
    <x v="26"/>
    <x v="47"/>
    <x v="1"/>
    <n v="0.507512458"/>
  </r>
  <r>
    <x v="0"/>
    <x v="5"/>
    <x v="17"/>
    <x v="26"/>
    <x v="48"/>
    <x v="1"/>
    <n v="0.507512458"/>
  </r>
  <r>
    <x v="0"/>
    <x v="5"/>
    <x v="17"/>
    <x v="26"/>
    <x v="49"/>
    <x v="1"/>
    <n v="0"/>
  </r>
  <r>
    <x v="0"/>
    <x v="5"/>
    <x v="17"/>
    <x v="26"/>
    <x v="50"/>
    <x v="1"/>
    <n v="0"/>
  </r>
  <r>
    <x v="0"/>
    <x v="5"/>
    <x v="17"/>
    <x v="26"/>
    <x v="51"/>
    <x v="1"/>
    <n v="0"/>
  </r>
  <r>
    <x v="0"/>
    <x v="5"/>
    <x v="17"/>
    <x v="26"/>
    <x v="52"/>
    <x v="1"/>
    <n v="0"/>
  </r>
  <r>
    <x v="0"/>
    <x v="5"/>
    <x v="17"/>
    <x v="26"/>
    <x v="53"/>
    <x v="1"/>
    <n v="0"/>
  </r>
  <r>
    <x v="0"/>
    <x v="5"/>
    <x v="17"/>
    <x v="26"/>
    <x v="54"/>
    <x v="1"/>
    <n v="0"/>
  </r>
  <r>
    <x v="0"/>
    <x v="5"/>
    <x v="17"/>
    <x v="26"/>
    <x v="55"/>
    <x v="1"/>
    <n v="0"/>
  </r>
  <r>
    <x v="0"/>
    <x v="5"/>
    <x v="17"/>
    <x v="27"/>
    <x v="46"/>
    <x v="1"/>
    <n v="27.453722339999999"/>
  </r>
  <r>
    <x v="0"/>
    <x v="5"/>
    <x v="17"/>
    <x v="27"/>
    <x v="47"/>
    <x v="1"/>
    <n v="27.453722339999999"/>
  </r>
  <r>
    <x v="0"/>
    <x v="5"/>
    <x v="17"/>
    <x v="27"/>
    <x v="48"/>
    <x v="1"/>
    <n v="27.453722339999999"/>
  </r>
  <r>
    <x v="0"/>
    <x v="5"/>
    <x v="17"/>
    <x v="27"/>
    <x v="49"/>
    <x v="1"/>
    <n v="0"/>
  </r>
  <r>
    <x v="0"/>
    <x v="5"/>
    <x v="17"/>
    <x v="27"/>
    <x v="50"/>
    <x v="1"/>
    <n v="0"/>
  </r>
  <r>
    <x v="0"/>
    <x v="5"/>
    <x v="17"/>
    <x v="27"/>
    <x v="51"/>
    <x v="1"/>
    <n v="0"/>
  </r>
  <r>
    <x v="0"/>
    <x v="5"/>
    <x v="17"/>
    <x v="27"/>
    <x v="52"/>
    <x v="1"/>
    <n v="0"/>
  </r>
  <r>
    <x v="0"/>
    <x v="5"/>
    <x v="17"/>
    <x v="27"/>
    <x v="53"/>
    <x v="1"/>
    <n v="0"/>
  </r>
  <r>
    <x v="0"/>
    <x v="5"/>
    <x v="17"/>
    <x v="27"/>
    <x v="54"/>
    <x v="1"/>
    <n v="0"/>
  </r>
  <r>
    <x v="0"/>
    <x v="5"/>
    <x v="17"/>
    <x v="27"/>
    <x v="55"/>
    <x v="1"/>
    <n v="0"/>
  </r>
  <r>
    <x v="0"/>
    <x v="5"/>
    <x v="17"/>
    <x v="28"/>
    <x v="46"/>
    <x v="1"/>
    <n v="24.079925874000001"/>
  </r>
  <r>
    <x v="0"/>
    <x v="5"/>
    <x v="17"/>
    <x v="28"/>
    <x v="47"/>
    <x v="1"/>
    <n v="24.079925874000001"/>
  </r>
  <r>
    <x v="0"/>
    <x v="5"/>
    <x v="17"/>
    <x v="28"/>
    <x v="48"/>
    <x v="1"/>
    <n v="24.079925874000001"/>
  </r>
  <r>
    <x v="0"/>
    <x v="5"/>
    <x v="17"/>
    <x v="28"/>
    <x v="49"/>
    <x v="1"/>
    <n v="0"/>
  </r>
  <r>
    <x v="0"/>
    <x v="5"/>
    <x v="17"/>
    <x v="28"/>
    <x v="50"/>
    <x v="1"/>
    <n v="0"/>
  </r>
  <r>
    <x v="0"/>
    <x v="5"/>
    <x v="17"/>
    <x v="28"/>
    <x v="51"/>
    <x v="1"/>
    <n v="0"/>
  </r>
  <r>
    <x v="0"/>
    <x v="5"/>
    <x v="17"/>
    <x v="28"/>
    <x v="52"/>
    <x v="1"/>
    <n v="0"/>
  </r>
  <r>
    <x v="0"/>
    <x v="5"/>
    <x v="17"/>
    <x v="28"/>
    <x v="53"/>
    <x v="1"/>
    <n v="0"/>
  </r>
  <r>
    <x v="0"/>
    <x v="5"/>
    <x v="17"/>
    <x v="28"/>
    <x v="54"/>
    <x v="1"/>
    <n v="0"/>
  </r>
  <r>
    <x v="0"/>
    <x v="5"/>
    <x v="17"/>
    <x v="28"/>
    <x v="55"/>
    <x v="1"/>
    <n v="0"/>
  </r>
  <r>
    <x v="0"/>
    <x v="5"/>
    <x v="17"/>
    <x v="29"/>
    <x v="46"/>
    <x v="1"/>
    <n v="21.566254278999999"/>
  </r>
  <r>
    <x v="0"/>
    <x v="5"/>
    <x v="17"/>
    <x v="29"/>
    <x v="47"/>
    <x v="1"/>
    <n v="21.566254278999999"/>
  </r>
  <r>
    <x v="0"/>
    <x v="5"/>
    <x v="17"/>
    <x v="29"/>
    <x v="48"/>
    <x v="1"/>
    <n v="21.566254278999999"/>
  </r>
  <r>
    <x v="0"/>
    <x v="5"/>
    <x v="17"/>
    <x v="29"/>
    <x v="49"/>
    <x v="1"/>
    <n v="0"/>
  </r>
  <r>
    <x v="0"/>
    <x v="5"/>
    <x v="17"/>
    <x v="29"/>
    <x v="50"/>
    <x v="1"/>
    <n v="0"/>
  </r>
  <r>
    <x v="0"/>
    <x v="5"/>
    <x v="17"/>
    <x v="29"/>
    <x v="51"/>
    <x v="1"/>
    <n v="0"/>
  </r>
  <r>
    <x v="0"/>
    <x v="5"/>
    <x v="17"/>
    <x v="29"/>
    <x v="52"/>
    <x v="1"/>
    <n v="0"/>
  </r>
  <r>
    <x v="0"/>
    <x v="5"/>
    <x v="17"/>
    <x v="29"/>
    <x v="53"/>
    <x v="1"/>
    <n v="0"/>
  </r>
  <r>
    <x v="0"/>
    <x v="5"/>
    <x v="17"/>
    <x v="29"/>
    <x v="54"/>
    <x v="1"/>
    <n v="0"/>
  </r>
  <r>
    <x v="0"/>
    <x v="5"/>
    <x v="17"/>
    <x v="29"/>
    <x v="55"/>
    <x v="1"/>
    <n v="0"/>
  </r>
  <r>
    <x v="0"/>
    <x v="5"/>
    <x v="17"/>
    <x v="30"/>
    <x v="46"/>
    <x v="1"/>
    <n v="8.1626302590000002"/>
  </r>
  <r>
    <x v="0"/>
    <x v="5"/>
    <x v="17"/>
    <x v="30"/>
    <x v="47"/>
    <x v="1"/>
    <n v="8.1626302590000002"/>
  </r>
  <r>
    <x v="0"/>
    <x v="5"/>
    <x v="17"/>
    <x v="30"/>
    <x v="48"/>
    <x v="1"/>
    <n v="8.1626302590000002"/>
  </r>
  <r>
    <x v="0"/>
    <x v="5"/>
    <x v="17"/>
    <x v="30"/>
    <x v="49"/>
    <x v="1"/>
    <n v="0"/>
  </r>
  <r>
    <x v="0"/>
    <x v="5"/>
    <x v="17"/>
    <x v="30"/>
    <x v="50"/>
    <x v="1"/>
    <n v="0"/>
  </r>
  <r>
    <x v="0"/>
    <x v="5"/>
    <x v="17"/>
    <x v="30"/>
    <x v="51"/>
    <x v="1"/>
    <n v="0"/>
  </r>
  <r>
    <x v="0"/>
    <x v="5"/>
    <x v="17"/>
    <x v="30"/>
    <x v="52"/>
    <x v="1"/>
    <n v="0"/>
  </r>
  <r>
    <x v="0"/>
    <x v="5"/>
    <x v="17"/>
    <x v="30"/>
    <x v="53"/>
    <x v="1"/>
    <n v="0"/>
  </r>
  <r>
    <x v="0"/>
    <x v="5"/>
    <x v="17"/>
    <x v="30"/>
    <x v="54"/>
    <x v="1"/>
    <n v="0"/>
  </r>
  <r>
    <x v="0"/>
    <x v="5"/>
    <x v="17"/>
    <x v="30"/>
    <x v="55"/>
    <x v="1"/>
    <n v="0"/>
  </r>
  <r>
    <x v="0"/>
    <x v="5"/>
    <x v="17"/>
    <x v="31"/>
    <x v="46"/>
    <x v="1"/>
    <n v="6.7401191359999997"/>
  </r>
  <r>
    <x v="0"/>
    <x v="5"/>
    <x v="17"/>
    <x v="31"/>
    <x v="47"/>
    <x v="1"/>
    <n v="6.7401191359999997"/>
  </r>
  <r>
    <x v="0"/>
    <x v="5"/>
    <x v="17"/>
    <x v="31"/>
    <x v="48"/>
    <x v="1"/>
    <n v="6.7401191359999997"/>
  </r>
  <r>
    <x v="0"/>
    <x v="5"/>
    <x v="17"/>
    <x v="31"/>
    <x v="49"/>
    <x v="1"/>
    <n v="0"/>
  </r>
  <r>
    <x v="0"/>
    <x v="5"/>
    <x v="17"/>
    <x v="31"/>
    <x v="50"/>
    <x v="1"/>
    <n v="0"/>
  </r>
  <r>
    <x v="0"/>
    <x v="5"/>
    <x v="17"/>
    <x v="31"/>
    <x v="51"/>
    <x v="1"/>
    <n v="0"/>
  </r>
  <r>
    <x v="0"/>
    <x v="5"/>
    <x v="17"/>
    <x v="31"/>
    <x v="52"/>
    <x v="1"/>
    <n v="0"/>
  </r>
  <r>
    <x v="0"/>
    <x v="5"/>
    <x v="17"/>
    <x v="31"/>
    <x v="53"/>
    <x v="1"/>
    <n v="0"/>
  </r>
  <r>
    <x v="0"/>
    <x v="5"/>
    <x v="17"/>
    <x v="31"/>
    <x v="54"/>
    <x v="1"/>
    <n v="0"/>
  </r>
  <r>
    <x v="0"/>
    <x v="5"/>
    <x v="17"/>
    <x v="31"/>
    <x v="55"/>
    <x v="1"/>
    <n v="0"/>
  </r>
  <r>
    <x v="0"/>
    <x v="5"/>
    <x v="17"/>
    <x v="32"/>
    <x v="46"/>
    <x v="1"/>
    <n v="22.093544557000001"/>
  </r>
  <r>
    <x v="0"/>
    <x v="5"/>
    <x v="17"/>
    <x v="32"/>
    <x v="47"/>
    <x v="1"/>
    <n v="22.093544557000001"/>
  </r>
  <r>
    <x v="0"/>
    <x v="5"/>
    <x v="17"/>
    <x v="32"/>
    <x v="48"/>
    <x v="1"/>
    <n v="22.093544557000001"/>
  </r>
  <r>
    <x v="0"/>
    <x v="5"/>
    <x v="17"/>
    <x v="32"/>
    <x v="49"/>
    <x v="1"/>
    <n v="0"/>
  </r>
  <r>
    <x v="0"/>
    <x v="5"/>
    <x v="17"/>
    <x v="32"/>
    <x v="50"/>
    <x v="1"/>
    <n v="0"/>
  </r>
  <r>
    <x v="0"/>
    <x v="5"/>
    <x v="17"/>
    <x v="32"/>
    <x v="51"/>
    <x v="1"/>
    <n v="0"/>
  </r>
  <r>
    <x v="0"/>
    <x v="5"/>
    <x v="17"/>
    <x v="32"/>
    <x v="52"/>
    <x v="1"/>
    <n v="0"/>
  </r>
  <r>
    <x v="0"/>
    <x v="5"/>
    <x v="17"/>
    <x v="32"/>
    <x v="53"/>
    <x v="1"/>
    <n v="0"/>
  </r>
  <r>
    <x v="0"/>
    <x v="5"/>
    <x v="17"/>
    <x v="32"/>
    <x v="54"/>
    <x v="1"/>
    <n v="0"/>
  </r>
  <r>
    <x v="0"/>
    <x v="5"/>
    <x v="17"/>
    <x v="32"/>
    <x v="55"/>
    <x v="1"/>
    <n v="0"/>
  </r>
  <r>
    <x v="0"/>
    <x v="5"/>
    <x v="17"/>
    <x v="33"/>
    <x v="46"/>
    <x v="1"/>
    <n v="13.76945669"/>
  </r>
  <r>
    <x v="0"/>
    <x v="5"/>
    <x v="17"/>
    <x v="33"/>
    <x v="47"/>
    <x v="1"/>
    <n v="13.76945669"/>
  </r>
  <r>
    <x v="0"/>
    <x v="5"/>
    <x v="17"/>
    <x v="33"/>
    <x v="48"/>
    <x v="1"/>
    <n v="13.76945669"/>
  </r>
  <r>
    <x v="0"/>
    <x v="5"/>
    <x v="17"/>
    <x v="33"/>
    <x v="49"/>
    <x v="1"/>
    <n v="0"/>
  </r>
  <r>
    <x v="0"/>
    <x v="5"/>
    <x v="17"/>
    <x v="33"/>
    <x v="50"/>
    <x v="1"/>
    <n v="0"/>
  </r>
  <r>
    <x v="0"/>
    <x v="5"/>
    <x v="17"/>
    <x v="33"/>
    <x v="51"/>
    <x v="1"/>
    <n v="0"/>
  </r>
  <r>
    <x v="0"/>
    <x v="5"/>
    <x v="17"/>
    <x v="33"/>
    <x v="52"/>
    <x v="1"/>
    <n v="0"/>
  </r>
  <r>
    <x v="0"/>
    <x v="5"/>
    <x v="17"/>
    <x v="33"/>
    <x v="53"/>
    <x v="1"/>
    <n v="0"/>
  </r>
  <r>
    <x v="0"/>
    <x v="5"/>
    <x v="17"/>
    <x v="33"/>
    <x v="54"/>
    <x v="1"/>
    <n v="0"/>
  </r>
  <r>
    <x v="0"/>
    <x v="5"/>
    <x v="17"/>
    <x v="33"/>
    <x v="55"/>
    <x v="1"/>
    <n v="0"/>
  </r>
  <r>
    <x v="0"/>
    <x v="5"/>
    <x v="17"/>
    <x v="34"/>
    <x v="46"/>
    <x v="1"/>
    <n v="14.043767616"/>
  </r>
  <r>
    <x v="0"/>
    <x v="5"/>
    <x v="17"/>
    <x v="34"/>
    <x v="47"/>
    <x v="1"/>
    <n v="14.043767616"/>
  </r>
  <r>
    <x v="0"/>
    <x v="5"/>
    <x v="17"/>
    <x v="34"/>
    <x v="48"/>
    <x v="1"/>
    <n v="14.043767616"/>
  </r>
  <r>
    <x v="0"/>
    <x v="5"/>
    <x v="17"/>
    <x v="34"/>
    <x v="49"/>
    <x v="1"/>
    <n v="0"/>
  </r>
  <r>
    <x v="0"/>
    <x v="5"/>
    <x v="17"/>
    <x v="34"/>
    <x v="50"/>
    <x v="1"/>
    <n v="0"/>
  </r>
  <r>
    <x v="0"/>
    <x v="5"/>
    <x v="17"/>
    <x v="34"/>
    <x v="51"/>
    <x v="1"/>
    <n v="0"/>
  </r>
  <r>
    <x v="0"/>
    <x v="5"/>
    <x v="17"/>
    <x v="34"/>
    <x v="52"/>
    <x v="1"/>
    <n v="0"/>
  </r>
  <r>
    <x v="0"/>
    <x v="5"/>
    <x v="17"/>
    <x v="34"/>
    <x v="53"/>
    <x v="1"/>
    <n v="0"/>
  </r>
  <r>
    <x v="0"/>
    <x v="5"/>
    <x v="17"/>
    <x v="34"/>
    <x v="54"/>
    <x v="1"/>
    <n v="0"/>
  </r>
  <r>
    <x v="0"/>
    <x v="5"/>
    <x v="17"/>
    <x v="34"/>
    <x v="55"/>
    <x v="1"/>
    <n v="0"/>
  </r>
  <r>
    <x v="0"/>
    <x v="5"/>
    <x v="17"/>
    <x v="35"/>
    <x v="46"/>
    <x v="1"/>
    <n v="10.183484484999999"/>
  </r>
  <r>
    <x v="0"/>
    <x v="5"/>
    <x v="17"/>
    <x v="35"/>
    <x v="47"/>
    <x v="1"/>
    <n v="10.183484484999999"/>
  </r>
  <r>
    <x v="0"/>
    <x v="5"/>
    <x v="17"/>
    <x v="35"/>
    <x v="48"/>
    <x v="1"/>
    <n v="10.183484484999999"/>
  </r>
  <r>
    <x v="0"/>
    <x v="5"/>
    <x v="17"/>
    <x v="35"/>
    <x v="49"/>
    <x v="1"/>
    <n v="0"/>
  </r>
  <r>
    <x v="0"/>
    <x v="5"/>
    <x v="17"/>
    <x v="35"/>
    <x v="50"/>
    <x v="1"/>
    <n v="0"/>
  </r>
  <r>
    <x v="0"/>
    <x v="5"/>
    <x v="17"/>
    <x v="35"/>
    <x v="51"/>
    <x v="1"/>
    <n v="0"/>
  </r>
  <r>
    <x v="0"/>
    <x v="5"/>
    <x v="17"/>
    <x v="35"/>
    <x v="52"/>
    <x v="1"/>
    <n v="0"/>
  </r>
  <r>
    <x v="0"/>
    <x v="5"/>
    <x v="17"/>
    <x v="35"/>
    <x v="53"/>
    <x v="1"/>
    <n v="0"/>
  </r>
  <r>
    <x v="0"/>
    <x v="5"/>
    <x v="17"/>
    <x v="35"/>
    <x v="54"/>
    <x v="1"/>
    <n v="0"/>
  </r>
  <r>
    <x v="0"/>
    <x v="5"/>
    <x v="17"/>
    <x v="35"/>
    <x v="55"/>
    <x v="1"/>
    <n v="0"/>
  </r>
  <r>
    <x v="0"/>
    <x v="5"/>
    <x v="17"/>
    <x v="36"/>
    <x v="46"/>
    <x v="1"/>
    <n v="3.2225329550000001"/>
  </r>
  <r>
    <x v="0"/>
    <x v="5"/>
    <x v="17"/>
    <x v="36"/>
    <x v="47"/>
    <x v="1"/>
    <n v="3.2225329550000001"/>
  </r>
  <r>
    <x v="0"/>
    <x v="5"/>
    <x v="17"/>
    <x v="36"/>
    <x v="48"/>
    <x v="1"/>
    <n v="3.2225329550000001"/>
  </r>
  <r>
    <x v="0"/>
    <x v="5"/>
    <x v="17"/>
    <x v="36"/>
    <x v="49"/>
    <x v="1"/>
    <n v="0"/>
  </r>
  <r>
    <x v="0"/>
    <x v="5"/>
    <x v="17"/>
    <x v="36"/>
    <x v="50"/>
    <x v="1"/>
    <n v="0"/>
  </r>
  <r>
    <x v="0"/>
    <x v="5"/>
    <x v="17"/>
    <x v="36"/>
    <x v="51"/>
    <x v="1"/>
    <n v="0"/>
  </r>
  <r>
    <x v="0"/>
    <x v="5"/>
    <x v="17"/>
    <x v="36"/>
    <x v="52"/>
    <x v="1"/>
    <n v="0"/>
  </r>
  <r>
    <x v="0"/>
    <x v="5"/>
    <x v="17"/>
    <x v="36"/>
    <x v="53"/>
    <x v="1"/>
    <n v="0"/>
  </r>
  <r>
    <x v="0"/>
    <x v="5"/>
    <x v="17"/>
    <x v="36"/>
    <x v="54"/>
    <x v="1"/>
    <n v="0"/>
  </r>
  <r>
    <x v="0"/>
    <x v="5"/>
    <x v="17"/>
    <x v="36"/>
    <x v="55"/>
    <x v="1"/>
    <n v="0"/>
  </r>
  <r>
    <x v="0"/>
    <x v="5"/>
    <x v="17"/>
    <x v="37"/>
    <x v="46"/>
    <x v="1"/>
    <n v="5.3099819779999997"/>
  </r>
  <r>
    <x v="0"/>
    <x v="5"/>
    <x v="17"/>
    <x v="37"/>
    <x v="47"/>
    <x v="1"/>
    <n v="5.3099819779999997"/>
  </r>
  <r>
    <x v="0"/>
    <x v="5"/>
    <x v="17"/>
    <x v="37"/>
    <x v="48"/>
    <x v="1"/>
    <n v="5.3099819779999997"/>
  </r>
  <r>
    <x v="0"/>
    <x v="5"/>
    <x v="17"/>
    <x v="37"/>
    <x v="49"/>
    <x v="1"/>
    <n v="0"/>
  </r>
  <r>
    <x v="0"/>
    <x v="5"/>
    <x v="17"/>
    <x v="37"/>
    <x v="50"/>
    <x v="1"/>
    <n v="0"/>
  </r>
  <r>
    <x v="0"/>
    <x v="5"/>
    <x v="17"/>
    <x v="37"/>
    <x v="51"/>
    <x v="1"/>
    <n v="0"/>
  </r>
  <r>
    <x v="0"/>
    <x v="5"/>
    <x v="17"/>
    <x v="37"/>
    <x v="52"/>
    <x v="1"/>
    <n v="0"/>
  </r>
  <r>
    <x v="0"/>
    <x v="5"/>
    <x v="17"/>
    <x v="37"/>
    <x v="53"/>
    <x v="1"/>
    <n v="0"/>
  </r>
  <r>
    <x v="0"/>
    <x v="5"/>
    <x v="17"/>
    <x v="37"/>
    <x v="54"/>
    <x v="1"/>
    <n v="0"/>
  </r>
  <r>
    <x v="0"/>
    <x v="5"/>
    <x v="17"/>
    <x v="37"/>
    <x v="55"/>
    <x v="1"/>
    <n v="0"/>
  </r>
  <r>
    <x v="0"/>
    <x v="5"/>
    <x v="17"/>
    <x v="38"/>
    <x v="46"/>
    <x v="1"/>
    <n v="16.071748863"/>
  </r>
  <r>
    <x v="0"/>
    <x v="5"/>
    <x v="17"/>
    <x v="38"/>
    <x v="47"/>
    <x v="1"/>
    <n v="16.071748863"/>
  </r>
  <r>
    <x v="0"/>
    <x v="5"/>
    <x v="17"/>
    <x v="38"/>
    <x v="48"/>
    <x v="1"/>
    <n v="16.071748863"/>
  </r>
  <r>
    <x v="0"/>
    <x v="5"/>
    <x v="17"/>
    <x v="38"/>
    <x v="49"/>
    <x v="1"/>
    <n v="0"/>
  </r>
  <r>
    <x v="0"/>
    <x v="5"/>
    <x v="17"/>
    <x v="38"/>
    <x v="50"/>
    <x v="1"/>
    <n v="0"/>
  </r>
  <r>
    <x v="0"/>
    <x v="5"/>
    <x v="17"/>
    <x v="38"/>
    <x v="51"/>
    <x v="1"/>
    <n v="0"/>
  </r>
  <r>
    <x v="0"/>
    <x v="5"/>
    <x v="17"/>
    <x v="38"/>
    <x v="52"/>
    <x v="1"/>
    <n v="0"/>
  </r>
  <r>
    <x v="0"/>
    <x v="5"/>
    <x v="17"/>
    <x v="38"/>
    <x v="53"/>
    <x v="1"/>
    <n v="0"/>
  </r>
  <r>
    <x v="0"/>
    <x v="5"/>
    <x v="17"/>
    <x v="38"/>
    <x v="54"/>
    <x v="1"/>
    <n v="0"/>
  </r>
  <r>
    <x v="0"/>
    <x v="5"/>
    <x v="17"/>
    <x v="38"/>
    <x v="55"/>
    <x v="1"/>
    <n v="0"/>
  </r>
  <r>
    <x v="0"/>
    <x v="5"/>
    <x v="17"/>
    <x v="39"/>
    <x v="46"/>
    <x v="1"/>
    <n v="6.8985552370000001"/>
  </r>
  <r>
    <x v="0"/>
    <x v="5"/>
    <x v="17"/>
    <x v="39"/>
    <x v="47"/>
    <x v="1"/>
    <n v="6.8985552370000001"/>
  </r>
  <r>
    <x v="0"/>
    <x v="5"/>
    <x v="17"/>
    <x v="39"/>
    <x v="48"/>
    <x v="1"/>
    <n v="6.8985552370000001"/>
  </r>
  <r>
    <x v="0"/>
    <x v="5"/>
    <x v="17"/>
    <x v="39"/>
    <x v="49"/>
    <x v="1"/>
    <n v="0"/>
  </r>
  <r>
    <x v="0"/>
    <x v="5"/>
    <x v="17"/>
    <x v="39"/>
    <x v="50"/>
    <x v="1"/>
    <n v="0"/>
  </r>
  <r>
    <x v="0"/>
    <x v="5"/>
    <x v="17"/>
    <x v="39"/>
    <x v="51"/>
    <x v="1"/>
    <n v="0"/>
  </r>
  <r>
    <x v="0"/>
    <x v="5"/>
    <x v="17"/>
    <x v="39"/>
    <x v="52"/>
    <x v="1"/>
    <n v="0"/>
  </r>
  <r>
    <x v="0"/>
    <x v="5"/>
    <x v="17"/>
    <x v="39"/>
    <x v="53"/>
    <x v="1"/>
    <n v="0"/>
  </r>
  <r>
    <x v="0"/>
    <x v="5"/>
    <x v="17"/>
    <x v="39"/>
    <x v="54"/>
    <x v="1"/>
    <n v="0"/>
  </r>
  <r>
    <x v="0"/>
    <x v="5"/>
    <x v="17"/>
    <x v="39"/>
    <x v="55"/>
    <x v="1"/>
    <n v="0"/>
  </r>
  <r>
    <x v="0"/>
    <x v="5"/>
    <x v="17"/>
    <x v="40"/>
    <x v="46"/>
    <x v="1"/>
    <n v="2.591680041"/>
  </r>
  <r>
    <x v="0"/>
    <x v="5"/>
    <x v="17"/>
    <x v="40"/>
    <x v="47"/>
    <x v="1"/>
    <n v="2.591680041"/>
  </r>
  <r>
    <x v="0"/>
    <x v="5"/>
    <x v="17"/>
    <x v="40"/>
    <x v="48"/>
    <x v="1"/>
    <n v="2.591680041"/>
  </r>
  <r>
    <x v="0"/>
    <x v="5"/>
    <x v="17"/>
    <x v="40"/>
    <x v="49"/>
    <x v="1"/>
    <n v="0"/>
  </r>
  <r>
    <x v="0"/>
    <x v="5"/>
    <x v="17"/>
    <x v="40"/>
    <x v="50"/>
    <x v="1"/>
    <n v="0"/>
  </r>
  <r>
    <x v="0"/>
    <x v="5"/>
    <x v="17"/>
    <x v="40"/>
    <x v="51"/>
    <x v="1"/>
    <n v="0"/>
  </r>
  <r>
    <x v="0"/>
    <x v="5"/>
    <x v="17"/>
    <x v="40"/>
    <x v="52"/>
    <x v="1"/>
    <n v="0"/>
  </r>
  <r>
    <x v="0"/>
    <x v="5"/>
    <x v="17"/>
    <x v="40"/>
    <x v="53"/>
    <x v="1"/>
    <n v="0"/>
  </r>
  <r>
    <x v="0"/>
    <x v="5"/>
    <x v="17"/>
    <x v="40"/>
    <x v="54"/>
    <x v="1"/>
    <n v="0"/>
  </r>
  <r>
    <x v="0"/>
    <x v="5"/>
    <x v="17"/>
    <x v="40"/>
    <x v="55"/>
    <x v="1"/>
    <n v="0"/>
  </r>
  <r>
    <x v="0"/>
    <x v="5"/>
    <x v="17"/>
    <x v="41"/>
    <x v="46"/>
    <x v="1"/>
    <n v="33.606321029"/>
  </r>
  <r>
    <x v="0"/>
    <x v="5"/>
    <x v="17"/>
    <x v="41"/>
    <x v="47"/>
    <x v="1"/>
    <n v="33.606321029"/>
  </r>
  <r>
    <x v="0"/>
    <x v="5"/>
    <x v="17"/>
    <x v="41"/>
    <x v="48"/>
    <x v="1"/>
    <n v="33.606321029"/>
  </r>
  <r>
    <x v="0"/>
    <x v="5"/>
    <x v="17"/>
    <x v="41"/>
    <x v="49"/>
    <x v="1"/>
    <n v="0"/>
  </r>
  <r>
    <x v="0"/>
    <x v="5"/>
    <x v="17"/>
    <x v="41"/>
    <x v="50"/>
    <x v="1"/>
    <n v="0"/>
  </r>
  <r>
    <x v="0"/>
    <x v="5"/>
    <x v="17"/>
    <x v="41"/>
    <x v="51"/>
    <x v="1"/>
    <n v="0"/>
  </r>
  <r>
    <x v="0"/>
    <x v="5"/>
    <x v="17"/>
    <x v="41"/>
    <x v="52"/>
    <x v="1"/>
    <n v="0"/>
  </r>
  <r>
    <x v="0"/>
    <x v="5"/>
    <x v="17"/>
    <x v="41"/>
    <x v="53"/>
    <x v="1"/>
    <n v="0"/>
  </r>
  <r>
    <x v="0"/>
    <x v="5"/>
    <x v="17"/>
    <x v="41"/>
    <x v="54"/>
    <x v="1"/>
    <n v="0"/>
  </r>
  <r>
    <x v="0"/>
    <x v="5"/>
    <x v="17"/>
    <x v="41"/>
    <x v="55"/>
    <x v="1"/>
    <n v="0"/>
  </r>
  <r>
    <x v="0"/>
    <x v="5"/>
    <x v="18"/>
    <x v="42"/>
    <x v="46"/>
    <x v="1"/>
    <n v="22.997382843"/>
  </r>
  <r>
    <x v="0"/>
    <x v="5"/>
    <x v="18"/>
    <x v="42"/>
    <x v="47"/>
    <x v="1"/>
    <n v="22.997382843"/>
  </r>
  <r>
    <x v="0"/>
    <x v="5"/>
    <x v="18"/>
    <x v="42"/>
    <x v="48"/>
    <x v="1"/>
    <n v="22.997382843"/>
  </r>
  <r>
    <x v="0"/>
    <x v="5"/>
    <x v="18"/>
    <x v="42"/>
    <x v="49"/>
    <x v="1"/>
    <n v="0"/>
  </r>
  <r>
    <x v="0"/>
    <x v="5"/>
    <x v="18"/>
    <x v="42"/>
    <x v="50"/>
    <x v="1"/>
    <n v="0"/>
  </r>
  <r>
    <x v="0"/>
    <x v="5"/>
    <x v="18"/>
    <x v="42"/>
    <x v="51"/>
    <x v="1"/>
    <n v="0"/>
  </r>
  <r>
    <x v="0"/>
    <x v="5"/>
    <x v="18"/>
    <x v="42"/>
    <x v="52"/>
    <x v="1"/>
    <n v="0"/>
  </r>
  <r>
    <x v="0"/>
    <x v="5"/>
    <x v="18"/>
    <x v="42"/>
    <x v="53"/>
    <x v="1"/>
    <n v="0"/>
  </r>
  <r>
    <x v="0"/>
    <x v="5"/>
    <x v="18"/>
    <x v="42"/>
    <x v="54"/>
    <x v="1"/>
    <n v="0"/>
  </r>
  <r>
    <x v="0"/>
    <x v="5"/>
    <x v="18"/>
    <x v="42"/>
    <x v="55"/>
    <x v="1"/>
    <n v="0"/>
  </r>
  <r>
    <x v="0"/>
    <x v="5"/>
    <x v="18"/>
    <x v="43"/>
    <x v="46"/>
    <x v="1"/>
    <n v="60.141591560999998"/>
  </r>
  <r>
    <x v="0"/>
    <x v="5"/>
    <x v="18"/>
    <x v="43"/>
    <x v="47"/>
    <x v="1"/>
    <n v="60.141591560999998"/>
  </r>
  <r>
    <x v="0"/>
    <x v="5"/>
    <x v="18"/>
    <x v="43"/>
    <x v="48"/>
    <x v="1"/>
    <n v="60.141591560999998"/>
  </r>
  <r>
    <x v="0"/>
    <x v="5"/>
    <x v="18"/>
    <x v="43"/>
    <x v="49"/>
    <x v="1"/>
    <n v="0"/>
  </r>
  <r>
    <x v="0"/>
    <x v="5"/>
    <x v="18"/>
    <x v="43"/>
    <x v="50"/>
    <x v="1"/>
    <n v="0"/>
  </r>
  <r>
    <x v="0"/>
    <x v="5"/>
    <x v="18"/>
    <x v="43"/>
    <x v="51"/>
    <x v="1"/>
    <n v="0"/>
  </r>
  <r>
    <x v="0"/>
    <x v="5"/>
    <x v="18"/>
    <x v="43"/>
    <x v="52"/>
    <x v="1"/>
    <n v="0"/>
  </r>
  <r>
    <x v="0"/>
    <x v="5"/>
    <x v="18"/>
    <x v="43"/>
    <x v="53"/>
    <x v="1"/>
    <n v="0"/>
  </r>
  <r>
    <x v="0"/>
    <x v="5"/>
    <x v="18"/>
    <x v="43"/>
    <x v="54"/>
    <x v="1"/>
    <n v="0"/>
  </r>
  <r>
    <x v="0"/>
    <x v="5"/>
    <x v="18"/>
    <x v="43"/>
    <x v="55"/>
    <x v="1"/>
    <n v="0"/>
  </r>
  <r>
    <x v="0"/>
    <x v="5"/>
    <x v="19"/>
    <x v="44"/>
    <x v="46"/>
    <x v="5"/>
    <n v="633.13140576499995"/>
  </r>
  <r>
    <x v="0"/>
    <x v="5"/>
    <x v="19"/>
    <x v="44"/>
    <x v="47"/>
    <x v="5"/>
    <n v="633.13140576499995"/>
  </r>
  <r>
    <x v="0"/>
    <x v="5"/>
    <x v="19"/>
    <x v="44"/>
    <x v="48"/>
    <x v="5"/>
    <n v="633.13140576499995"/>
  </r>
  <r>
    <x v="0"/>
    <x v="5"/>
    <x v="19"/>
    <x v="44"/>
    <x v="49"/>
    <x v="5"/>
    <n v="0"/>
  </r>
  <r>
    <x v="0"/>
    <x v="5"/>
    <x v="19"/>
    <x v="44"/>
    <x v="50"/>
    <x v="5"/>
    <n v="0"/>
  </r>
  <r>
    <x v="0"/>
    <x v="5"/>
    <x v="19"/>
    <x v="44"/>
    <x v="51"/>
    <x v="5"/>
    <n v="0"/>
  </r>
  <r>
    <x v="0"/>
    <x v="5"/>
    <x v="19"/>
    <x v="44"/>
    <x v="52"/>
    <x v="5"/>
    <n v="0"/>
  </r>
  <r>
    <x v="0"/>
    <x v="5"/>
    <x v="19"/>
    <x v="44"/>
    <x v="53"/>
    <x v="5"/>
    <n v="0"/>
  </r>
  <r>
    <x v="0"/>
    <x v="5"/>
    <x v="19"/>
    <x v="44"/>
    <x v="54"/>
    <x v="5"/>
    <n v="0"/>
  </r>
  <r>
    <x v="0"/>
    <x v="5"/>
    <x v="19"/>
    <x v="44"/>
    <x v="55"/>
    <x v="5"/>
    <n v="0"/>
  </r>
  <r>
    <x v="0"/>
    <x v="5"/>
    <x v="20"/>
    <x v="44"/>
    <x v="0"/>
    <x v="6"/>
    <n v="233.72752515600001"/>
  </r>
  <r>
    <x v="0"/>
    <x v="5"/>
    <x v="21"/>
    <x v="44"/>
    <x v="0"/>
    <x v="6"/>
    <n v="3659.4513183129998"/>
  </r>
  <r>
    <x v="0"/>
    <x v="5"/>
    <x v="22"/>
    <x v="44"/>
    <x v="0"/>
    <x v="5"/>
    <n v="6.3869553999999995E-2"/>
  </r>
  <r>
    <x v="0"/>
    <x v="5"/>
    <x v="23"/>
    <x v="44"/>
    <x v="0"/>
    <x v="5"/>
    <n v="828.81326095899999"/>
  </r>
  <r>
    <x v="0"/>
    <x v="5"/>
    <x v="24"/>
    <x v="44"/>
    <x v="0"/>
    <x v="6"/>
    <n v="1714.7401227160001"/>
  </r>
  <r>
    <x v="0"/>
    <x v="5"/>
    <x v="25"/>
    <x v="45"/>
    <x v="0"/>
    <x v="6"/>
    <n v="1129.415774155"/>
  </r>
  <r>
    <x v="0"/>
    <x v="5"/>
    <x v="26"/>
    <x v="44"/>
    <x v="0"/>
    <x v="6"/>
    <n v="1314.880520788"/>
  </r>
  <r>
    <x v="0"/>
    <x v="5"/>
    <x v="27"/>
    <x v="44"/>
    <x v="0"/>
    <x v="6"/>
    <n v="716.39396312600002"/>
  </r>
  <r>
    <x v="0"/>
    <x v="5"/>
    <x v="28"/>
    <x v="44"/>
    <x v="0"/>
    <x v="6"/>
    <n v="1215.9790624719999"/>
  </r>
  <r>
    <x v="0"/>
    <x v="5"/>
    <x v="29"/>
    <x v="44"/>
    <x v="0"/>
    <x v="6"/>
    <n v="5.8877092940000004"/>
  </r>
  <r>
    <x v="0"/>
    <x v="5"/>
    <x v="30"/>
    <x v="44"/>
    <x v="0"/>
    <x v="6"/>
    <n v="208.396560959"/>
  </r>
  <r>
    <x v="0"/>
    <x v="5"/>
    <x v="31"/>
    <x v="44"/>
    <x v="0"/>
    <x v="6"/>
    <n v="7148.4792324259997"/>
  </r>
  <r>
    <x v="0"/>
    <x v="5"/>
    <x v="32"/>
    <x v="44"/>
    <x v="0"/>
    <x v="5"/>
    <n v="2.9152573000000001E-2"/>
  </r>
  <r>
    <x v="0"/>
    <x v="5"/>
    <x v="33"/>
    <x v="44"/>
    <x v="0"/>
    <x v="5"/>
    <n v="1.28011E-4"/>
  </r>
  <r>
    <x v="0"/>
    <x v="5"/>
    <x v="34"/>
    <x v="44"/>
    <x v="0"/>
    <x v="5"/>
    <n v="1"/>
  </r>
  <r>
    <x v="0"/>
    <x v="5"/>
    <x v="35"/>
    <x v="44"/>
    <x v="0"/>
    <x v="5"/>
    <n v="1.075"/>
  </r>
  <r>
    <x v="0"/>
    <x v="5"/>
    <x v="36"/>
    <x v="44"/>
    <x v="0"/>
    <x v="5"/>
    <n v="-1.0464675999999999E-2"/>
  </r>
  <r>
    <x v="0"/>
    <x v="5"/>
    <x v="37"/>
    <x v="45"/>
    <x v="0"/>
    <x v="6"/>
    <n v="0"/>
  </r>
  <r>
    <x v="0"/>
    <x v="5"/>
    <x v="38"/>
    <x v="45"/>
    <x v="0"/>
    <x v="6"/>
    <n v="0"/>
  </r>
  <r>
    <x v="0"/>
    <x v="5"/>
    <x v="39"/>
    <x v="45"/>
    <x v="0"/>
    <x v="6"/>
    <n v="1"/>
  </r>
  <r>
    <x v="0"/>
    <x v="5"/>
    <x v="40"/>
    <x v="45"/>
    <x v="0"/>
    <x v="6"/>
    <n v="124.003422465"/>
  </r>
  <r>
    <x v="0"/>
    <x v="5"/>
    <x v="41"/>
    <x v="45"/>
    <x v="0"/>
    <x v="6"/>
    <n v="109.082939255"/>
  </r>
  <r>
    <x v="0"/>
    <x v="5"/>
    <x v="42"/>
    <x v="45"/>
    <x v="0"/>
    <x v="6"/>
    <n v="14.92048321"/>
  </r>
  <r>
    <x v="0"/>
    <x v="5"/>
    <x v="43"/>
    <x v="45"/>
    <x v="0"/>
    <x v="6"/>
    <n v="293.35566010000002"/>
  </r>
  <r>
    <x v="0"/>
    <x v="5"/>
    <x v="44"/>
    <x v="45"/>
    <x v="0"/>
    <x v="6"/>
    <n v="0"/>
  </r>
  <r>
    <x v="0"/>
    <x v="5"/>
    <x v="45"/>
    <x v="44"/>
    <x v="0"/>
    <x v="5"/>
    <n v="5.0861412000000002E-2"/>
  </r>
  <r>
    <x v="0"/>
    <x v="5"/>
    <x v="46"/>
    <x v="45"/>
    <x v="0"/>
    <x v="5"/>
    <n v="3.3413456259999998"/>
  </r>
  <r>
    <x v="0"/>
    <x v="5"/>
    <x v="47"/>
    <x v="46"/>
    <x v="0"/>
    <x v="6"/>
    <n v="1.565776461"/>
  </r>
  <r>
    <x v="0"/>
    <x v="5"/>
    <x v="48"/>
    <x v="47"/>
    <x v="0"/>
    <x v="6"/>
    <n v="0"/>
  </r>
  <r>
    <x v="0"/>
    <x v="5"/>
    <x v="49"/>
    <x v="47"/>
    <x v="0"/>
    <x v="6"/>
    <n v="0"/>
  </r>
  <r>
    <x v="0"/>
    <x v="5"/>
    <x v="50"/>
    <x v="48"/>
    <x v="0"/>
    <x v="7"/>
    <n v="107.031291814"/>
  </r>
  <r>
    <x v="0"/>
    <x v="5"/>
    <x v="50"/>
    <x v="49"/>
    <x v="0"/>
    <x v="7"/>
    <n v="99.799492684000001"/>
  </r>
  <r>
    <x v="0"/>
    <x v="5"/>
    <x v="51"/>
    <x v="42"/>
    <x v="0"/>
    <x v="4"/>
    <n v="51.794439742000002"/>
  </r>
  <r>
    <x v="0"/>
    <x v="5"/>
    <x v="51"/>
    <x v="43"/>
    <x v="0"/>
    <x v="4"/>
    <n v="171.693768734"/>
  </r>
  <r>
    <x v="0"/>
    <x v="5"/>
    <x v="52"/>
    <x v="42"/>
    <x v="0"/>
    <x v="4"/>
    <n v="32.456122356000002"/>
  </r>
  <r>
    <x v="0"/>
    <x v="5"/>
    <x v="52"/>
    <x v="43"/>
    <x v="0"/>
    <x v="4"/>
    <n v="78.863508006999993"/>
  </r>
  <r>
    <x v="0"/>
    <x v="5"/>
    <x v="53"/>
    <x v="42"/>
    <x v="0"/>
    <x v="4"/>
    <n v="9.4587395129999994"/>
  </r>
  <r>
    <x v="0"/>
    <x v="5"/>
    <x v="53"/>
    <x v="43"/>
    <x v="0"/>
    <x v="4"/>
    <n v="18.721916447000002"/>
  </r>
  <r>
    <x v="0"/>
    <x v="5"/>
    <x v="54"/>
    <x v="42"/>
    <x v="56"/>
    <x v="4"/>
    <n v="14.738842567000001"/>
  </r>
  <r>
    <x v="0"/>
    <x v="5"/>
    <x v="54"/>
    <x v="43"/>
    <x v="56"/>
    <x v="4"/>
    <n v="83.809014855000001"/>
  </r>
  <r>
    <x v="0"/>
    <x v="5"/>
    <x v="55"/>
    <x v="42"/>
    <x v="0"/>
    <x v="4"/>
    <n v="6.2447808E-2"/>
  </r>
  <r>
    <x v="0"/>
    <x v="5"/>
    <x v="55"/>
    <x v="43"/>
    <x v="0"/>
    <x v="4"/>
    <n v="5.7823842E-2"/>
  </r>
  <r>
    <x v="0"/>
    <x v="5"/>
    <x v="56"/>
    <x v="42"/>
    <x v="0"/>
    <x v="4"/>
    <n v="7.9400832000000005E-2"/>
  </r>
  <r>
    <x v="0"/>
    <x v="5"/>
    <x v="56"/>
    <x v="43"/>
    <x v="0"/>
    <x v="4"/>
    <n v="7.6657875E-2"/>
  </r>
  <r>
    <x v="0"/>
    <x v="5"/>
    <x v="57"/>
    <x v="42"/>
    <x v="0"/>
    <x v="4"/>
    <n v="4.0809028999999997E-2"/>
  </r>
  <r>
    <x v="0"/>
    <x v="5"/>
    <x v="57"/>
    <x v="43"/>
    <x v="0"/>
    <x v="4"/>
    <n v="3.8430018000000003E-2"/>
  </r>
  <r>
    <x v="0"/>
    <x v="5"/>
    <x v="58"/>
    <x v="44"/>
    <x v="57"/>
    <x v="5"/>
    <n v="3.8279697000000001E-2"/>
  </r>
  <r>
    <x v="0"/>
    <x v="5"/>
    <x v="59"/>
    <x v="44"/>
    <x v="57"/>
    <x v="6"/>
    <n v="704.06799999999998"/>
  </r>
  <r>
    <x v="0"/>
    <x v="5"/>
    <x v="60"/>
    <x v="0"/>
    <x v="57"/>
    <x v="8"/>
    <n v="209.77715424300001"/>
  </r>
  <r>
    <x v="0"/>
    <x v="5"/>
    <x v="60"/>
    <x v="1"/>
    <x v="57"/>
    <x v="8"/>
    <n v="25.142387396"/>
  </r>
  <r>
    <x v="0"/>
    <x v="5"/>
    <x v="60"/>
    <x v="2"/>
    <x v="57"/>
    <x v="8"/>
    <n v="81.776643246999996"/>
  </r>
  <r>
    <x v="0"/>
    <x v="5"/>
    <x v="60"/>
    <x v="3"/>
    <x v="57"/>
    <x v="8"/>
    <n v="59.092616784000001"/>
  </r>
  <r>
    <x v="0"/>
    <x v="5"/>
    <x v="60"/>
    <x v="4"/>
    <x v="57"/>
    <x v="8"/>
    <n v="4.393477056"/>
  </r>
  <r>
    <x v="0"/>
    <x v="5"/>
    <x v="60"/>
    <x v="5"/>
    <x v="57"/>
    <x v="8"/>
    <n v="86.119960871000004"/>
  </r>
  <r>
    <x v="0"/>
    <x v="5"/>
    <x v="60"/>
    <x v="6"/>
    <x v="57"/>
    <x v="8"/>
    <n v="12.499349578"/>
  </r>
  <r>
    <x v="0"/>
    <x v="5"/>
    <x v="60"/>
    <x v="7"/>
    <x v="57"/>
    <x v="8"/>
    <n v="20.868584949999999"/>
  </r>
  <r>
    <x v="0"/>
    <x v="5"/>
    <x v="60"/>
    <x v="8"/>
    <x v="57"/>
    <x v="8"/>
    <n v="6.0587456050000004"/>
  </r>
  <r>
    <x v="0"/>
    <x v="5"/>
    <x v="60"/>
    <x v="9"/>
    <x v="57"/>
    <x v="8"/>
    <n v="19.905504255"/>
  </r>
  <r>
    <x v="0"/>
    <x v="5"/>
    <x v="60"/>
    <x v="10"/>
    <x v="57"/>
    <x v="8"/>
    <n v="19.215227926000001"/>
  </r>
  <r>
    <x v="0"/>
    <x v="5"/>
    <x v="60"/>
    <x v="11"/>
    <x v="57"/>
    <x v="8"/>
    <n v="108.152814038"/>
  </r>
  <r>
    <x v="0"/>
    <x v="5"/>
    <x v="60"/>
    <x v="12"/>
    <x v="57"/>
    <x v="8"/>
    <n v="4.7061493499999996"/>
  </r>
  <r>
    <x v="0"/>
    <x v="5"/>
    <x v="60"/>
    <x v="13"/>
    <x v="57"/>
    <x v="8"/>
    <n v="45.091316468999999"/>
  </r>
  <r>
    <x v="0"/>
    <x v="5"/>
    <x v="60"/>
    <x v="14"/>
    <x v="57"/>
    <x v="8"/>
    <n v="5.8491934160000003"/>
  </r>
  <r>
    <x v="0"/>
    <x v="5"/>
    <x v="60"/>
    <x v="15"/>
    <x v="57"/>
    <x v="8"/>
    <n v="40.103808557000001"/>
  </r>
  <r>
    <x v="0"/>
    <x v="5"/>
    <x v="60"/>
    <x v="16"/>
    <x v="57"/>
    <x v="8"/>
    <n v="34.424467614000001"/>
  </r>
  <r>
    <x v="0"/>
    <x v="5"/>
    <x v="60"/>
    <x v="17"/>
    <x v="57"/>
    <x v="8"/>
    <n v="55.955028106"/>
  </r>
  <r>
    <x v="0"/>
    <x v="5"/>
    <x v="60"/>
    <x v="18"/>
    <x v="57"/>
    <x v="8"/>
    <n v="29.935626569"/>
  </r>
  <r>
    <x v="0"/>
    <x v="5"/>
    <x v="60"/>
    <x v="19"/>
    <x v="57"/>
    <x v="8"/>
    <n v="171.351086275"/>
  </r>
  <r>
    <x v="0"/>
    <x v="5"/>
    <x v="60"/>
    <x v="20"/>
    <x v="57"/>
    <x v="8"/>
    <n v="24.250551186999999"/>
  </r>
  <r>
    <x v="0"/>
    <x v="5"/>
    <x v="60"/>
    <x v="21"/>
    <x v="57"/>
    <x v="8"/>
    <n v="0.49647398799999998"/>
  </r>
  <r>
    <x v="0"/>
    <x v="5"/>
    <x v="60"/>
    <x v="22"/>
    <x v="57"/>
    <x v="8"/>
    <n v="1.2128967369999999"/>
  </r>
  <r>
    <x v="0"/>
    <x v="5"/>
    <x v="60"/>
    <x v="23"/>
    <x v="57"/>
    <x v="8"/>
    <n v="0"/>
  </r>
  <r>
    <x v="0"/>
    <x v="5"/>
    <x v="60"/>
    <x v="24"/>
    <x v="57"/>
    <x v="8"/>
    <n v="0.172532349"/>
  </r>
  <r>
    <x v="0"/>
    <x v="5"/>
    <x v="60"/>
    <x v="25"/>
    <x v="57"/>
    <x v="8"/>
    <n v="2.23E-7"/>
  </r>
  <r>
    <x v="0"/>
    <x v="5"/>
    <x v="60"/>
    <x v="26"/>
    <x v="57"/>
    <x v="8"/>
    <n v="0"/>
  </r>
  <r>
    <x v="0"/>
    <x v="5"/>
    <x v="60"/>
    <x v="27"/>
    <x v="57"/>
    <x v="8"/>
    <n v="3.0313136959999998"/>
  </r>
  <r>
    <x v="0"/>
    <x v="5"/>
    <x v="60"/>
    <x v="28"/>
    <x v="57"/>
    <x v="8"/>
    <n v="0"/>
  </r>
  <r>
    <x v="0"/>
    <x v="5"/>
    <x v="60"/>
    <x v="29"/>
    <x v="57"/>
    <x v="8"/>
    <n v="33.470423846999999"/>
  </r>
  <r>
    <x v="0"/>
    <x v="5"/>
    <x v="60"/>
    <x v="30"/>
    <x v="57"/>
    <x v="8"/>
    <n v="21.907342511"/>
  </r>
  <r>
    <x v="0"/>
    <x v="5"/>
    <x v="60"/>
    <x v="31"/>
    <x v="57"/>
    <x v="8"/>
    <n v="5.3900427449999997"/>
  </r>
  <r>
    <x v="0"/>
    <x v="5"/>
    <x v="60"/>
    <x v="32"/>
    <x v="57"/>
    <x v="8"/>
    <n v="3.2293932500000002"/>
  </r>
  <r>
    <x v="0"/>
    <x v="5"/>
    <x v="60"/>
    <x v="33"/>
    <x v="57"/>
    <x v="8"/>
    <n v="0"/>
  </r>
  <r>
    <x v="0"/>
    <x v="5"/>
    <x v="60"/>
    <x v="34"/>
    <x v="57"/>
    <x v="8"/>
    <n v="35.297857974999999"/>
  </r>
  <r>
    <x v="0"/>
    <x v="5"/>
    <x v="60"/>
    <x v="35"/>
    <x v="57"/>
    <x v="8"/>
    <n v="3.2440740840000002"/>
  </r>
  <r>
    <x v="0"/>
    <x v="5"/>
    <x v="60"/>
    <x v="36"/>
    <x v="57"/>
    <x v="8"/>
    <n v="6.2097763209999997"/>
  </r>
  <r>
    <x v="0"/>
    <x v="5"/>
    <x v="60"/>
    <x v="37"/>
    <x v="57"/>
    <x v="8"/>
    <n v="2.084414894"/>
  </r>
  <r>
    <x v="0"/>
    <x v="5"/>
    <x v="60"/>
    <x v="38"/>
    <x v="57"/>
    <x v="8"/>
    <n v="7.5742871709999999"/>
  </r>
  <r>
    <x v="0"/>
    <x v="5"/>
    <x v="60"/>
    <x v="39"/>
    <x v="57"/>
    <x v="8"/>
    <n v="2.3885245570000002"/>
  </r>
  <r>
    <x v="0"/>
    <x v="5"/>
    <x v="60"/>
    <x v="40"/>
    <x v="57"/>
    <x v="8"/>
    <n v="19.983085651"/>
  </r>
  <r>
    <x v="0"/>
    <x v="5"/>
    <x v="60"/>
    <x v="41"/>
    <x v="57"/>
    <x v="8"/>
    <n v="5.616928981"/>
  </r>
  <r>
    <x v="0"/>
    <x v="5"/>
    <x v="61"/>
    <x v="0"/>
    <x v="57"/>
    <x v="8"/>
    <n v="1.2476179199999999"/>
  </r>
  <r>
    <x v="0"/>
    <x v="5"/>
    <x v="61"/>
    <x v="1"/>
    <x v="57"/>
    <x v="8"/>
    <n v="0.43105686999999998"/>
  </r>
  <r>
    <x v="0"/>
    <x v="5"/>
    <x v="61"/>
    <x v="2"/>
    <x v="57"/>
    <x v="8"/>
    <n v="2.5702468789999999"/>
  </r>
  <r>
    <x v="0"/>
    <x v="5"/>
    <x v="61"/>
    <x v="3"/>
    <x v="57"/>
    <x v="8"/>
    <n v="0.39368681100000003"/>
  </r>
  <r>
    <x v="0"/>
    <x v="5"/>
    <x v="61"/>
    <x v="4"/>
    <x v="57"/>
    <x v="8"/>
    <n v="0.724104682"/>
  </r>
  <r>
    <x v="0"/>
    <x v="5"/>
    <x v="61"/>
    <x v="5"/>
    <x v="57"/>
    <x v="8"/>
    <n v="8.210601552"/>
  </r>
  <r>
    <x v="0"/>
    <x v="5"/>
    <x v="61"/>
    <x v="6"/>
    <x v="57"/>
    <x v="8"/>
    <n v="15.521485618"/>
  </r>
  <r>
    <x v="0"/>
    <x v="5"/>
    <x v="61"/>
    <x v="7"/>
    <x v="57"/>
    <x v="8"/>
    <n v="32.018374313999999"/>
  </r>
  <r>
    <x v="0"/>
    <x v="5"/>
    <x v="61"/>
    <x v="8"/>
    <x v="57"/>
    <x v="8"/>
    <n v="12.473930258999999"/>
  </r>
  <r>
    <x v="0"/>
    <x v="5"/>
    <x v="61"/>
    <x v="9"/>
    <x v="57"/>
    <x v="8"/>
    <n v="27.870405569999999"/>
  </r>
  <r>
    <x v="0"/>
    <x v="5"/>
    <x v="61"/>
    <x v="10"/>
    <x v="57"/>
    <x v="8"/>
    <n v="11.049344981000001"/>
  </r>
  <r>
    <x v="0"/>
    <x v="5"/>
    <x v="61"/>
    <x v="11"/>
    <x v="57"/>
    <x v="8"/>
    <n v="60.082962234999997"/>
  </r>
  <r>
    <x v="0"/>
    <x v="5"/>
    <x v="61"/>
    <x v="12"/>
    <x v="57"/>
    <x v="8"/>
    <n v="14.039152186999999"/>
  </r>
  <r>
    <x v="0"/>
    <x v="5"/>
    <x v="61"/>
    <x v="13"/>
    <x v="57"/>
    <x v="8"/>
    <n v="35.386140519999998"/>
  </r>
  <r>
    <x v="0"/>
    <x v="5"/>
    <x v="61"/>
    <x v="14"/>
    <x v="57"/>
    <x v="8"/>
    <n v="26.157307778"/>
  </r>
  <r>
    <x v="0"/>
    <x v="5"/>
    <x v="61"/>
    <x v="15"/>
    <x v="57"/>
    <x v="8"/>
    <n v="35.654832485"/>
  </r>
  <r>
    <x v="0"/>
    <x v="5"/>
    <x v="61"/>
    <x v="16"/>
    <x v="57"/>
    <x v="8"/>
    <n v="16.699107732000002"/>
  </r>
  <r>
    <x v="0"/>
    <x v="5"/>
    <x v="61"/>
    <x v="17"/>
    <x v="57"/>
    <x v="8"/>
    <n v="28.080942445000002"/>
  </r>
  <r>
    <x v="0"/>
    <x v="5"/>
    <x v="61"/>
    <x v="18"/>
    <x v="57"/>
    <x v="8"/>
    <n v="63.628245886000002"/>
  </r>
  <r>
    <x v="0"/>
    <x v="5"/>
    <x v="61"/>
    <x v="19"/>
    <x v="57"/>
    <x v="8"/>
    <n v="146.85844367300001"/>
  </r>
  <r>
    <x v="0"/>
    <x v="5"/>
    <x v="61"/>
    <x v="20"/>
    <x v="57"/>
    <x v="8"/>
    <n v="10.526033669"/>
  </r>
  <r>
    <x v="0"/>
    <x v="5"/>
    <x v="61"/>
    <x v="21"/>
    <x v="57"/>
    <x v="8"/>
    <n v="2.25918844"/>
  </r>
  <r>
    <x v="0"/>
    <x v="5"/>
    <x v="61"/>
    <x v="22"/>
    <x v="57"/>
    <x v="8"/>
    <n v="4.8065640350000001"/>
  </r>
  <r>
    <x v="0"/>
    <x v="5"/>
    <x v="61"/>
    <x v="23"/>
    <x v="57"/>
    <x v="8"/>
    <n v="0"/>
  </r>
  <r>
    <x v="0"/>
    <x v="5"/>
    <x v="61"/>
    <x v="24"/>
    <x v="57"/>
    <x v="8"/>
    <n v="0.59777866400000002"/>
  </r>
  <r>
    <x v="0"/>
    <x v="5"/>
    <x v="61"/>
    <x v="25"/>
    <x v="57"/>
    <x v="8"/>
    <n v="0"/>
  </r>
  <r>
    <x v="0"/>
    <x v="5"/>
    <x v="61"/>
    <x v="26"/>
    <x v="57"/>
    <x v="8"/>
    <n v="0"/>
  </r>
  <r>
    <x v="0"/>
    <x v="5"/>
    <x v="61"/>
    <x v="27"/>
    <x v="57"/>
    <x v="8"/>
    <n v="2.773242631"/>
  </r>
  <r>
    <x v="0"/>
    <x v="5"/>
    <x v="61"/>
    <x v="28"/>
    <x v="57"/>
    <x v="8"/>
    <n v="82.366241900999995"/>
  </r>
  <r>
    <x v="0"/>
    <x v="5"/>
    <x v="61"/>
    <x v="29"/>
    <x v="57"/>
    <x v="8"/>
    <n v="33.869623830999998"/>
  </r>
  <r>
    <x v="0"/>
    <x v="5"/>
    <x v="61"/>
    <x v="30"/>
    <x v="57"/>
    <x v="8"/>
    <n v="1.3116438130000001"/>
  </r>
  <r>
    <x v="0"/>
    <x v="5"/>
    <x v="61"/>
    <x v="31"/>
    <x v="57"/>
    <x v="8"/>
    <n v="9.0462413460000004"/>
  </r>
  <r>
    <x v="0"/>
    <x v="5"/>
    <x v="61"/>
    <x v="32"/>
    <x v="57"/>
    <x v="8"/>
    <n v="3.923784763"/>
  </r>
  <r>
    <x v="0"/>
    <x v="5"/>
    <x v="61"/>
    <x v="33"/>
    <x v="57"/>
    <x v="8"/>
    <n v="0"/>
  </r>
  <r>
    <x v="0"/>
    <x v="5"/>
    <x v="61"/>
    <x v="34"/>
    <x v="57"/>
    <x v="8"/>
    <n v="22.372352349"/>
  </r>
  <r>
    <x v="0"/>
    <x v="5"/>
    <x v="61"/>
    <x v="35"/>
    <x v="57"/>
    <x v="8"/>
    <n v="0.13120832599999999"/>
  </r>
  <r>
    <x v="0"/>
    <x v="5"/>
    <x v="61"/>
    <x v="36"/>
    <x v="57"/>
    <x v="8"/>
    <n v="0.48520355999999998"/>
  </r>
  <r>
    <x v="0"/>
    <x v="5"/>
    <x v="61"/>
    <x v="37"/>
    <x v="57"/>
    <x v="8"/>
    <n v="0.33974477400000003"/>
  </r>
  <r>
    <x v="0"/>
    <x v="5"/>
    <x v="61"/>
    <x v="38"/>
    <x v="57"/>
    <x v="8"/>
    <n v="8.4142479000000006E-2"/>
  </r>
  <r>
    <x v="0"/>
    <x v="5"/>
    <x v="61"/>
    <x v="39"/>
    <x v="57"/>
    <x v="8"/>
    <n v="0.103354301"/>
  </r>
  <r>
    <x v="0"/>
    <x v="5"/>
    <x v="61"/>
    <x v="40"/>
    <x v="57"/>
    <x v="8"/>
    <n v="2.1376309999999998"/>
  </r>
  <r>
    <x v="0"/>
    <x v="5"/>
    <x v="61"/>
    <x v="41"/>
    <x v="57"/>
    <x v="8"/>
    <n v="0.161992847"/>
  </r>
  <r>
    <x v="0"/>
    <x v="5"/>
    <x v="62"/>
    <x v="0"/>
    <x v="57"/>
    <x v="9"/>
    <n v="3.8279697000000001E-2"/>
  </r>
  <r>
    <x v="0"/>
    <x v="5"/>
    <x v="62"/>
    <x v="1"/>
    <x v="57"/>
    <x v="9"/>
    <n v="3.8279697000000001E-2"/>
  </r>
  <r>
    <x v="0"/>
    <x v="5"/>
    <x v="62"/>
    <x v="2"/>
    <x v="57"/>
    <x v="9"/>
    <n v="3.8279697000000001E-2"/>
  </r>
  <r>
    <x v="0"/>
    <x v="5"/>
    <x v="62"/>
    <x v="3"/>
    <x v="57"/>
    <x v="9"/>
    <n v="3.8279697000000001E-2"/>
  </r>
  <r>
    <x v="0"/>
    <x v="5"/>
    <x v="62"/>
    <x v="4"/>
    <x v="57"/>
    <x v="9"/>
    <n v="3.8279697000000001E-2"/>
  </r>
  <r>
    <x v="0"/>
    <x v="5"/>
    <x v="62"/>
    <x v="5"/>
    <x v="57"/>
    <x v="9"/>
    <n v="3.8279697000000001E-2"/>
  </r>
  <r>
    <x v="0"/>
    <x v="5"/>
    <x v="62"/>
    <x v="6"/>
    <x v="57"/>
    <x v="9"/>
    <n v="3.8279697000000001E-2"/>
  </r>
  <r>
    <x v="0"/>
    <x v="5"/>
    <x v="62"/>
    <x v="7"/>
    <x v="57"/>
    <x v="9"/>
    <n v="3.8279697000000001E-2"/>
  </r>
  <r>
    <x v="0"/>
    <x v="5"/>
    <x v="62"/>
    <x v="8"/>
    <x v="57"/>
    <x v="9"/>
    <n v="3.8279697000000001E-2"/>
  </r>
  <r>
    <x v="0"/>
    <x v="5"/>
    <x v="62"/>
    <x v="9"/>
    <x v="57"/>
    <x v="9"/>
    <n v="3.8279697000000001E-2"/>
  </r>
  <r>
    <x v="0"/>
    <x v="5"/>
    <x v="62"/>
    <x v="10"/>
    <x v="57"/>
    <x v="9"/>
    <n v="3.8279697000000001E-2"/>
  </r>
  <r>
    <x v="0"/>
    <x v="5"/>
    <x v="62"/>
    <x v="11"/>
    <x v="57"/>
    <x v="9"/>
    <n v="3.8279697000000001E-2"/>
  </r>
  <r>
    <x v="0"/>
    <x v="5"/>
    <x v="62"/>
    <x v="12"/>
    <x v="57"/>
    <x v="9"/>
    <n v="3.8279697000000001E-2"/>
  </r>
  <r>
    <x v="0"/>
    <x v="5"/>
    <x v="62"/>
    <x v="13"/>
    <x v="57"/>
    <x v="9"/>
    <n v="3.8279697000000001E-2"/>
  </r>
  <r>
    <x v="0"/>
    <x v="5"/>
    <x v="62"/>
    <x v="14"/>
    <x v="57"/>
    <x v="9"/>
    <n v="3.8279697000000001E-2"/>
  </r>
  <r>
    <x v="0"/>
    <x v="5"/>
    <x v="62"/>
    <x v="15"/>
    <x v="57"/>
    <x v="9"/>
    <n v="3.8279697000000001E-2"/>
  </r>
  <r>
    <x v="0"/>
    <x v="5"/>
    <x v="62"/>
    <x v="16"/>
    <x v="57"/>
    <x v="9"/>
    <n v="3.8279697000000001E-2"/>
  </r>
  <r>
    <x v="0"/>
    <x v="5"/>
    <x v="62"/>
    <x v="17"/>
    <x v="57"/>
    <x v="9"/>
    <n v="3.8279697000000001E-2"/>
  </r>
  <r>
    <x v="0"/>
    <x v="5"/>
    <x v="62"/>
    <x v="18"/>
    <x v="57"/>
    <x v="9"/>
    <n v="3.8279697000000001E-2"/>
  </r>
  <r>
    <x v="0"/>
    <x v="5"/>
    <x v="62"/>
    <x v="19"/>
    <x v="57"/>
    <x v="9"/>
    <n v="3.8279697000000001E-2"/>
  </r>
  <r>
    <x v="0"/>
    <x v="5"/>
    <x v="62"/>
    <x v="20"/>
    <x v="57"/>
    <x v="9"/>
    <n v="3.8279697000000001E-2"/>
  </r>
  <r>
    <x v="0"/>
    <x v="5"/>
    <x v="62"/>
    <x v="21"/>
    <x v="57"/>
    <x v="9"/>
    <n v="3.8279697000000001E-2"/>
  </r>
  <r>
    <x v="0"/>
    <x v="5"/>
    <x v="62"/>
    <x v="22"/>
    <x v="57"/>
    <x v="9"/>
    <n v="3.8279697000000001E-2"/>
  </r>
  <r>
    <x v="0"/>
    <x v="5"/>
    <x v="62"/>
    <x v="23"/>
    <x v="57"/>
    <x v="9"/>
    <n v="1"/>
  </r>
  <r>
    <x v="0"/>
    <x v="5"/>
    <x v="62"/>
    <x v="24"/>
    <x v="57"/>
    <x v="9"/>
    <n v="3.8279697000000001E-2"/>
  </r>
  <r>
    <x v="0"/>
    <x v="5"/>
    <x v="62"/>
    <x v="25"/>
    <x v="57"/>
    <x v="9"/>
    <n v="3.8279697000000001E-2"/>
  </r>
  <r>
    <x v="0"/>
    <x v="5"/>
    <x v="62"/>
    <x v="26"/>
    <x v="57"/>
    <x v="9"/>
    <n v="1"/>
  </r>
  <r>
    <x v="0"/>
    <x v="5"/>
    <x v="62"/>
    <x v="27"/>
    <x v="57"/>
    <x v="9"/>
    <n v="3.8279697000000001E-2"/>
  </r>
  <r>
    <x v="0"/>
    <x v="5"/>
    <x v="62"/>
    <x v="28"/>
    <x v="57"/>
    <x v="9"/>
    <n v="1"/>
  </r>
  <r>
    <x v="0"/>
    <x v="5"/>
    <x v="62"/>
    <x v="29"/>
    <x v="57"/>
    <x v="9"/>
    <n v="3.8279697000000001E-2"/>
  </r>
  <r>
    <x v="0"/>
    <x v="5"/>
    <x v="62"/>
    <x v="30"/>
    <x v="57"/>
    <x v="9"/>
    <n v="3.8279697000000001E-2"/>
  </r>
  <r>
    <x v="0"/>
    <x v="5"/>
    <x v="62"/>
    <x v="31"/>
    <x v="57"/>
    <x v="9"/>
    <n v="3.8279697000000001E-2"/>
  </r>
  <r>
    <x v="0"/>
    <x v="5"/>
    <x v="62"/>
    <x v="32"/>
    <x v="57"/>
    <x v="9"/>
    <n v="3.8279697000000001E-2"/>
  </r>
  <r>
    <x v="0"/>
    <x v="5"/>
    <x v="62"/>
    <x v="33"/>
    <x v="57"/>
    <x v="9"/>
    <n v="1"/>
  </r>
  <r>
    <x v="0"/>
    <x v="5"/>
    <x v="62"/>
    <x v="34"/>
    <x v="57"/>
    <x v="9"/>
    <n v="3.8279697000000001E-2"/>
  </r>
  <r>
    <x v="0"/>
    <x v="5"/>
    <x v="62"/>
    <x v="35"/>
    <x v="57"/>
    <x v="9"/>
    <n v="3.8279697000000001E-2"/>
  </r>
  <r>
    <x v="0"/>
    <x v="5"/>
    <x v="62"/>
    <x v="36"/>
    <x v="57"/>
    <x v="9"/>
    <n v="3.8279697000000001E-2"/>
  </r>
  <r>
    <x v="0"/>
    <x v="5"/>
    <x v="62"/>
    <x v="37"/>
    <x v="57"/>
    <x v="9"/>
    <n v="3.8279697000000001E-2"/>
  </r>
  <r>
    <x v="0"/>
    <x v="5"/>
    <x v="62"/>
    <x v="38"/>
    <x v="57"/>
    <x v="9"/>
    <n v="3.8279697000000001E-2"/>
  </r>
  <r>
    <x v="0"/>
    <x v="5"/>
    <x v="62"/>
    <x v="39"/>
    <x v="57"/>
    <x v="9"/>
    <n v="3.8279697000000001E-2"/>
  </r>
  <r>
    <x v="0"/>
    <x v="5"/>
    <x v="62"/>
    <x v="40"/>
    <x v="57"/>
    <x v="9"/>
    <n v="3.8279697000000001E-2"/>
  </r>
  <r>
    <x v="0"/>
    <x v="5"/>
    <x v="62"/>
    <x v="41"/>
    <x v="57"/>
    <x v="9"/>
    <n v="3.8279697000000001E-2"/>
  </r>
  <r>
    <x v="0"/>
    <x v="5"/>
    <x v="63"/>
    <x v="0"/>
    <x v="57"/>
    <x v="9"/>
    <n v="5.0694186000000002E-2"/>
  </r>
  <r>
    <x v="0"/>
    <x v="5"/>
    <x v="63"/>
    <x v="1"/>
    <x v="57"/>
    <x v="9"/>
    <n v="3.3455251999999998E-2"/>
  </r>
  <r>
    <x v="0"/>
    <x v="5"/>
    <x v="63"/>
    <x v="2"/>
    <x v="57"/>
    <x v="9"/>
    <n v="2.9203356999999999E-2"/>
  </r>
  <r>
    <x v="0"/>
    <x v="5"/>
    <x v="63"/>
    <x v="3"/>
    <x v="57"/>
    <x v="9"/>
    <n v="3.2151401000000003E-2"/>
  </r>
  <r>
    <x v="0"/>
    <x v="5"/>
    <x v="63"/>
    <x v="4"/>
    <x v="57"/>
    <x v="9"/>
    <n v="3.0357781E-2"/>
  </r>
  <r>
    <x v="0"/>
    <x v="5"/>
    <x v="63"/>
    <x v="5"/>
    <x v="57"/>
    <x v="9"/>
    <n v="3.3191305999999997E-2"/>
  </r>
  <r>
    <x v="0"/>
    <x v="5"/>
    <x v="63"/>
    <x v="6"/>
    <x v="57"/>
    <x v="9"/>
    <n v="3.1945454999999998E-2"/>
  </r>
  <r>
    <x v="0"/>
    <x v="5"/>
    <x v="63"/>
    <x v="7"/>
    <x v="57"/>
    <x v="9"/>
    <n v="3.2618688999999999E-2"/>
  </r>
  <r>
    <x v="0"/>
    <x v="5"/>
    <x v="63"/>
    <x v="8"/>
    <x v="57"/>
    <x v="9"/>
    <n v="3.1144090999999999E-2"/>
  </r>
  <r>
    <x v="0"/>
    <x v="5"/>
    <x v="63"/>
    <x v="9"/>
    <x v="57"/>
    <x v="9"/>
    <n v="2.7976295000000002E-2"/>
  </r>
  <r>
    <x v="0"/>
    <x v="5"/>
    <x v="63"/>
    <x v="10"/>
    <x v="57"/>
    <x v="9"/>
    <n v="2.2204999E-2"/>
  </r>
  <r>
    <x v="0"/>
    <x v="5"/>
    <x v="63"/>
    <x v="11"/>
    <x v="57"/>
    <x v="9"/>
    <n v="2.6066493999999999E-2"/>
  </r>
  <r>
    <x v="0"/>
    <x v="5"/>
    <x v="63"/>
    <x v="12"/>
    <x v="57"/>
    <x v="9"/>
    <n v="2.7326982999999999E-2"/>
  </r>
  <r>
    <x v="0"/>
    <x v="5"/>
    <x v="63"/>
    <x v="13"/>
    <x v="57"/>
    <x v="9"/>
    <n v="2.3514367000000001E-2"/>
  </r>
  <r>
    <x v="0"/>
    <x v="5"/>
    <x v="63"/>
    <x v="14"/>
    <x v="57"/>
    <x v="9"/>
    <n v="2.5328483999999998E-2"/>
  </r>
  <r>
    <x v="0"/>
    <x v="5"/>
    <x v="63"/>
    <x v="15"/>
    <x v="57"/>
    <x v="9"/>
    <n v="2.8218038000000001E-2"/>
  </r>
  <r>
    <x v="0"/>
    <x v="5"/>
    <x v="63"/>
    <x v="16"/>
    <x v="57"/>
    <x v="9"/>
    <n v="2.9078219999999998E-2"/>
  </r>
  <r>
    <x v="0"/>
    <x v="5"/>
    <x v="63"/>
    <x v="17"/>
    <x v="57"/>
    <x v="9"/>
    <n v="2.8201501E-2"/>
  </r>
  <r>
    <x v="0"/>
    <x v="5"/>
    <x v="63"/>
    <x v="18"/>
    <x v="57"/>
    <x v="9"/>
    <n v="2.5710145E-2"/>
  </r>
  <r>
    <x v="0"/>
    <x v="5"/>
    <x v="63"/>
    <x v="19"/>
    <x v="57"/>
    <x v="9"/>
    <n v="3.0284205000000002E-2"/>
  </r>
  <r>
    <x v="0"/>
    <x v="5"/>
    <x v="63"/>
    <x v="20"/>
    <x v="57"/>
    <x v="9"/>
    <n v="3.0208881E-2"/>
  </r>
  <r>
    <x v="0"/>
    <x v="5"/>
    <x v="63"/>
    <x v="21"/>
    <x v="57"/>
    <x v="9"/>
    <n v="2.7869228999999999E-2"/>
  </r>
  <r>
    <x v="0"/>
    <x v="5"/>
    <x v="63"/>
    <x v="22"/>
    <x v="57"/>
    <x v="9"/>
    <n v="1.5476175E-2"/>
  </r>
  <r>
    <x v="0"/>
    <x v="5"/>
    <x v="63"/>
    <x v="23"/>
    <x v="57"/>
    <x v="9"/>
    <n v="1"/>
  </r>
  <r>
    <x v="0"/>
    <x v="5"/>
    <x v="63"/>
    <x v="24"/>
    <x v="57"/>
    <x v="9"/>
    <n v="2.3995332000000001E-2"/>
  </r>
  <r>
    <x v="0"/>
    <x v="5"/>
    <x v="63"/>
    <x v="25"/>
    <x v="57"/>
    <x v="9"/>
    <n v="1"/>
  </r>
  <r>
    <x v="0"/>
    <x v="5"/>
    <x v="63"/>
    <x v="26"/>
    <x v="57"/>
    <x v="9"/>
    <n v="1"/>
  </r>
  <r>
    <x v="0"/>
    <x v="5"/>
    <x v="63"/>
    <x v="27"/>
    <x v="57"/>
    <x v="9"/>
    <n v="3.1081660000000001E-2"/>
  </r>
  <r>
    <x v="0"/>
    <x v="5"/>
    <x v="63"/>
    <x v="28"/>
    <x v="57"/>
    <x v="9"/>
    <n v="3.2931583E-2"/>
  </r>
  <r>
    <x v="0"/>
    <x v="5"/>
    <x v="63"/>
    <x v="29"/>
    <x v="57"/>
    <x v="9"/>
    <n v="2.8478401E-2"/>
  </r>
  <r>
    <x v="0"/>
    <x v="5"/>
    <x v="63"/>
    <x v="30"/>
    <x v="57"/>
    <x v="9"/>
    <n v="3.9849079000000003E-2"/>
  </r>
  <r>
    <x v="0"/>
    <x v="5"/>
    <x v="63"/>
    <x v="31"/>
    <x v="57"/>
    <x v="9"/>
    <n v="2.611513E-2"/>
  </r>
  <r>
    <x v="0"/>
    <x v="5"/>
    <x v="63"/>
    <x v="32"/>
    <x v="57"/>
    <x v="9"/>
    <n v="2.7839388E-2"/>
  </r>
  <r>
    <x v="0"/>
    <x v="5"/>
    <x v="63"/>
    <x v="33"/>
    <x v="57"/>
    <x v="9"/>
    <n v="1"/>
  </r>
  <r>
    <x v="0"/>
    <x v="5"/>
    <x v="63"/>
    <x v="34"/>
    <x v="57"/>
    <x v="9"/>
    <n v="2.8933435E-2"/>
  </r>
  <r>
    <x v="0"/>
    <x v="5"/>
    <x v="63"/>
    <x v="35"/>
    <x v="57"/>
    <x v="9"/>
    <n v="2.9771275E-2"/>
  </r>
  <r>
    <x v="0"/>
    <x v="5"/>
    <x v="63"/>
    <x v="36"/>
    <x v="57"/>
    <x v="9"/>
    <n v="3.1885496999999999E-2"/>
  </r>
  <r>
    <x v="0"/>
    <x v="5"/>
    <x v="63"/>
    <x v="37"/>
    <x v="57"/>
    <x v="9"/>
    <n v="3.9149533E-2"/>
  </r>
  <r>
    <x v="0"/>
    <x v="5"/>
    <x v="63"/>
    <x v="38"/>
    <x v="57"/>
    <x v="9"/>
    <n v="5.2313667000000001E-2"/>
  </r>
  <r>
    <x v="0"/>
    <x v="5"/>
    <x v="63"/>
    <x v="39"/>
    <x v="57"/>
    <x v="9"/>
    <n v="3.9264437999999999E-2"/>
  </r>
  <r>
    <x v="0"/>
    <x v="5"/>
    <x v="63"/>
    <x v="40"/>
    <x v="57"/>
    <x v="9"/>
    <n v="3.6891755999999998E-2"/>
  </r>
  <r>
    <x v="0"/>
    <x v="5"/>
    <x v="63"/>
    <x v="41"/>
    <x v="57"/>
    <x v="9"/>
    <n v="4.2833898000000002E-2"/>
  </r>
  <r>
    <x v="0"/>
    <x v="5"/>
    <x v="64"/>
    <x v="0"/>
    <x v="57"/>
    <x v="10"/>
    <n v="0"/>
  </r>
  <r>
    <x v="0"/>
    <x v="5"/>
    <x v="64"/>
    <x v="1"/>
    <x v="57"/>
    <x v="10"/>
    <n v="0"/>
  </r>
  <r>
    <x v="0"/>
    <x v="5"/>
    <x v="64"/>
    <x v="2"/>
    <x v="57"/>
    <x v="10"/>
    <n v="0"/>
  </r>
  <r>
    <x v="0"/>
    <x v="5"/>
    <x v="64"/>
    <x v="3"/>
    <x v="57"/>
    <x v="10"/>
    <n v="0"/>
  </r>
  <r>
    <x v="0"/>
    <x v="5"/>
    <x v="64"/>
    <x v="4"/>
    <x v="57"/>
    <x v="10"/>
    <n v="0"/>
  </r>
  <r>
    <x v="0"/>
    <x v="5"/>
    <x v="64"/>
    <x v="5"/>
    <x v="57"/>
    <x v="10"/>
    <n v="0"/>
  </r>
  <r>
    <x v="0"/>
    <x v="5"/>
    <x v="64"/>
    <x v="6"/>
    <x v="57"/>
    <x v="10"/>
    <n v="0"/>
  </r>
  <r>
    <x v="0"/>
    <x v="5"/>
    <x v="64"/>
    <x v="7"/>
    <x v="57"/>
    <x v="10"/>
    <n v="0"/>
  </r>
  <r>
    <x v="0"/>
    <x v="5"/>
    <x v="64"/>
    <x v="8"/>
    <x v="57"/>
    <x v="10"/>
    <n v="0"/>
  </r>
  <r>
    <x v="0"/>
    <x v="5"/>
    <x v="64"/>
    <x v="9"/>
    <x v="57"/>
    <x v="10"/>
    <n v="0"/>
  </r>
  <r>
    <x v="0"/>
    <x v="5"/>
    <x v="64"/>
    <x v="10"/>
    <x v="57"/>
    <x v="10"/>
    <n v="0"/>
  </r>
  <r>
    <x v="0"/>
    <x v="5"/>
    <x v="64"/>
    <x v="11"/>
    <x v="57"/>
    <x v="10"/>
    <n v="0"/>
  </r>
  <r>
    <x v="0"/>
    <x v="5"/>
    <x v="64"/>
    <x v="12"/>
    <x v="57"/>
    <x v="10"/>
    <n v="0"/>
  </r>
  <r>
    <x v="0"/>
    <x v="5"/>
    <x v="64"/>
    <x v="13"/>
    <x v="57"/>
    <x v="10"/>
    <n v="0"/>
  </r>
  <r>
    <x v="0"/>
    <x v="5"/>
    <x v="64"/>
    <x v="14"/>
    <x v="57"/>
    <x v="10"/>
    <n v="0"/>
  </r>
  <r>
    <x v="0"/>
    <x v="5"/>
    <x v="64"/>
    <x v="15"/>
    <x v="57"/>
    <x v="10"/>
    <n v="0"/>
  </r>
  <r>
    <x v="0"/>
    <x v="5"/>
    <x v="64"/>
    <x v="16"/>
    <x v="57"/>
    <x v="10"/>
    <n v="0"/>
  </r>
  <r>
    <x v="0"/>
    <x v="5"/>
    <x v="64"/>
    <x v="17"/>
    <x v="57"/>
    <x v="10"/>
    <n v="0"/>
  </r>
  <r>
    <x v="0"/>
    <x v="5"/>
    <x v="64"/>
    <x v="18"/>
    <x v="57"/>
    <x v="10"/>
    <n v="0"/>
  </r>
  <r>
    <x v="0"/>
    <x v="5"/>
    <x v="64"/>
    <x v="19"/>
    <x v="57"/>
    <x v="10"/>
    <n v="0"/>
  </r>
  <r>
    <x v="0"/>
    <x v="5"/>
    <x v="64"/>
    <x v="20"/>
    <x v="57"/>
    <x v="10"/>
    <n v="0"/>
  </r>
  <r>
    <x v="0"/>
    <x v="5"/>
    <x v="64"/>
    <x v="21"/>
    <x v="57"/>
    <x v="10"/>
    <n v="0"/>
  </r>
  <r>
    <x v="0"/>
    <x v="5"/>
    <x v="64"/>
    <x v="22"/>
    <x v="57"/>
    <x v="10"/>
    <n v="0"/>
  </r>
  <r>
    <x v="0"/>
    <x v="5"/>
    <x v="64"/>
    <x v="23"/>
    <x v="57"/>
    <x v="10"/>
    <n v="0"/>
  </r>
  <r>
    <x v="0"/>
    <x v="5"/>
    <x v="64"/>
    <x v="24"/>
    <x v="57"/>
    <x v="10"/>
    <n v="0"/>
  </r>
  <r>
    <x v="0"/>
    <x v="5"/>
    <x v="64"/>
    <x v="25"/>
    <x v="57"/>
    <x v="10"/>
    <n v="0"/>
  </r>
  <r>
    <x v="0"/>
    <x v="5"/>
    <x v="64"/>
    <x v="26"/>
    <x v="57"/>
    <x v="10"/>
    <n v="0"/>
  </r>
  <r>
    <x v="0"/>
    <x v="5"/>
    <x v="64"/>
    <x v="27"/>
    <x v="57"/>
    <x v="10"/>
    <n v="0"/>
  </r>
  <r>
    <x v="0"/>
    <x v="5"/>
    <x v="64"/>
    <x v="28"/>
    <x v="57"/>
    <x v="10"/>
    <n v="0"/>
  </r>
  <r>
    <x v="0"/>
    <x v="5"/>
    <x v="64"/>
    <x v="29"/>
    <x v="57"/>
    <x v="10"/>
    <n v="0"/>
  </r>
  <r>
    <x v="0"/>
    <x v="5"/>
    <x v="64"/>
    <x v="30"/>
    <x v="57"/>
    <x v="10"/>
    <n v="0"/>
  </r>
  <r>
    <x v="0"/>
    <x v="5"/>
    <x v="64"/>
    <x v="31"/>
    <x v="57"/>
    <x v="10"/>
    <n v="0"/>
  </r>
  <r>
    <x v="0"/>
    <x v="5"/>
    <x v="64"/>
    <x v="32"/>
    <x v="57"/>
    <x v="10"/>
    <n v="0"/>
  </r>
  <r>
    <x v="0"/>
    <x v="5"/>
    <x v="64"/>
    <x v="33"/>
    <x v="57"/>
    <x v="10"/>
    <n v="0"/>
  </r>
  <r>
    <x v="0"/>
    <x v="5"/>
    <x v="64"/>
    <x v="34"/>
    <x v="57"/>
    <x v="10"/>
    <n v="0"/>
  </r>
  <r>
    <x v="0"/>
    <x v="5"/>
    <x v="64"/>
    <x v="35"/>
    <x v="57"/>
    <x v="10"/>
    <n v="0"/>
  </r>
  <r>
    <x v="0"/>
    <x v="5"/>
    <x v="64"/>
    <x v="36"/>
    <x v="57"/>
    <x v="10"/>
    <n v="0"/>
  </r>
  <r>
    <x v="0"/>
    <x v="5"/>
    <x v="64"/>
    <x v="37"/>
    <x v="57"/>
    <x v="10"/>
    <n v="0"/>
  </r>
  <r>
    <x v="0"/>
    <x v="5"/>
    <x v="64"/>
    <x v="38"/>
    <x v="57"/>
    <x v="10"/>
    <n v="0"/>
  </r>
  <r>
    <x v="0"/>
    <x v="5"/>
    <x v="64"/>
    <x v="39"/>
    <x v="57"/>
    <x v="10"/>
    <n v="0"/>
  </r>
  <r>
    <x v="0"/>
    <x v="5"/>
    <x v="64"/>
    <x v="40"/>
    <x v="57"/>
    <x v="10"/>
    <n v="0"/>
  </r>
  <r>
    <x v="0"/>
    <x v="5"/>
    <x v="64"/>
    <x v="41"/>
    <x v="57"/>
    <x v="10"/>
    <n v="0"/>
  </r>
  <r>
    <x v="0"/>
    <x v="5"/>
    <x v="65"/>
    <x v="48"/>
    <x v="58"/>
    <x v="11"/>
    <n v="1667.0876639420001"/>
  </r>
  <r>
    <x v="0"/>
    <x v="5"/>
    <x v="65"/>
    <x v="49"/>
    <x v="58"/>
    <x v="11"/>
    <n v="1609.7825712010001"/>
  </r>
  <r>
    <x v="0"/>
    <x v="5"/>
    <x v="66"/>
    <x v="48"/>
    <x v="58"/>
    <x v="12"/>
    <n v="6.4202558000000007E-2"/>
  </r>
  <r>
    <x v="0"/>
    <x v="5"/>
    <x v="66"/>
    <x v="49"/>
    <x v="58"/>
    <x v="12"/>
    <n v="6.1995635E-2"/>
  </r>
  <r>
    <x v="0"/>
    <x v="6"/>
    <x v="0"/>
    <x v="0"/>
    <x v="0"/>
    <x v="0"/>
    <n v="640.45758153500003"/>
  </r>
  <r>
    <x v="0"/>
    <x v="6"/>
    <x v="1"/>
    <x v="0"/>
    <x v="0"/>
    <x v="1"/>
    <n v="0.103361893"/>
  </r>
  <r>
    <x v="0"/>
    <x v="6"/>
    <x v="2"/>
    <x v="0"/>
    <x v="0"/>
    <x v="1"/>
    <n v="244.71174741300001"/>
  </r>
  <r>
    <x v="0"/>
    <x v="6"/>
    <x v="3"/>
    <x v="0"/>
    <x v="0"/>
    <x v="1"/>
    <n v="0.12599337899999999"/>
  </r>
  <r>
    <x v="0"/>
    <x v="6"/>
    <x v="0"/>
    <x v="1"/>
    <x v="0"/>
    <x v="0"/>
    <n v="199.25472487600001"/>
  </r>
  <r>
    <x v="0"/>
    <x v="6"/>
    <x v="1"/>
    <x v="1"/>
    <x v="0"/>
    <x v="1"/>
    <n v="5.7888137999999999E-2"/>
  </r>
  <r>
    <x v="0"/>
    <x v="6"/>
    <x v="2"/>
    <x v="1"/>
    <x v="0"/>
    <x v="1"/>
    <n v="121.433753901"/>
  </r>
  <r>
    <x v="0"/>
    <x v="6"/>
    <x v="3"/>
    <x v="1"/>
    <x v="0"/>
    <x v="1"/>
    <n v="7.3830866999999994E-2"/>
  </r>
  <r>
    <x v="0"/>
    <x v="6"/>
    <x v="0"/>
    <x v="2"/>
    <x v="0"/>
    <x v="0"/>
    <n v="220.87799210599999"/>
  </r>
  <r>
    <x v="0"/>
    <x v="6"/>
    <x v="1"/>
    <x v="2"/>
    <x v="0"/>
    <x v="1"/>
    <n v="3.6818757000000001E-2"/>
  </r>
  <r>
    <x v="0"/>
    <x v="6"/>
    <x v="2"/>
    <x v="2"/>
    <x v="0"/>
    <x v="1"/>
    <n v="126.60229465099999"/>
  </r>
  <r>
    <x v="0"/>
    <x v="6"/>
    <x v="3"/>
    <x v="2"/>
    <x v="0"/>
    <x v="1"/>
    <n v="2.6228833E-2"/>
  </r>
  <r>
    <x v="0"/>
    <x v="6"/>
    <x v="0"/>
    <x v="3"/>
    <x v="0"/>
    <x v="0"/>
    <n v="110.841121426"/>
  </r>
  <r>
    <x v="0"/>
    <x v="6"/>
    <x v="1"/>
    <x v="3"/>
    <x v="0"/>
    <x v="1"/>
    <n v="4.7501421000000002E-2"/>
  </r>
  <r>
    <x v="0"/>
    <x v="6"/>
    <x v="2"/>
    <x v="3"/>
    <x v="0"/>
    <x v="1"/>
    <n v="75.493215565"/>
  </r>
  <r>
    <x v="0"/>
    <x v="6"/>
    <x v="3"/>
    <x v="3"/>
    <x v="0"/>
    <x v="1"/>
    <n v="5.5685777999999998E-2"/>
  </r>
  <r>
    <x v="0"/>
    <x v="6"/>
    <x v="0"/>
    <x v="4"/>
    <x v="0"/>
    <x v="0"/>
    <n v="53.900048155"/>
  </r>
  <r>
    <x v="0"/>
    <x v="6"/>
    <x v="1"/>
    <x v="4"/>
    <x v="0"/>
    <x v="1"/>
    <n v="5.1590856999999997E-2"/>
  </r>
  <r>
    <x v="0"/>
    <x v="6"/>
    <x v="2"/>
    <x v="4"/>
    <x v="0"/>
    <x v="1"/>
    <n v="36.266950925000003"/>
  </r>
  <r>
    <x v="0"/>
    <x v="6"/>
    <x v="3"/>
    <x v="4"/>
    <x v="0"/>
    <x v="1"/>
    <n v="6.5204787E-2"/>
  </r>
  <r>
    <x v="0"/>
    <x v="6"/>
    <x v="0"/>
    <x v="5"/>
    <x v="0"/>
    <x v="0"/>
    <n v="557.61733180500005"/>
  </r>
  <r>
    <x v="0"/>
    <x v="6"/>
    <x v="1"/>
    <x v="5"/>
    <x v="0"/>
    <x v="1"/>
    <n v="7.0151930000000001E-2"/>
  </r>
  <r>
    <x v="0"/>
    <x v="6"/>
    <x v="2"/>
    <x v="5"/>
    <x v="0"/>
    <x v="1"/>
    <n v="465.93161369299997"/>
  </r>
  <r>
    <x v="0"/>
    <x v="6"/>
    <x v="3"/>
    <x v="5"/>
    <x v="0"/>
    <x v="1"/>
    <n v="4.4768529000000001E-2"/>
  </r>
  <r>
    <x v="0"/>
    <x v="6"/>
    <x v="0"/>
    <x v="6"/>
    <x v="0"/>
    <x v="0"/>
    <n v="169.07717927300001"/>
  </r>
  <r>
    <x v="0"/>
    <x v="6"/>
    <x v="1"/>
    <x v="6"/>
    <x v="0"/>
    <x v="1"/>
    <n v="6.4013635999999999E-2"/>
  </r>
  <r>
    <x v="0"/>
    <x v="6"/>
    <x v="2"/>
    <x v="6"/>
    <x v="0"/>
    <x v="1"/>
    <n v="141.519971583"/>
  </r>
  <r>
    <x v="0"/>
    <x v="6"/>
    <x v="3"/>
    <x v="6"/>
    <x v="0"/>
    <x v="1"/>
    <n v="6.0399597999999999E-2"/>
  </r>
  <r>
    <x v="0"/>
    <x v="6"/>
    <x v="0"/>
    <x v="7"/>
    <x v="0"/>
    <x v="0"/>
    <n v="116.884322328"/>
  </r>
  <r>
    <x v="0"/>
    <x v="6"/>
    <x v="1"/>
    <x v="7"/>
    <x v="0"/>
    <x v="1"/>
    <n v="6.1815664999999999E-2"/>
  </r>
  <r>
    <x v="0"/>
    <x v="6"/>
    <x v="2"/>
    <x v="7"/>
    <x v="0"/>
    <x v="1"/>
    <n v="95.072021086999996"/>
  </r>
  <r>
    <x v="0"/>
    <x v="6"/>
    <x v="3"/>
    <x v="7"/>
    <x v="0"/>
    <x v="1"/>
    <n v="7.1287694999999998E-2"/>
  </r>
  <r>
    <x v="0"/>
    <x v="6"/>
    <x v="0"/>
    <x v="8"/>
    <x v="0"/>
    <x v="0"/>
    <n v="83.761946241000004"/>
  </r>
  <r>
    <x v="0"/>
    <x v="6"/>
    <x v="1"/>
    <x v="8"/>
    <x v="0"/>
    <x v="1"/>
    <n v="5.8647191000000001E-2"/>
  </r>
  <r>
    <x v="0"/>
    <x v="6"/>
    <x v="2"/>
    <x v="8"/>
    <x v="0"/>
    <x v="1"/>
    <n v="68.394902419000005"/>
  </r>
  <r>
    <x v="0"/>
    <x v="6"/>
    <x v="3"/>
    <x v="8"/>
    <x v="0"/>
    <x v="1"/>
    <n v="5.7867064000000003E-2"/>
  </r>
  <r>
    <x v="0"/>
    <x v="6"/>
    <x v="0"/>
    <x v="9"/>
    <x v="0"/>
    <x v="0"/>
    <n v="201.35814535599999"/>
  </r>
  <r>
    <x v="0"/>
    <x v="6"/>
    <x v="1"/>
    <x v="9"/>
    <x v="0"/>
    <x v="1"/>
    <n v="5.2484144000000003E-2"/>
  </r>
  <r>
    <x v="0"/>
    <x v="6"/>
    <x v="2"/>
    <x v="9"/>
    <x v="0"/>
    <x v="1"/>
    <n v="161.23938159400001"/>
  </r>
  <r>
    <x v="0"/>
    <x v="6"/>
    <x v="3"/>
    <x v="9"/>
    <x v="0"/>
    <x v="1"/>
    <n v="6.2277913999999997E-2"/>
  </r>
  <r>
    <x v="0"/>
    <x v="6"/>
    <x v="0"/>
    <x v="10"/>
    <x v="0"/>
    <x v="0"/>
    <n v="311.07085300599999"/>
  </r>
  <r>
    <x v="0"/>
    <x v="6"/>
    <x v="1"/>
    <x v="10"/>
    <x v="0"/>
    <x v="1"/>
    <n v="3.7236953000000003E-2"/>
  </r>
  <r>
    <x v="0"/>
    <x v="6"/>
    <x v="2"/>
    <x v="10"/>
    <x v="0"/>
    <x v="1"/>
    <n v="284.953775855"/>
  </r>
  <r>
    <x v="0"/>
    <x v="6"/>
    <x v="3"/>
    <x v="10"/>
    <x v="0"/>
    <x v="1"/>
    <n v="4.4653376000000002E-2"/>
  </r>
  <r>
    <x v="0"/>
    <x v="6"/>
    <x v="0"/>
    <x v="11"/>
    <x v="0"/>
    <x v="0"/>
    <n v="803.11630165400004"/>
  </r>
  <r>
    <x v="0"/>
    <x v="6"/>
    <x v="1"/>
    <x v="11"/>
    <x v="0"/>
    <x v="1"/>
    <n v="4.6335952E-2"/>
  </r>
  <r>
    <x v="0"/>
    <x v="6"/>
    <x v="2"/>
    <x v="11"/>
    <x v="0"/>
    <x v="1"/>
    <n v="674.830871742"/>
  </r>
  <r>
    <x v="0"/>
    <x v="6"/>
    <x v="3"/>
    <x v="11"/>
    <x v="0"/>
    <x v="1"/>
    <n v="4.0625737000000002E-2"/>
  </r>
  <r>
    <x v="0"/>
    <x v="6"/>
    <x v="0"/>
    <x v="12"/>
    <x v="0"/>
    <x v="0"/>
    <n v="233.70189378000001"/>
  </r>
  <r>
    <x v="0"/>
    <x v="6"/>
    <x v="1"/>
    <x v="12"/>
    <x v="0"/>
    <x v="1"/>
    <n v="4.7201389000000003E-2"/>
  </r>
  <r>
    <x v="0"/>
    <x v="6"/>
    <x v="2"/>
    <x v="12"/>
    <x v="0"/>
    <x v="1"/>
    <n v="187.22806750399999"/>
  </r>
  <r>
    <x v="0"/>
    <x v="6"/>
    <x v="3"/>
    <x v="12"/>
    <x v="0"/>
    <x v="1"/>
    <n v="5.3166165000000001E-2"/>
  </r>
  <r>
    <x v="0"/>
    <x v="6"/>
    <x v="0"/>
    <x v="13"/>
    <x v="0"/>
    <x v="0"/>
    <n v="637.690018904"/>
  </r>
  <r>
    <x v="0"/>
    <x v="6"/>
    <x v="1"/>
    <x v="13"/>
    <x v="0"/>
    <x v="1"/>
    <n v="3.8388296000000002E-2"/>
  </r>
  <r>
    <x v="0"/>
    <x v="6"/>
    <x v="2"/>
    <x v="13"/>
    <x v="0"/>
    <x v="1"/>
    <n v="541.18778841300002"/>
  </r>
  <r>
    <x v="0"/>
    <x v="6"/>
    <x v="3"/>
    <x v="13"/>
    <x v="0"/>
    <x v="1"/>
    <n v="3.5152515000000002E-2"/>
  </r>
  <r>
    <x v="0"/>
    <x v="6"/>
    <x v="0"/>
    <x v="14"/>
    <x v="0"/>
    <x v="0"/>
    <n v="174.011225204"/>
  </r>
  <r>
    <x v="0"/>
    <x v="6"/>
    <x v="1"/>
    <x v="14"/>
    <x v="0"/>
    <x v="1"/>
    <n v="4.4007040999999997E-2"/>
  </r>
  <r>
    <x v="0"/>
    <x v="6"/>
    <x v="2"/>
    <x v="14"/>
    <x v="0"/>
    <x v="1"/>
    <n v="145.23359166500001"/>
  </r>
  <r>
    <x v="0"/>
    <x v="6"/>
    <x v="3"/>
    <x v="14"/>
    <x v="0"/>
    <x v="1"/>
    <n v="5.6645789000000002E-2"/>
  </r>
  <r>
    <x v="0"/>
    <x v="6"/>
    <x v="0"/>
    <x v="15"/>
    <x v="0"/>
    <x v="0"/>
    <n v="190.76132119799999"/>
  </r>
  <r>
    <x v="0"/>
    <x v="6"/>
    <x v="1"/>
    <x v="15"/>
    <x v="0"/>
    <x v="1"/>
    <n v="4.7049776000000001E-2"/>
  </r>
  <r>
    <x v="0"/>
    <x v="6"/>
    <x v="2"/>
    <x v="15"/>
    <x v="0"/>
    <x v="1"/>
    <n v="157.6047586"/>
  </r>
  <r>
    <x v="0"/>
    <x v="6"/>
    <x v="3"/>
    <x v="15"/>
    <x v="0"/>
    <x v="1"/>
    <n v="6.1710771999999997E-2"/>
  </r>
  <r>
    <x v="0"/>
    <x v="6"/>
    <x v="0"/>
    <x v="16"/>
    <x v="0"/>
    <x v="0"/>
    <n v="122.57373612000001"/>
  </r>
  <r>
    <x v="0"/>
    <x v="6"/>
    <x v="1"/>
    <x v="16"/>
    <x v="0"/>
    <x v="1"/>
    <n v="4.7678855999999999E-2"/>
  </r>
  <r>
    <x v="0"/>
    <x v="6"/>
    <x v="2"/>
    <x v="16"/>
    <x v="0"/>
    <x v="1"/>
    <n v="100.166153786"/>
  </r>
  <r>
    <x v="0"/>
    <x v="6"/>
    <x v="3"/>
    <x v="16"/>
    <x v="0"/>
    <x v="1"/>
    <n v="6.0913384000000001E-2"/>
  </r>
  <r>
    <x v="0"/>
    <x v="6"/>
    <x v="0"/>
    <x v="17"/>
    <x v="0"/>
    <x v="0"/>
    <n v="286.06958236600002"/>
  </r>
  <r>
    <x v="0"/>
    <x v="6"/>
    <x v="1"/>
    <x v="17"/>
    <x v="0"/>
    <x v="1"/>
    <n v="4.8156804999999997E-2"/>
  </r>
  <r>
    <x v="0"/>
    <x v="6"/>
    <x v="2"/>
    <x v="17"/>
    <x v="0"/>
    <x v="1"/>
    <n v="239.246401332"/>
  </r>
  <r>
    <x v="0"/>
    <x v="6"/>
    <x v="3"/>
    <x v="17"/>
    <x v="0"/>
    <x v="1"/>
    <n v="5.9025559999999998E-2"/>
  </r>
  <r>
    <x v="0"/>
    <x v="6"/>
    <x v="0"/>
    <x v="18"/>
    <x v="0"/>
    <x v="0"/>
    <n v="245.803190546"/>
  </r>
  <r>
    <x v="0"/>
    <x v="6"/>
    <x v="1"/>
    <x v="18"/>
    <x v="0"/>
    <x v="1"/>
    <n v="4.3723804999999998E-2"/>
  </r>
  <r>
    <x v="0"/>
    <x v="6"/>
    <x v="2"/>
    <x v="18"/>
    <x v="0"/>
    <x v="1"/>
    <n v="210.894164889"/>
  </r>
  <r>
    <x v="0"/>
    <x v="6"/>
    <x v="3"/>
    <x v="18"/>
    <x v="0"/>
    <x v="1"/>
    <n v="4.8837218000000002E-2"/>
  </r>
  <r>
    <x v="0"/>
    <x v="6"/>
    <x v="0"/>
    <x v="19"/>
    <x v="0"/>
    <x v="0"/>
    <n v="283.43834326299998"/>
  </r>
  <r>
    <x v="0"/>
    <x v="6"/>
    <x v="1"/>
    <x v="19"/>
    <x v="0"/>
    <x v="1"/>
    <n v="4.7578510999999997E-2"/>
  </r>
  <r>
    <x v="0"/>
    <x v="6"/>
    <x v="2"/>
    <x v="19"/>
    <x v="0"/>
    <x v="1"/>
    <n v="240.252732721"/>
  </r>
  <r>
    <x v="0"/>
    <x v="6"/>
    <x v="3"/>
    <x v="19"/>
    <x v="0"/>
    <x v="1"/>
    <n v="6.6637422000000002E-2"/>
  </r>
  <r>
    <x v="0"/>
    <x v="6"/>
    <x v="0"/>
    <x v="20"/>
    <x v="0"/>
    <x v="0"/>
    <n v="35.119100121000002"/>
  </r>
  <r>
    <x v="0"/>
    <x v="6"/>
    <x v="1"/>
    <x v="20"/>
    <x v="0"/>
    <x v="1"/>
    <n v="4.6500054999999998E-2"/>
  </r>
  <r>
    <x v="0"/>
    <x v="6"/>
    <x v="2"/>
    <x v="20"/>
    <x v="0"/>
    <x v="1"/>
    <n v="28.156658235999998"/>
  </r>
  <r>
    <x v="0"/>
    <x v="6"/>
    <x v="3"/>
    <x v="20"/>
    <x v="0"/>
    <x v="1"/>
    <n v="5.5382116000000002E-2"/>
  </r>
  <r>
    <x v="0"/>
    <x v="6"/>
    <x v="0"/>
    <x v="21"/>
    <x v="0"/>
    <x v="0"/>
    <n v="15.269313069000001"/>
  </r>
  <r>
    <x v="0"/>
    <x v="6"/>
    <x v="1"/>
    <x v="21"/>
    <x v="0"/>
    <x v="1"/>
    <n v="5.3596637000000003E-2"/>
  </r>
  <r>
    <x v="0"/>
    <x v="6"/>
    <x v="2"/>
    <x v="21"/>
    <x v="0"/>
    <x v="1"/>
    <n v="12.505942055"/>
  </r>
  <r>
    <x v="0"/>
    <x v="6"/>
    <x v="3"/>
    <x v="21"/>
    <x v="0"/>
    <x v="1"/>
    <n v="6.3761366999999999E-2"/>
  </r>
  <r>
    <x v="0"/>
    <x v="6"/>
    <x v="0"/>
    <x v="22"/>
    <x v="0"/>
    <x v="0"/>
    <n v="69.710072061000005"/>
  </r>
  <r>
    <x v="0"/>
    <x v="6"/>
    <x v="1"/>
    <x v="22"/>
    <x v="0"/>
    <x v="1"/>
    <n v="1.1207237E-2"/>
  </r>
  <r>
    <x v="0"/>
    <x v="6"/>
    <x v="2"/>
    <x v="22"/>
    <x v="0"/>
    <x v="1"/>
    <n v="16.752527021999999"/>
  </r>
  <r>
    <x v="0"/>
    <x v="6"/>
    <x v="3"/>
    <x v="22"/>
    <x v="0"/>
    <x v="1"/>
    <n v="2.5601180000000001E-3"/>
  </r>
  <r>
    <x v="0"/>
    <x v="6"/>
    <x v="0"/>
    <x v="23"/>
    <x v="0"/>
    <x v="0"/>
    <n v="6.7416786819999999"/>
  </r>
  <r>
    <x v="0"/>
    <x v="6"/>
    <x v="1"/>
    <x v="23"/>
    <x v="0"/>
    <x v="1"/>
    <n v="5.3961611999999999E-2"/>
  </r>
  <r>
    <x v="0"/>
    <x v="6"/>
    <x v="2"/>
    <x v="23"/>
    <x v="0"/>
    <x v="1"/>
    <n v="5.5595515950000003"/>
  </r>
  <r>
    <x v="0"/>
    <x v="6"/>
    <x v="3"/>
    <x v="23"/>
    <x v="0"/>
    <x v="1"/>
    <n v="9.8722117999999998E-2"/>
  </r>
  <r>
    <x v="0"/>
    <x v="6"/>
    <x v="0"/>
    <x v="24"/>
    <x v="0"/>
    <x v="0"/>
    <n v="359.65856732499998"/>
  </r>
  <r>
    <x v="0"/>
    <x v="6"/>
    <x v="1"/>
    <x v="24"/>
    <x v="0"/>
    <x v="1"/>
    <n v="4.1599678000000001E-2"/>
  </r>
  <r>
    <x v="0"/>
    <x v="6"/>
    <x v="2"/>
    <x v="24"/>
    <x v="0"/>
    <x v="1"/>
    <n v="282.07130645900003"/>
  </r>
  <r>
    <x v="0"/>
    <x v="6"/>
    <x v="3"/>
    <x v="24"/>
    <x v="0"/>
    <x v="1"/>
    <n v="3.1686669000000001E-2"/>
  </r>
  <r>
    <x v="0"/>
    <x v="6"/>
    <x v="0"/>
    <x v="25"/>
    <x v="0"/>
    <x v="0"/>
    <n v="21.293606342"/>
  </r>
  <r>
    <x v="0"/>
    <x v="6"/>
    <x v="1"/>
    <x v="25"/>
    <x v="0"/>
    <x v="1"/>
    <n v="3.5477650999999999E-2"/>
  </r>
  <r>
    <x v="0"/>
    <x v="6"/>
    <x v="2"/>
    <x v="25"/>
    <x v="0"/>
    <x v="1"/>
    <n v="17.157532603"/>
  </r>
  <r>
    <x v="0"/>
    <x v="6"/>
    <x v="3"/>
    <x v="25"/>
    <x v="0"/>
    <x v="1"/>
    <n v="2.8545930000000001E-2"/>
  </r>
  <r>
    <x v="0"/>
    <x v="6"/>
    <x v="0"/>
    <x v="26"/>
    <x v="0"/>
    <x v="0"/>
    <n v="9.1417887520000001"/>
  </r>
  <r>
    <x v="0"/>
    <x v="6"/>
    <x v="1"/>
    <x v="26"/>
    <x v="0"/>
    <x v="1"/>
    <n v="5.2732925999999999E-2"/>
  </r>
  <r>
    <x v="0"/>
    <x v="6"/>
    <x v="2"/>
    <x v="26"/>
    <x v="0"/>
    <x v="1"/>
    <n v="5.412438936"/>
  </r>
  <r>
    <x v="0"/>
    <x v="6"/>
    <x v="3"/>
    <x v="26"/>
    <x v="0"/>
    <x v="1"/>
    <n v="6.127788E-2"/>
  </r>
  <r>
    <x v="0"/>
    <x v="6"/>
    <x v="0"/>
    <x v="27"/>
    <x v="0"/>
    <x v="0"/>
    <n v="495.79992629700001"/>
  </r>
  <r>
    <x v="0"/>
    <x v="6"/>
    <x v="1"/>
    <x v="27"/>
    <x v="0"/>
    <x v="1"/>
    <n v="5.4287505E-2"/>
  </r>
  <r>
    <x v="0"/>
    <x v="6"/>
    <x v="2"/>
    <x v="27"/>
    <x v="0"/>
    <x v="1"/>
    <n v="382.47274138"/>
  </r>
  <r>
    <x v="0"/>
    <x v="6"/>
    <x v="3"/>
    <x v="27"/>
    <x v="0"/>
    <x v="1"/>
    <n v="8.3999515999999996E-2"/>
  </r>
  <r>
    <x v="0"/>
    <x v="6"/>
    <x v="0"/>
    <x v="28"/>
    <x v="0"/>
    <x v="0"/>
    <n v="534.47665449399994"/>
  </r>
  <r>
    <x v="0"/>
    <x v="6"/>
    <x v="1"/>
    <x v="28"/>
    <x v="0"/>
    <x v="1"/>
    <n v="4.4053385E-2"/>
  </r>
  <r>
    <x v="0"/>
    <x v="6"/>
    <x v="2"/>
    <x v="28"/>
    <x v="0"/>
    <x v="1"/>
    <n v="286.15892420900002"/>
  </r>
  <r>
    <x v="0"/>
    <x v="6"/>
    <x v="3"/>
    <x v="28"/>
    <x v="0"/>
    <x v="1"/>
    <n v="4.4545598999999998E-2"/>
  </r>
  <r>
    <x v="0"/>
    <x v="6"/>
    <x v="0"/>
    <x v="29"/>
    <x v="0"/>
    <x v="0"/>
    <n v="446.54404264099998"/>
  </r>
  <r>
    <x v="0"/>
    <x v="6"/>
    <x v="1"/>
    <x v="29"/>
    <x v="0"/>
    <x v="1"/>
    <n v="4.7934909999999997E-2"/>
  </r>
  <r>
    <x v="0"/>
    <x v="6"/>
    <x v="2"/>
    <x v="29"/>
    <x v="0"/>
    <x v="1"/>
    <n v="286.60882814600001"/>
  </r>
  <r>
    <x v="0"/>
    <x v="6"/>
    <x v="3"/>
    <x v="29"/>
    <x v="0"/>
    <x v="1"/>
    <n v="5.2247884000000001E-2"/>
  </r>
  <r>
    <x v="0"/>
    <x v="6"/>
    <x v="0"/>
    <x v="30"/>
    <x v="0"/>
    <x v="0"/>
    <n v="106.557677838"/>
  </r>
  <r>
    <x v="0"/>
    <x v="6"/>
    <x v="1"/>
    <x v="30"/>
    <x v="0"/>
    <x v="1"/>
    <n v="7.4650322000000005E-2"/>
  </r>
  <r>
    <x v="0"/>
    <x v="6"/>
    <x v="2"/>
    <x v="30"/>
    <x v="0"/>
    <x v="1"/>
    <n v="66.928676007999997"/>
  </r>
  <r>
    <x v="0"/>
    <x v="6"/>
    <x v="3"/>
    <x v="30"/>
    <x v="0"/>
    <x v="1"/>
    <n v="8.8280407000000005E-2"/>
  </r>
  <r>
    <x v="0"/>
    <x v="6"/>
    <x v="0"/>
    <x v="31"/>
    <x v="0"/>
    <x v="0"/>
    <n v="175.78791797400001"/>
  </r>
  <r>
    <x v="0"/>
    <x v="6"/>
    <x v="1"/>
    <x v="31"/>
    <x v="0"/>
    <x v="1"/>
    <n v="3.7338743000000001E-2"/>
  </r>
  <r>
    <x v="0"/>
    <x v="6"/>
    <x v="2"/>
    <x v="31"/>
    <x v="0"/>
    <x v="1"/>
    <n v="96.657718948999999"/>
  </r>
  <r>
    <x v="0"/>
    <x v="6"/>
    <x v="3"/>
    <x v="31"/>
    <x v="0"/>
    <x v="1"/>
    <n v="2.9413182E-2"/>
  </r>
  <r>
    <x v="0"/>
    <x v="6"/>
    <x v="0"/>
    <x v="32"/>
    <x v="0"/>
    <x v="0"/>
    <n v="553.41017874500005"/>
  </r>
  <r>
    <x v="0"/>
    <x v="6"/>
    <x v="1"/>
    <x v="32"/>
    <x v="0"/>
    <x v="1"/>
    <n v="3.9102996000000001E-2"/>
  </r>
  <r>
    <x v="0"/>
    <x v="6"/>
    <x v="2"/>
    <x v="32"/>
    <x v="0"/>
    <x v="1"/>
    <n v="260.30055276600001"/>
  </r>
  <r>
    <x v="0"/>
    <x v="6"/>
    <x v="3"/>
    <x v="32"/>
    <x v="0"/>
    <x v="1"/>
    <n v="3.3091042000000001E-2"/>
  </r>
  <r>
    <x v="0"/>
    <x v="6"/>
    <x v="0"/>
    <x v="33"/>
    <x v="0"/>
    <x v="0"/>
    <n v="571.02277961100003"/>
  </r>
  <r>
    <x v="0"/>
    <x v="6"/>
    <x v="1"/>
    <x v="33"/>
    <x v="0"/>
    <x v="1"/>
    <n v="2.3094183000000001E-2"/>
  </r>
  <r>
    <x v="0"/>
    <x v="6"/>
    <x v="2"/>
    <x v="33"/>
    <x v="0"/>
    <x v="1"/>
    <n v="220.00752812799999"/>
  </r>
  <r>
    <x v="0"/>
    <x v="6"/>
    <x v="3"/>
    <x v="33"/>
    <x v="0"/>
    <x v="1"/>
    <n v="1.0858332E-2"/>
  </r>
  <r>
    <x v="0"/>
    <x v="6"/>
    <x v="0"/>
    <x v="34"/>
    <x v="0"/>
    <x v="0"/>
    <n v="267.77957663699999"/>
  </r>
  <r>
    <x v="0"/>
    <x v="6"/>
    <x v="1"/>
    <x v="34"/>
    <x v="0"/>
    <x v="1"/>
    <n v="5.1720335999999999E-2"/>
  </r>
  <r>
    <x v="0"/>
    <x v="6"/>
    <x v="2"/>
    <x v="34"/>
    <x v="0"/>
    <x v="1"/>
    <n v="189.27855235000001"/>
  </r>
  <r>
    <x v="0"/>
    <x v="6"/>
    <x v="3"/>
    <x v="34"/>
    <x v="0"/>
    <x v="1"/>
    <n v="5.9640709E-2"/>
  </r>
  <r>
    <x v="0"/>
    <x v="6"/>
    <x v="0"/>
    <x v="35"/>
    <x v="0"/>
    <x v="0"/>
    <n v="192.73892945"/>
  </r>
  <r>
    <x v="0"/>
    <x v="6"/>
    <x v="1"/>
    <x v="35"/>
    <x v="0"/>
    <x v="1"/>
    <n v="5.3999851000000001E-2"/>
  </r>
  <r>
    <x v="0"/>
    <x v="6"/>
    <x v="2"/>
    <x v="35"/>
    <x v="0"/>
    <x v="1"/>
    <n v="126.539971694"/>
  </r>
  <r>
    <x v="0"/>
    <x v="6"/>
    <x v="3"/>
    <x v="35"/>
    <x v="0"/>
    <x v="1"/>
    <n v="6.4261499E-2"/>
  </r>
  <r>
    <x v="0"/>
    <x v="6"/>
    <x v="0"/>
    <x v="36"/>
    <x v="0"/>
    <x v="0"/>
    <n v="57.195839929000002"/>
  </r>
  <r>
    <x v="0"/>
    <x v="6"/>
    <x v="1"/>
    <x v="36"/>
    <x v="0"/>
    <x v="1"/>
    <n v="5.9239172E-2"/>
  </r>
  <r>
    <x v="0"/>
    <x v="6"/>
    <x v="2"/>
    <x v="36"/>
    <x v="0"/>
    <x v="1"/>
    <n v="33.786929694000001"/>
  </r>
  <r>
    <x v="0"/>
    <x v="6"/>
    <x v="3"/>
    <x v="36"/>
    <x v="0"/>
    <x v="1"/>
    <n v="6.6783208999999996E-2"/>
  </r>
  <r>
    <x v="0"/>
    <x v="6"/>
    <x v="0"/>
    <x v="37"/>
    <x v="0"/>
    <x v="0"/>
    <n v="76.940630713000004"/>
  </r>
  <r>
    <x v="0"/>
    <x v="6"/>
    <x v="1"/>
    <x v="37"/>
    <x v="0"/>
    <x v="1"/>
    <n v="6.6762867000000004E-2"/>
  </r>
  <r>
    <x v="0"/>
    <x v="6"/>
    <x v="2"/>
    <x v="37"/>
    <x v="0"/>
    <x v="1"/>
    <n v="40.436922627000001"/>
  </r>
  <r>
    <x v="0"/>
    <x v="6"/>
    <x v="3"/>
    <x v="37"/>
    <x v="0"/>
    <x v="1"/>
    <n v="8.8787197999999998E-2"/>
  </r>
  <r>
    <x v="0"/>
    <x v="6"/>
    <x v="0"/>
    <x v="38"/>
    <x v="0"/>
    <x v="0"/>
    <n v="182.45571378"/>
  </r>
  <r>
    <x v="0"/>
    <x v="6"/>
    <x v="1"/>
    <x v="38"/>
    <x v="0"/>
    <x v="1"/>
    <n v="9.4151621000000005E-2"/>
  </r>
  <r>
    <x v="0"/>
    <x v="6"/>
    <x v="2"/>
    <x v="38"/>
    <x v="0"/>
    <x v="1"/>
    <n v="49.275651600000003"/>
  </r>
  <r>
    <x v="0"/>
    <x v="6"/>
    <x v="3"/>
    <x v="38"/>
    <x v="0"/>
    <x v="1"/>
    <n v="0.109484621"/>
  </r>
  <r>
    <x v="0"/>
    <x v="6"/>
    <x v="0"/>
    <x v="39"/>
    <x v="0"/>
    <x v="0"/>
    <n v="99.104976045000001"/>
  </r>
  <r>
    <x v="0"/>
    <x v="6"/>
    <x v="1"/>
    <x v="39"/>
    <x v="0"/>
    <x v="1"/>
    <n v="7.2515921999999997E-2"/>
  </r>
  <r>
    <x v="0"/>
    <x v="6"/>
    <x v="2"/>
    <x v="39"/>
    <x v="0"/>
    <x v="1"/>
    <n v="56.721184491999999"/>
  </r>
  <r>
    <x v="0"/>
    <x v="6"/>
    <x v="3"/>
    <x v="39"/>
    <x v="0"/>
    <x v="1"/>
    <n v="0.106308897"/>
  </r>
  <r>
    <x v="0"/>
    <x v="6"/>
    <x v="0"/>
    <x v="40"/>
    <x v="0"/>
    <x v="0"/>
    <n v="43.735024180000003"/>
  </r>
  <r>
    <x v="0"/>
    <x v="6"/>
    <x v="1"/>
    <x v="40"/>
    <x v="0"/>
    <x v="1"/>
    <n v="5.9256027000000003E-2"/>
  </r>
  <r>
    <x v="0"/>
    <x v="6"/>
    <x v="2"/>
    <x v="40"/>
    <x v="0"/>
    <x v="1"/>
    <n v="23.440089078"/>
  </r>
  <r>
    <x v="0"/>
    <x v="6"/>
    <x v="3"/>
    <x v="40"/>
    <x v="0"/>
    <x v="1"/>
    <n v="6.5879967999999997E-2"/>
  </r>
  <r>
    <x v="0"/>
    <x v="6"/>
    <x v="0"/>
    <x v="41"/>
    <x v="0"/>
    <x v="0"/>
    <n v="413.74658961599999"/>
  </r>
  <r>
    <x v="0"/>
    <x v="6"/>
    <x v="1"/>
    <x v="41"/>
    <x v="0"/>
    <x v="1"/>
    <n v="8.7497936999999998E-2"/>
  </r>
  <r>
    <x v="0"/>
    <x v="6"/>
    <x v="2"/>
    <x v="41"/>
    <x v="0"/>
    <x v="1"/>
    <n v="166.50017950599999"/>
  </r>
  <r>
    <x v="0"/>
    <x v="6"/>
    <x v="3"/>
    <x v="41"/>
    <x v="0"/>
    <x v="1"/>
    <n v="0.110936852"/>
  </r>
  <r>
    <x v="0"/>
    <x v="6"/>
    <x v="4"/>
    <x v="0"/>
    <x v="1"/>
    <x v="0"/>
    <n v="164.70899075700001"/>
  </r>
  <r>
    <x v="0"/>
    <x v="6"/>
    <x v="5"/>
    <x v="0"/>
    <x v="1"/>
    <x v="1"/>
    <n v="1.0899E-4"/>
  </r>
  <r>
    <x v="0"/>
    <x v="6"/>
    <x v="6"/>
    <x v="0"/>
    <x v="1"/>
    <x v="1"/>
    <n v="0.47657682800000001"/>
  </r>
  <r>
    <x v="0"/>
    <x v="6"/>
    <x v="4"/>
    <x v="1"/>
    <x v="1"/>
    <x v="0"/>
    <n v="241.937922353"/>
  </r>
  <r>
    <x v="0"/>
    <x v="6"/>
    <x v="5"/>
    <x v="1"/>
    <x v="1"/>
    <x v="1"/>
    <n v="1.29636E-4"/>
  </r>
  <r>
    <x v="0"/>
    <x v="6"/>
    <x v="6"/>
    <x v="1"/>
    <x v="1"/>
    <x v="1"/>
    <n v="0.47657682800000001"/>
  </r>
  <r>
    <x v="0"/>
    <x v="6"/>
    <x v="4"/>
    <x v="2"/>
    <x v="1"/>
    <x v="0"/>
    <n v="368.29558121000002"/>
  </r>
  <r>
    <x v="0"/>
    <x v="6"/>
    <x v="5"/>
    <x v="2"/>
    <x v="1"/>
    <x v="1"/>
    <n v="3.0109599999999999E-4"/>
  </r>
  <r>
    <x v="0"/>
    <x v="6"/>
    <x v="6"/>
    <x v="2"/>
    <x v="1"/>
    <x v="1"/>
    <n v="0.47657682800000001"/>
  </r>
  <r>
    <x v="0"/>
    <x v="6"/>
    <x v="4"/>
    <x v="3"/>
    <x v="1"/>
    <x v="0"/>
    <n v="141.9128973"/>
  </r>
  <r>
    <x v="0"/>
    <x v="6"/>
    <x v="5"/>
    <x v="3"/>
    <x v="1"/>
    <x v="1"/>
    <n v="1.1579899999999999E-4"/>
  </r>
  <r>
    <x v="0"/>
    <x v="6"/>
    <x v="6"/>
    <x v="3"/>
    <x v="1"/>
    <x v="1"/>
    <n v="0.47657682800000001"/>
  </r>
  <r>
    <x v="0"/>
    <x v="6"/>
    <x v="4"/>
    <x v="4"/>
    <x v="1"/>
    <x v="0"/>
    <n v="63.690207764999997"/>
  </r>
  <r>
    <x v="0"/>
    <x v="6"/>
    <x v="5"/>
    <x v="4"/>
    <x v="1"/>
    <x v="1"/>
    <n v="1.14219E-4"/>
  </r>
  <r>
    <x v="0"/>
    <x v="6"/>
    <x v="6"/>
    <x v="4"/>
    <x v="1"/>
    <x v="1"/>
    <n v="0.47657682800000001"/>
  </r>
  <r>
    <x v="0"/>
    <x v="6"/>
    <x v="4"/>
    <x v="5"/>
    <x v="1"/>
    <x v="0"/>
    <n v="483.45716588200003"/>
  </r>
  <r>
    <x v="0"/>
    <x v="6"/>
    <x v="5"/>
    <x v="5"/>
    <x v="1"/>
    <x v="1"/>
    <n v="5.7151000000000002E-5"/>
  </r>
  <r>
    <x v="0"/>
    <x v="6"/>
    <x v="6"/>
    <x v="5"/>
    <x v="1"/>
    <x v="1"/>
    <n v="0.47657682800000001"/>
  </r>
  <r>
    <x v="0"/>
    <x v="6"/>
    <x v="4"/>
    <x v="6"/>
    <x v="1"/>
    <x v="0"/>
    <n v="139.495337436"/>
  </r>
  <r>
    <x v="0"/>
    <x v="6"/>
    <x v="5"/>
    <x v="6"/>
    <x v="1"/>
    <x v="1"/>
    <n v="3.6575000000000001E-5"/>
  </r>
  <r>
    <x v="0"/>
    <x v="6"/>
    <x v="6"/>
    <x v="6"/>
    <x v="1"/>
    <x v="1"/>
    <n v="0.47657682800000001"/>
  </r>
  <r>
    <x v="0"/>
    <x v="6"/>
    <x v="4"/>
    <x v="7"/>
    <x v="1"/>
    <x v="0"/>
    <n v="101.472239313"/>
  </r>
  <r>
    <x v="0"/>
    <x v="6"/>
    <x v="5"/>
    <x v="7"/>
    <x v="1"/>
    <x v="1"/>
    <n v="2.9264E-5"/>
  </r>
  <r>
    <x v="0"/>
    <x v="6"/>
    <x v="6"/>
    <x v="7"/>
    <x v="1"/>
    <x v="1"/>
    <n v="0.47657682800000001"/>
  </r>
  <r>
    <x v="0"/>
    <x v="6"/>
    <x v="4"/>
    <x v="8"/>
    <x v="1"/>
    <x v="0"/>
    <n v="81.611596973999994"/>
  </r>
  <r>
    <x v="0"/>
    <x v="6"/>
    <x v="5"/>
    <x v="8"/>
    <x v="1"/>
    <x v="1"/>
    <n v="3.3764999999999999E-5"/>
  </r>
  <r>
    <x v="0"/>
    <x v="6"/>
    <x v="6"/>
    <x v="8"/>
    <x v="1"/>
    <x v="1"/>
    <n v="0.47657682800000001"/>
  </r>
  <r>
    <x v="0"/>
    <x v="6"/>
    <x v="4"/>
    <x v="9"/>
    <x v="1"/>
    <x v="0"/>
    <n v="165.95335466700001"/>
  </r>
  <r>
    <x v="0"/>
    <x v="6"/>
    <x v="5"/>
    <x v="9"/>
    <x v="1"/>
    <x v="1"/>
    <n v="7.5947999999999999E-5"/>
  </r>
  <r>
    <x v="0"/>
    <x v="6"/>
    <x v="6"/>
    <x v="9"/>
    <x v="1"/>
    <x v="1"/>
    <n v="0.47657682800000001"/>
  </r>
  <r>
    <x v="0"/>
    <x v="6"/>
    <x v="4"/>
    <x v="10"/>
    <x v="1"/>
    <x v="0"/>
    <n v="125.87482906699999"/>
  </r>
  <r>
    <x v="0"/>
    <x v="6"/>
    <x v="5"/>
    <x v="10"/>
    <x v="1"/>
    <x v="1"/>
    <n v="8.2712000000000004E-5"/>
  </r>
  <r>
    <x v="0"/>
    <x v="6"/>
    <x v="6"/>
    <x v="10"/>
    <x v="1"/>
    <x v="1"/>
    <n v="0.47657682800000001"/>
  </r>
  <r>
    <x v="0"/>
    <x v="6"/>
    <x v="4"/>
    <x v="11"/>
    <x v="1"/>
    <x v="0"/>
    <n v="690.63129196900002"/>
  </r>
  <r>
    <x v="0"/>
    <x v="6"/>
    <x v="5"/>
    <x v="11"/>
    <x v="1"/>
    <x v="1"/>
    <n v="5.9545E-5"/>
  </r>
  <r>
    <x v="0"/>
    <x v="6"/>
    <x v="6"/>
    <x v="11"/>
    <x v="1"/>
    <x v="1"/>
    <n v="0.47657682800000001"/>
  </r>
  <r>
    <x v="0"/>
    <x v="6"/>
    <x v="4"/>
    <x v="12"/>
    <x v="1"/>
    <x v="0"/>
    <n v="248.16237256799999"/>
  </r>
  <r>
    <x v="0"/>
    <x v="6"/>
    <x v="5"/>
    <x v="12"/>
    <x v="1"/>
    <x v="1"/>
    <n v="4.0179999999999998E-5"/>
  </r>
  <r>
    <x v="0"/>
    <x v="6"/>
    <x v="6"/>
    <x v="12"/>
    <x v="1"/>
    <x v="1"/>
    <n v="0.47657682800000001"/>
  </r>
  <r>
    <x v="0"/>
    <x v="6"/>
    <x v="4"/>
    <x v="13"/>
    <x v="1"/>
    <x v="0"/>
    <n v="580.55101633100003"/>
  </r>
  <r>
    <x v="0"/>
    <x v="6"/>
    <x v="5"/>
    <x v="13"/>
    <x v="1"/>
    <x v="1"/>
    <n v="4.3652000000000002E-5"/>
  </r>
  <r>
    <x v="0"/>
    <x v="6"/>
    <x v="6"/>
    <x v="13"/>
    <x v="1"/>
    <x v="1"/>
    <n v="0.47657682800000001"/>
  </r>
  <r>
    <x v="0"/>
    <x v="6"/>
    <x v="4"/>
    <x v="14"/>
    <x v="1"/>
    <x v="0"/>
    <n v="142.52903006"/>
  </r>
  <r>
    <x v="0"/>
    <x v="6"/>
    <x v="5"/>
    <x v="14"/>
    <x v="1"/>
    <x v="1"/>
    <n v="4.7221000000000001E-5"/>
  </r>
  <r>
    <x v="0"/>
    <x v="6"/>
    <x v="6"/>
    <x v="14"/>
    <x v="1"/>
    <x v="1"/>
    <n v="0.47657682800000001"/>
  </r>
  <r>
    <x v="0"/>
    <x v="6"/>
    <x v="4"/>
    <x v="15"/>
    <x v="1"/>
    <x v="0"/>
    <n v="166.62293446300001"/>
  </r>
  <r>
    <x v="0"/>
    <x v="6"/>
    <x v="5"/>
    <x v="15"/>
    <x v="1"/>
    <x v="1"/>
    <n v="3.5420999999999998E-5"/>
  </r>
  <r>
    <x v="0"/>
    <x v="6"/>
    <x v="6"/>
    <x v="15"/>
    <x v="1"/>
    <x v="1"/>
    <n v="0.47657682800000001"/>
  </r>
  <r>
    <x v="0"/>
    <x v="6"/>
    <x v="4"/>
    <x v="16"/>
    <x v="1"/>
    <x v="0"/>
    <n v="121.196468532"/>
  </r>
  <r>
    <x v="0"/>
    <x v="6"/>
    <x v="5"/>
    <x v="16"/>
    <x v="1"/>
    <x v="1"/>
    <n v="2.7327000000000001E-5"/>
  </r>
  <r>
    <x v="0"/>
    <x v="6"/>
    <x v="6"/>
    <x v="16"/>
    <x v="1"/>
    <x v="1"/>
    <n v="0.47657682800000001"/>
  </r>
  <r>
    <x v="0"/>
    <x v="6"/>
    <x v="4"/>
    <x v="17"/>
    <x v="1"/>
    <x v="0"/>
    <n v="246.08867765700001"/>
  </r>
  <r>
    <x v="0"/>
    <x v="6"/>
    <x v="5"/>
    <x v="17"/>
    <x v="1"/>
    <x v="1"/>
    <n v="3.3454999999999997E-5"/>
  </r>
  <r>
    <x v="0"/>
    <x v="6"/>
    <x v="6"/>
    <x v="17"/>
    <x v="1"/>
    <x v="1"/>
    <n v="0.47657682800000001"/>
  </r>
  <r>
    <x v="0"/>
    <x v="6"/>
    <x v="4"/>
    <x v="18"/>
    <x v="1"/>
    <x v="0"/>
    <n v="197.578160602"/>
  </r>
  <r>
    <x v="0"/>
    <x v="6"/>
    <x v="5"/>
    <x v="18"/>
    <x v="1"/>
    <x v="1"/>
    <n v="3.7367000000000003E-5"/>
  </r>
  <r>
    <x v="0"/>
    <x v="6"/>
    <x v="6"/>
    <x v="18"/>
    <x v="1"/>
    <x v="1"/>
    <n v="0.47657682800000001"/>
  </r>
  <r>
    <x v="0"/>
    <x v="6"/>
    <x v="4"/>
    <x v="19"/>
    <x v="1"/>
    <x v="0"/>
    <n v="205.552182644"/>
  </r>
  <r>
    <x v="0"/>
    <x v="6"/>
    <x v="5"/>
    <x v="19"/>
    <x v="1"/>
    <x v="1"/>
    <n v="3.4480000000000002E-5"/>
  </r>
  <r>
    <x v="0"/>
    <x v="6"/>
    <x v="6"/>
    <x v="19"/>
    <x v="1"/>
    <x v="1"/>
    <n v="0.47657682800000001"/>
  </r>
  <r>
    <x v="0"/>
    <x v="6"/>
    <x v="4"/>
    <x v="20"/>
    <x v="1"/>
    <x v="0"/>
    <n v="32.417241546"/>
  </r>
  <r>
    <x v="0"/>
    <x v="6"/>
    <x v="5"/>
    <x v="20"/>
    <x v="1"/>
    <x v="1"/>
    <n v="6.4018999999999998E-5"/>
  </r>
  <r>
    <x v="0"/>
    <x v="6"/>
    <x v="6"/>
    <x v="20"/>
    <x v="1"/>
    <x v="1"/>
    <n v="0.47657682800000001"/>
  </r>
  <r>
    <x v="0"/>
    <x v="6"/>
    <x v="4"/>
    <x v="21"/>
    <x v="1"/>
    <x v="0"/>
    <n v="11.824103305"/>
  </r>
  <r>
    <x v="0"/>
    <x v="6"/>
    <x v="5"/>
    <x v="21"/>
    <x v="1"/>
    <x v="1"/>
    <n v="6.1520999999999996E-5"/>
  </r>
  <r>
    <x v="0"/>
    <x v="6"/>
    <x v="6"/>
    <x v="21"/>
    <x v="1"/>
    <x v="1"/>
    <n v="0.47657682800000001"/>
  </r>
  <r>
    <x v="0"/>
    <x v="6"/>
    <x v="4"/>
    <x v="22"/>
    <x v="1"/>
    <x v="0"/>
    <n v="209.933008296"/>
  </r>
  <r>
    <x v="0"/>
    <x v="6"/>
    <x v="5"/>
    <x v="22"/>
    <x v="1"/>
    <x v="1"/>
    <n v="8.9431999999999993E-5"/>
  </r>
  <r>
    <x v="0"/>
    <x v="6"/>
    <x v="6"/>
    <x v="22"/>
    <x v="1"/>
    <x v="1"/>
    <n v="0.47657682800000001"/>
  </r>
  <r>
    <x v="0"/>
    <x v="6"/>
    <x v="4"/>
    <x v="23"/>
    <x v="1"/>
    <x v="0"/>
    <n v="2.3614360109999999"/>
  </r>
  <r>
    <x v="0"/>
    <x v="6"/>
    <x v="5"/>
    <x v="23"/>
    <x v="1"/>
    <x v="1"/>
    <n v="9.8901999999999996E-5"/>
  </r>
  <r>
    <x v="0"/>
    <x v="6"/>
    <x v="6"/>
    <x v="23"/>
    <x v="1"/>
    <x v="1"/>
    <n v="0.47657682800000001"/>
  </r>
  <r>
    <x v="0"/>
    <x v="6"/>
    <x v="4"/>
    <x v="24"/>
    <x v="1"/>
    <x v="0"/>
    <n v="430.88527507399999"/>
  </r>
  <r>
    <x v="0"/>
    <x v="6"/>
    <x v="5"/>
    <x v="24"/>
    <x v="1"/>
    <x v="1"/>
    <n v="6.4899000000000003E-5"/>
  </r>
  <r>
    <x v="0"/>
    <x v="6"/>
    <x v="6"/>
    <x v="24"/>
    <x v="1"/>
    <x v="1"/>
    <n v="0.47657682800000001"/>
  </r>
  <r>
    <x v="0"/>
    <x v="6"/>
    <x v="4"/>
    <x v="25"/>
    <x v="1"/>
    <x v="0"/>
    <n v="24.392657405000001"/>
  </r>
  <r>
    <x v="0"/>
    <x v="6"/>
    <x v="5"/>
    <x v="25"/>
    <x v="1"/>
    <x v="1"/>
    <n v="5.3604999999999999E-5"/>
  </r>
  <r>
    <x v="0"/>
    <x v="6"/>
    <x v="6"/>
    <x v="25"/>
    <x v="1"/>
    <x v="1"/>
    <n v="0.47657682800000001"/>
  </r>
  <r>
    <x v="0"/>
    <x v="6"/>
    <x v="4"/>
    <x v="26"/>
    <x v="1"/>
    <x v="0"/>
    <n v="17.438586197999999"/>
  </r>
  <r>
    <x v="0"/>
    <x v="6"/>
    <x v="5"/>
    <x v="26"/>
    <x v="1"/>
    <x v="1"/>
    <n v="4.8399999999999997E-5"/>
  </r>
  <r>
    <x v="0"/>
    <x v="6"/>
    <x v="6"/>
    <x v="26"/>
    <x v="1"/>
    <x v="1"/>
    <n v="0.47657682800000001"/>
  </r>
  <r>
    <x v="0"/>
    <x v="6"/>
    <x v="4"/>
    <x v="27"/>
    <x v="1"/>
    <x v="0"/>
    <n v="439.16591309900002"/>
  </r>
  <r>
    <x v="0"/>
    <x v="6"/>
    <x v="5"/>
    <x v="27"/>
    <x v="1"/>
    <x v="1"/>
    <n v="2.6318000000000001E-5"/>
  </r>
  <r>
    <x v="0"/>
    <x v="6"/>
    <x v="6"/>
    <x v="27"/>
    <x v="1"/>
    <x v="1"/>
    <n v="0.47657682800000001"/>
  </r>
  <r>
    <x v="0"/>
    <x v="6"/>
    <x v="4"/>
    <x v="28"/>
    <x v="1"/>
    <x v="0"/>
    <n v="1224.2135024659999"/>
  </r>
  <r>
    <x v="0"/>
    <x v="6"/>
    <x v="5"/>
    <x v="28"/>
    <x v="1"/>
    <x v="1"/>
    <n v="7.5675999999999998E-5"/>
  </r>
  <r>
    <x v="0"/>
    <x v="6"/>
    <x v="6"/>
    <x v="28"/>
    <x v="1"/>
    <x v="1"/>
    <n v="0.47657682800000001"/>
  </r>
  <r>
    <x v="0"/>
    <x v="6"/>
    <x v="4"/>
    <x v="29"/>
    <x v="1"/>
    <x v="0"/>
    <n v="733.91881741500003"/>
  </r>
  <r>
    <x v="0"/>
    <x v="6"/>
    <x v="5"/>
    <x v="29"/>
    <x v="1"/>
    <x v="1"/>
    <n v="7.7092E-5"/>
  </r>
  <r>
    <x v="0"/>
    <x v="6"/>
    <x v="6"/>
    <x v="29"/>
    <x v="1"/>
    <x v="1"/>
    <n v="0.47657682800000001"/>
  </r>
  <r>
    <x v="0"/>
    <x v="6"/>
    <x v="4"/>
    <x v="30"/>
    <x v="1"/>
    <x v="0"/>
    <n v="125.74960298000001"/>
  </r>
  <r>
    <x v="0"/>
    <x v="6"/>
    <x v="5"/>
    <x v="30"/>
    <x v="1"/>
    <x v="1"/>
    <n v="4.1866000000000002E-5"/>
  </r>
  <r>
    <x v="0"/>
    <x v="6"/>
    <x v="6"/>
    <x v="30"/>
    <x v="1"/>
    <x v="1"/>
    <n v="0.47657682800000001"/>
  </r>
  <r>
    <x v="0"/>
    <x v="6"/>
    <x v="4"/>
    <x v="31"/>
    <x v="1"/>
    <x v="0"/>
    <n v="457.99597292700003"/>
  </r>
  <r>
    <x v="0"/>
    <x v="6"/>
    <x v="5"/>
    <x v="31"/>
    <x v="1"/>
    <x v="1"/>
    <n v="5.7083000000000002E-5"/>
  </r>
  <r>
    <x v="0"/>
    <x v="6"/>
    <x v="6"/>
    <x v="31"/>
    <x v="1"/>
    <x v="1"/>
    <n v="0.47657682800000001"/>
  </r>
  <r>
    <x v="0"/>
    <x v="6"/>
    <x v="4"/>
    <x v="32"/>
    <x v="1"/>
    <x v="0"/>
    <n v="1446.926140029"/>
  </r>
  <r>
    <x v="0"/>
    <x v="6"/>
    <x v="5"/>
    <x v="32"/>
    <x v="1"/>
    <x v="1"/>
    <n v="1.02056E-4"/>
  </r>
  <r>
    <x v="0"/>
    <x v="6"/>
    <x v="6"/>
    <x v="32"/>
    <x v="1"/>
    <x v="1"/>
    <n v="0.47657682800000001"/>
  </r>
  <r>
    <x v="0"/>
    <x v="6"/>
    <x v="4"/>
    <x v="33"/>
    <x v="1"/>
    <x v="0"/>
    <n v="1652.030945037"/>
  </r>
  <r>
    <x v="0"/>
    <x v="6"/>
    <x v="5"/>
    <x v="33"/>
    <x v="1"/>
    <x v="1"/>
    <n v="1.2222900000000001E-4"/>
  </r>
  <r>
    <x v="0"/>
    <x v="6"/>
    <x v="6"/>
    <x v="33"/>
    <x v="1"/>
    <x v="1"/>
    <n v="0.47657682800000001"/>
  </r>
  <r>
    <x v="0"/>
    <x v="6"/>
    <x v="4"/>
    <x v="34"/>
    <x v="1"/>
    <x v="0"/>
    <n v="317.91149035400002"/>
  </r>
  <r>
    <x v="0"/>
    <x v="6"/>
    <x v="5"/>
    <x v="34"/>
    <x v="1"/>
    <x v="1"/>
    <n v="9.3811E-5"/>
  </r>
  <r>
    <x v="0"/>
    <x v="6"/>
    <x v="6"/>
    <x v="34"/>
    <x v="1"/>
    <x v="1"/>
    <n v="0.47657682800000001"/>
  </r>
  <r>
    <x v="0"/>
    <x v="6"/>
    <x v="4"/>
    <x v="35"/>
    <x v="1"/>
    <x v="0"/>
    <n v="252.66903136299999"/>
  </r>
  <r>
    <x v="0"/>
    <x v="6"/>
    <x v="5"/>
    <x v="35"/>
    <x v="1"/>
    <x v="1"/>
    <n v="9.5614999999999998E-5"/>
  </r>
  <r>
    <x v="0"/>
    <x v="6"/>
    <x v="6"/>
    <x v="35"/>
    <x v="1"/>
    <x v="1"/>
    <n v="0.47657682800000001"/>
  </r>
  <r>
    <x v="0"/>
    <x v="6"/>
    <x v="4"/>
    <x v="36"/>
    <x v="1"/>
    <x v="0"/>
    <n v="79.487204313000007"/>
  </r>
  <r>
    <x v="0"/>
    <x v="6"/>
    <x v="5"/>
    <x v="36"/>
    <x v="1"/>
    <x v="1"/>
    <n v="1.3549300000000001E-4"/>
  </r>
  <r>
    <x v="0"/>
    <x v="6"/>
    <x v="6"/>
    <x v="36"/>
    <x v="1"/>
    <x v="1"/>
    <n v="0.47657682800000001"/>
  </r>
  <r>
    <x v="0"/>
    <x v="6"/>
    <x v="4"/>
    <x v="37"/>
    <x v="1"/>
    <x v="0"/>
    <n v="111.037837506"/>
  </r>
  <r>
    <x v="0"/>
    <x v="6"/>
    <x v="5"/>
    <x v="37"/>
    <x v="1"/>
    <x v="1"/>
    <n v="4.7587999999999999E-5"/>
  </r>
  <r>
    <x v="0"/>
    <x v="6"/>
    <x v="6"/>
    <x v="37"/>
    <x v="1"/>
    <x v="1"/>
    <n v="0.47657682800000001"/>
  </r>
  <r>
    <x v="0"/>
    <x v="6"/>
    <x v="4"/>
    <x v="38"/>
    <x v="1"/>
    <x v="0"/>
    <n v="171.66693216799999"/>
  </r>
  <r>
    <x v="0"/>
    <x v="6"/>
    <x v="5"/>
    <x v="38"/>
    <x v="1"/>
    <x v="1"/>
    <n v="1.3457000000000001E-4"/>
  </r>
  <r>
    <x v="0"/>
    <x v="6"/>
    <x v="6"/>
    <x v="38"/>
    <x v="1"/>
    <x v="1"/>
    <n v="0.47657682800000001"/>
  </r>
  <r>
    <x v="0"/>
    <x v="6"/>
    <x v="4"/>
    <x v="39"/>
    <x v="1"/>
    <x v="0"/>
    <n v="79.160801101999994"/>
  </r>
  <r>
    <x v="0"/>
    <x v="6"/>
    <x v="5"/>
    <x v="39"/>
    <x v="1"/>
    <x v="1"/>
    <n v="4.8819000000000001E-5"/>
  </r>
  <r>
    <x v="0"/>
    <x v="6"/>
    <x v="6"/>
    <x v="39"/>
    <x v="1"/>
    <x v="1"/>
    <n v="0.47657682800000001"/>
  </r>
  <r>
    <x v="0"/>
    <x v="6"/>
    <x v="4"/>
    <x v="40"/>
    <x v="1"/>
    <x v="0"/>
    <n v="83.254525551"/>
  </r>
  <r>
    <x v="0"/>
    <x v="6"/>
    <x v="5"/>
    <x v="40"/>
    <x v="1"/>
    <x v="1"/>
    <n v="6.5553000000000001E-5"/>
  </r>
  <r>
    <x v="0"/>
    <x v="6"/>
    <x v="6"/>
    <x v="40"/>
    <x v="1"/>
    <x v="1"/>
    <n v="0.47657682800000001"/>
  </r>
  <r>
    <x v="0"/>
    <x v="6"/>
    <x v="4"/>
    <x v="41"/>
    <x v="1"/>
    <x v="0"/>
    <n v="251.773262587"/>
  </r>
  <r>
    <x v="0"/>
    <x v="6"/>
    <x v="5"/>
    <x v="41"/>
    <x v="1"/>
    <x v="1"/>
    <n v="2.7761700000000002E-4"/>
  </r>
  <r>
    <x v="0"/>
    <x v="6"/>
    <x v="6"/>
    <x v="41"/>
    <x v="1"/>
    <x v="1"/>
    <n v="0.47657682800000001"/>
  </r>
  <r>
    <x v="0"/>
    <x v="6"/>
    <x v="7"/>
    <x v="0"/>
    <x v="2"/>
    <x v="2"/>
    <n v="391.782558924"/>
  </r>
  <r>
    <x v="0"/>
    <x v="6"/>
    <x v="7"/>
    <x v="1"/>
    <x v="2"/>
    <x v="2"/>
    <n v="45.885414713999999"/>
  </r>
  <r>
    <x v="0"/>
    <x v="6"/>
    <x v="7"/>
    <x v="2"/>
    <x v="2"/>
    <x v="2"/>
    <n v="19.546827001"/>
  </r>
  <r>
    <x v="0"/>
    <x v="6"/>
    <x v="7"/>
    <x v="3"/>
    <x v="2"/>
    <x v="2"/>
    <n v="15.820502442"/>
  </r>
  <r>
    <x v="0"/>
    <x v="6"/>
    <x v="7"/>
    <x v="4"/>
    <x v="2"/>
    <x v="2"/>
    <n v="9.2129833510000001"/>
  </r>
  <r>
    <x v="0"/>
    <x v="6"/>
    <x v="7"/>
    <x v="5"/>
    <x v="2"/>
    <x v="2"/>
    <n v="33.266687488000002"/>
  </r>
  <r>
    <x v="0"/>
    <x v="6"/>
    <x v="7"/>
    <x v="6"/>
    <x v="2"/>
    <x v="2"/>
    <n v="13.415329998000001"/>
  </r>
  <r>
    <x v="0"/>
    <x v="6"/>
    <x v="7"/>
    <x v="7"/>
    <x v="2"/>
    <x v="2"/>
    <n v="12.478280259"/>
  </r>
  <r>
    <x v="0"/>
    <x v="6"/>
    <x v="7"/>
    <x v="8"/>
    <x v="2"/>
    <x v="2"/>
    <n v="7.1769248440000002"/>
  </r>
  <r>
    <x v="0"/>
    <x v="6"/>
    <x v="7"/>
    <x v="9"/>
    <x v="2"/>
    <x v="2"/>
    <n v="20.077145069"/>
  </r>
  <r>
    <x v="0"/>
    <x v="6"/>
    <x v="7"/>
    <x v="10"/>
    <x v="2"/>
    <x v="2"/>
    <n v="9.431197397"/>
  </r>
  <r>
    <x v="0"/>
    <x v="6"/>
    <x v="7"/>
    <x v="11"/>
    <x v="2"/>
    <x v="2"/>
    <n v="42.309262257999997"/>
  </r>
  <r>
    <x v="0"/>
    <x v="6"/>
    <x v="7"/>
    <x v="12"/>
    <x v="2"/>
    <x v="2"/>
    <n v="19.975913290000001"/>
  </r>
  <r>
    <x v="0"/>
    <x v="6"/>
    <x v="7"/>
    <x v="13"/>
    <x v="2"/>
    <x v="2"/>
    <n v="27.665258068"/>
  </r>
  <r>
    <x v="0"/>
    <x v="6"/>
    <x v="7"/>
    <x v="14"/>
    <x v="2"/>
    <x v="2"/>
    <n v="13.151572621"/>
  </r>
  <r>
    <x v="0"/>
    <x v="6"/>
    <x v="7"/>
    <x v="15"/>
    <x v="2"/>
    <x v="2"/>
    <n v="16.483104988000001"/>
  </r>
  <r>
    <x v="0"/>
    <x v="6"/>
    <x v="7"/>
    <x v="16"/>
    <x v="2"/>
    <x v="2"/>
    <n v="11.005338375999999"/>
  </r>
  <r>
    <x v="0"/>
    <x v="6"/>
    <x v="7"/>
    <x v="17"/>
    <x v="2"/>
    <x v="2"/>
    <n v="22.294334198000001"/>
  </r>
  <r>
    <x v="0"/>
    <x v="6"/>
    <x v="7"/>
    <x v="18"/>
    <x v="2"/>
    <x v="2"/>
    <n v="13.815176534000001"/>
  </r>
  <r>
    <x v="0"/>
    <x v="6"/>
    <x v="7"/>
    <x v="19"/>
    <x v="2"/>
    <x v="2"/>
    <n v="23.133834361000002"/>
  </r>
  <r>
    <x v="0"/>
    <x v="6"/>
    <x v="7"/>
    <x v="20"/>
    <x v="2"/>
    <x v="2"/>
    <n v="3.1091335450000002"/>
  </r>
  <r>
    <x v="0"/>
    <x v="6"/>
    <x v="7"/>
    <x v="21"/>
    <x v="2"/>
    <x v="2"/>
    <n v="1.4160785789999999"/>
  </r>
  <r>
    <x v="0"/>
    <x v="6"/>
    <x v="7"/>
    <x v="22"/>
    <x v="2"/>
    <x v="2"/>
    <n v="1.019261494"/>
  </r>
  <r>
    <x v="0"/>
    <x v="6"/>
    <x v="7"/>
    <x v="23"/>
    <x v="2"/>
    <x v="2"/>
    <n v="0.92520631099999995"/>
  </r>
  <r>
    <x v="0"/>
    <x v="6"/>
    <x v="7"/>
    <x v="24"/>
    <x v="2"/>
    <x v="2"/>
    <n v="20.02698208"/>
  </r>
  <r>
    <x v="0"/>
    <x v="6"/>
    <x v="7"/>
    <x v="25"/>
    <x v="2"/>
    <x v="2"/>
    <n v="0.96483517299999999"/>
  </r>
  <r>
    <x v="0"/>
    <x v="6"/>
    <x v="7"/>
    <x v="26"/>
    <x v="2"/>
    <x v="2"/>
    <n v="1.839867624"/>
  </r>
  <r>
    <x v="0"/>
    <x v="6"/>
    <x v="7"/>
    <x v="27"/>
    <x v="2"/>
    <x v="2"/>
    <n v="76.000371154999996"/>
  </r>
  <r>
    <x v="0"/>
    <x v="6"/>
    <x v="7"/>
    <x v="28"/>
    <x v="2"/>
    <x v="2"/>
    <n v="89.511396090999995"/>
  </r>
  <r>
    <x v="0"/>
    <x v="6"/>
    <x v="7"/>
    <x v="29"/>
    <x v="2"/>
    <x v="2"/>
    <n v="67.405302332000005"/>
  </r>
  <r>
    <x v="0"/>
    <x v="6"/>
    <x v="7"/>
    <x v="30"/>
    <x v="2"/>
    <x v="2"/>
    <n v="27.870638530000001"/>
  </r>
  <r>
    <x v="0"/>
    <x v="6"/>
    <x v="7"/>
    <x v="31"/>
    <x v="2"/>
    <x v="2"/>
    <n v="19.001222073000001"/>
  </r>
  <r>
    <x v="0"/>
    <x v="6"/>
    <x v="7"/>
    <x v="32"/>
    <x v="2"/>
    <x v="2"/>
    <n v="78.602679941999995"/>
  </r>
  <r>
    <x v="0"/>
    <x v="6"/>
    <x v="7"/>
    <x v="33"/>
    <x v="2"/>
    <x v="2"/>
    <n v="30.535610286000001"/>
  </r>
  <r>
    <x v="0"/>
    <x v="6"/>
    <x v="7"/>
    <x v="34"/>
    <x v="2"/>
    <x v="2"/>
    <n v="37.623610544999998"/>
  </r>
  <r>
    <x v="0"/>
    <x v="6"/>
    <x v="7"/>
    <x v="35"/>
    <x v="2"/>
    <x v="2"/>
    <n v="34.126529380999997"/>
  </r>
  <r>
    <x v="0"/>
    <x v="6"/>
    <x v="7"/>
    <x v="36"/>
    <x v="2"/>
    <x v="2"/>
    <n v="12.509611134"/>
  </r>
  <r>
    <x v="0"/>
    <x v="6"/>
    <x v="7"/>
    <x v="37"/>
    <x v="2"/>
    <x v="2"/>
    <n v="25.811147625"/>
  </r>
  <r>
    <x v="0"/>
    <x v="6"/>
    <x v="7"/>
    <x v="38"/>
    <x v="2"/>
    <x v="2"/>
    <n v="115.15305866999999"/>
  </r>
  <r>
    <x v="0"/>
    <x v="6"/>
    <x v="7"/>
    <x v="39"/>
    <x v="2"/>
    <x v="2"/>
    <n v="35.654307420000002"/>
  </r>
  <r>
    <x v="0"/>
    <x v="6"/>
    <x v="7"/>
    <x v="40"/>
    <x v="2"/>
    <x v="2"/>
    <n v="10.734469234000001"/>
  </r>
  <r>
    <x v="0"/>
    <x v="6"/>
    <x v="7"/>
    <x v="41"/>
    <x v="2"/>
    <x v="2"/>
    <n v="216.28243761499999"/>
  </r>
  <r>
    <x v="0"/>
    <x v="6"/>
    <x v="8"/>
    <x v="0"/>
    <x v="2"/>
    <x v="3"/>
    <n v="6.4554574000000003E-2"/>
  </r>
  <r>
    <x v="0"/>
    <x v="6"/>
    <x v="8"/>
    <x v="1"/>
    <x v="2"/>
    <x v="3"/>
    <n v="6.4554574000000003E-2"/>
  </r>
  <r>
    <x v="0"/>
    <x v="6"/>
    <x v="8"/>
    <x v="2"/>
    <x v="2"/>
    <x v="3"/>
    <n v="6.4554574000000003E-2"/>
  </r>
  <r>
    <x v="0"/>
    <x v="6"/>
    <x v="8"/>
    <x v="3"/>
    <x v="2"/>
    <x v="3"/>
    <n v="6.4554574000000003E-2"/>
  </r>
  <r>
    <x v="0"/>
    <x v="6"/>
    <x v="8"/>
    <x v="4"/>
    <x v="2"/>
    <x v="3"/>
    <n v="6.4554574000000003E-2"/>
  </r>
  <r>
    <x v="0"/>
    <x v="6"/>
    <x v="8"/>
    <x v="5"/>
    <x v="2"/>
    <x v="3"/>
    <n v="6.4554574000000003E-2"/>
  </r>
  <r>
    <x v="0"/>
    <x v="6"/>
    <x v="8"/>
    <x v="6"/>
    <x v="2"/>
    <x v="3"/>
    <n v="6.4554574000000003E-2"/>
  </r>
  <r>
    <x v="0"/>
    <x v="6"/>
    <x v="8"/>
    <x v="7"/>
    <x v="2"/>
    <x v="3"/>
    <n v="6.4554574000000003E-2"/>
  </r>
  <r>
    <x v="0"/>
    <x v="6"/>
    <x v="8"/>
    <x v="8"/>
    <x v="2"/>
    <x v="3"/>
    <n v="6.4554574000000003E-2"/>
  </r>
  <r>
    <x v="0"/>
    <x v="6"/>
    <x v="8"/>
    <x v="9"/>
    <x v="2"/>
    <x v="3"/>
    <n v="6.4554574000000003E-2"/>
  </r>
  <r>
    <x v="0"/>
    <x v="6"/>
    <x v="8"/>
    <x v="10"/>
    <x v="2"/>
    <x v="3"/>
    <n v="6.4554574000000003E-2"/>
  </r>
  <r>
    <x v="0"/>
    <x v="6"/>
    <x v="8"/>
    <x v="11"/>
    <x v="2"/>
    <x v="3"/>
    <n v="6.4554574000000003E-2"/>
  </r>
  <r>
    <x v="0"/>
    <x v="6"/>
    <x v="8"/>
    <x v="12"/>
    <x v="2"/>
    <x v="3"/>
    <n v="6.4554574000000003E-2"/>
  </r>
  <r>
    <x v="0"/>
    <x v="6"/>
    <x v="8"/>
    <x v="13"/>
    <x v="2"/>
    <x v="3"/>
    <n v="6.4554574000000003E-2"/>
  </r>
  <r>
    <x v="0"/>
    <x v="6"/>
    <x v="8"/>
    <x v="14"/>
    <x v="2"/>
    <x v="3"/>
    <n v="6.4554574000000003E-2"/>
  </r>
  <r>
    <x v="0"/>
    <x v="6"/>
    <x v="8"/>
    <x v="15"/>
    <x v="2"/>
    <x v="3"/>
    <n v="6.4554574000000003E-2"/>
  </r>
  <r>
    <x v="0"/>
    <x v="6"/>
    <x v="8"/>
    <x v="16"/>
    <x v="2"/>
    <x v="3"/>
    <n v="6.4554574000000003E-2"/>
  </r>
  <r>
    <x v="0"/>
    <x v="6"/>
    <x v="8"/>
    <x v="17"/>
    <x v="2"/>
    <x v="3"/>
    <n v="6.4554574000000003E-2"/>
  </r>
  <r>
    <x v="0"/>
    <x v="6"/>
    <x v="8"/>
    <x v="18"/>
    <x v="2"/>
    <x v="3"/>
    <n v="6.4554574000000003E-2"/>
  </r>
  <r>
    <x v="0"/>
    <x v="6"/>
    <x v="8"/>
    <x v="19"/>
    <x v="2"/>
    <x v="3"/>
    <n v="6.4554574000000003E-2"/>
  </r>
  <r>
    <x v="0"/>
    <x v="6"/>
    <x v="8"/>
    <x v="20"/>
    <x v="2"/>
    <x v="3"/>
    <n v="6.4554574000000003E-2"/>
  </r>
  <r>
    <x v="0"/>
    <x v="6"/>
    <x v="8"/>
    <x v="21"/>
    <x v="2"/>
    <x v="3"/>
    <n v="6.4554574000000003E-2"/>
  </r>
  <r>
    <x v="0"/>
    <x v="6"/>
    <x v="8"/>
    <x v="22"/>
    <x v="2"/>
    <x v="3"/>
    <n v="6.4554574000000003E-2"/>
  </r>
  <r>
    <x v="0"/>
    <x v="6"/>
    <x v="8"/>
    <x v="23"/>
    <x v="2"/>
    <x v="3"/>
    <n v="6.4554574000000003E-2"/>
  </r>
  <r>
    <x v="0"/>
    <x v="6"/>
    <x v="8"/>
    <x v="24"/>
    <x v="2"/>
    <x v="3"/>
    <n v="6.4554574000000003E-2"/>
  </r>
  <r>
    <x v="0"/>
    <x v="6"/>
    <x v="8"/>
    <x v="25"/>
    <x v="2"/>
    <x v="3"/>
    <n v="6.4554574000000003E-2"/>
  </r>
  <r>
    <x v="0"/>
    <x v="6"/>
    <x v="8"/>
    <x v="26"/>
    <x v="2"/>
    <x v="3"/>
    <n v="6.4554574000000003E-2"/>
  </r>
  <r>
    <x v="0"/>
    <x v="6"/>
    <x v="8"/>
    <x v="27"/>
    <x v="2"/>
    <x v="3"/>
    <n v="6.4554574000000003E-2"/>
  </r>
  <r>
    <x v="0"/>
    <x v="6"/>
    <x v="8"/>
    <x v="28"/>
    <x v="2"/>
    <x v="3"/>
    <n v="6.4554574000000003E-2"/>
  </r>
  <r>
    <x v="0"/>
    <x v="6"/>
    <x v="8"/>
    <x v="29"/>
    <x v="2"/>
    <x v="3"/>
    <n v="6.4554574000000003E-2"/>
  </r>
  <r>
    <x v="0"/>
    <x v="6"/>
    <x v="8"/>
    <x v="30"/>
    <x v="2"/>
    <x v="3"/>
    <n v="6.4554574000000003E-2"/>
  </r>
  <r>
    <x v="0"/>
    <x v="6"/>
    <x v="8"/>
    <x v="31"/>
    <x v="2"/>
    <x v="3"/>
    <n v="6.4554574000000003E-2"/>
  </r>
  <r>
    <x v="0"/>
    <x v="6"/>
    <x v="8"/>
    <x v="32"/>
    <x v="2"/>
    <x v="3"/>
    <n v="6.4554574000000003E-2"/>
  </r>
  <r>
    <x v="0"/>
    <x v="6"/>
    <x v="8"/>
    <x v="33"/>
    <x v="2"/>
    <x v="3"/>
    <n v="6.4554574000000003E-2"/>
  </r>
  <r>
    <x v="0"/>
    <x v="6"/>
    <x v="8"/>
    <x v="34"/>
    <x v="2"/>
    <x v="3"/>
    <n v="6.4554574000000003E-2"/>
  </r>
  <r>
    <x v="0"/>
    <x v="6"/>
    <x v="8"/>
    <x v="35"/>
    <x v="2"/>
    <x v="3"/>
    <n v="6.4554574000000003E-2"/>
  </r>
  <r>
    <x v="0"/>
    <x v="6"/>
    <x v="8"/>
    <x v="36"/>
    <x v="2"/>
    <x v="3"/>
    <n v="6.4554574000000003E-2"/>
  </r>
  <r>
    <x v="0"/>
    <x v="6"/>
    <x v="8"/>
    <x v="37"/>
    <x v="2"/>
    <x v="3"/>
    <n v="6.4554574000000003E-2"/>
  </r>
  <r>
    <x v="0"/>
    <x v="6"/>
    <x v="8"/>
    <x v="38"/>
    <x v="2"/>
    <x v="3"/>
    <n v="6.4554574000000003E-2"/>
  </r>
  <r>
    <x v="0"/>
    <x v="6"/>
    <x v="8"/>
    <x v="39"/>
    <x v="2"/>
    <x v="3"/>
    <n v="6.4554574000000003E-2"/>
  </r>
  <r>
    <x v="0"/>
    <x v="6"/>
    <x v="8"/>
    <x v="40"/>
    <x v="2"/>
    <x v="3"/>
    <n v="6.4554574000000003E-2"/>
  </r>
  <r>
    <x v="0"/>
    <x v="6"/>
    <x v="8"/>
    <x v="41"/>
    <x v="2"/>
    <x v="3"/>
    <n v="6.4554574000000003E-2"/>
  </r>
  <r>
    <x v="0"/>
    <x v="6"/>
    <x v="7"/>
    <x v="0"/>
    <x v="3"/>
    <x v="2"/>
    <n v="393.743792197"/>
  </r>
  <r>
    <x v="0"/>
    <x v="6"/>
    <x v="7"/>
    <x v="1"/>
    <x v="3"/>
    <x v="2"/>
    <n v="44.135922180000001"/>
  </r>
  <r>
    <x v="0"/>
    <x v="6"/>
    <x v="7"/>
    <x v="2"/>
    <x v="3"/>
    <x v="2"/>
    <n v="17.641010808000001"/>
  </r>
  <r>
    <x v="0"/>
    <x v="6"/>
    <x v="7"/>
    <x v="3"/>
    <x v="3"/>
    <x v="2"/>
    <n v="14.925036039"/>
  </r>
  <r>
    <x v="0"/>
    <x v="6"/>
    <x v="7"/>
    <x v="4"/>
    <x v="3"/>
    <x v="2"/>
    <n v="8.7842854520000007"/>
  </r>
  <r>
    <x v="0"/>
    <x v="6"/>
    <x v="7"/>
    <x v="5"/>
    <x v="3"/>
    <x v="2"/>
    <n v="30.943400141000001"/>
  </r>
  <r>
    <x v="0"/>
    <x v="6"/>
    <x v="7"/>
    <x v="6"/>
    <x v="3"/>
    <x v="2"/>
    <n v="12.72257881"/>
  </r>
  <r>
    <x v="0"/>
    <x v="6"/>
    <x v="7"/>
    <x v="7"/>
    <x v="3"/>
    <x v="2"/>
    <n v="11.970883247"/>
  </r>
  <r>
    <x v="0"/>
    <x v="6"/>
    <x v="7"/>
    <x v="8"/>
    <x v="3"/>
    <x v="2"/>
    <n v="6.7866909020000001"/>
  </r>
  <r>
    <x v="0"/>
    <x v="6"/>
    <x v="7"/>
    <x v="9"/>
    <x v="3"/>
    <x v="2"/>
    <n v="19.081551118"/>
  </r>
  <r>
    <x v="0"/>
    <x v="6"/>
    <x v="7"/>
    <x v="10"/>
    <x v="3"/>
    <x v="2"/>
    <n v="8.7719349270000002"/>
  </r>
  <r>
    <x v="0"/>
    <x v="6"/>
    <x v="7"/>
    <x v="11"/>
    <x v="3"/>
    <x v="2"/>
    <n v="39.119473554000002"/>
  </r>
  <r>
    <x v="0"/>
    <x v="6"/>
    <x v="7"/>
    <x v="12"/>
    <x v="3"/>
    <x v="2"/>
    <n v="18.784703012000001"/>
  </r>
  <r>
    <x v="0"/>
    <x v="6"/>
    <x v="7"/>
    <x v="13"/>
    <x v="3"/>
    <x v="2"/>
    <n v="25.355227254999999"/>
  </r>
  <r>
    <x v="0"/>
    <x v="6"/>
    <x v="7"/>
    <x v="14"/>
    <x v="3"/>
    <x v="2"/>
    <n v="12.419250792"/>
  </r>
  <r>
    <x v="0"/>
    <x v="6"/>
    <x v="7"/>
    <x v="15"/>
    <x v="3"/>
    <x v="2"/>
    <n v="15.654707576"/>
  </r>
  <r>
    <x v="0"/>
    <x v="6"/>
    <x v="7"/>
    <x v="16"/>
    <x v="3"/>
    <x v="2"/>
    <n v="10.442799601999999"/>
  </r>
  <r>
    <x v="0"/>
    <x v="6"/>
    <x v="7"/>
    <x v="17"/>
    <x v="3"/>
    <x v="2"/>
    <n v="21.110130139999999"/>
  </r>
  <r>
    <x v="0"/>
    <x v="6"/>
    <x v="7"/>
    <x v="18"/>
    <x v="3"/>
    <x v="2"/>
    <n v="12.920198196999999"/>
  </r>
  <r>
    <x v="0"/>
    <x v="6"/>
    <x v="7"/>
    <x v="19"/>
    <x v="3"/>
    <x v="2"/>
    <n v="22.087833692"/>
  </r>
  <r>
    <x v="0"/>
    <x v="6"/>
    <x v="7"/>
    <x v="20"/>
    <x v="3"/>
    <x v="2"/>
    <n v="2.9317539639999999"/>
  </r>
  <r>
    <x v="0"/>
    <x v="6"/>
    <x v="7"/>
    <x v="21"/>
    <x v="3"/>
    <x v="2"/>
    <n v="1.347991562"/>
  </r>
  <r>
    <x v="0"/>
    <x v="6"/>
    <x v="7"/>
    <x v="22"/>
    <x v="3"/>
    <x v="2"/>
    <n v="0.81796989099999995"/>
  </r>
  <r>
    <x v="0"/>
    <x v="6"/>
    <x v="7"/>
    <x v="23"/>
    <x v="3"/>
    <x v="2"/>
    <n v="0.90998135800000002"/>
  </r>
  <r>
    <x v="0"/>
    <x v="6"/>
    <x v="7"/>
    <x v="24"/>
    <x v="3"/>
    <x v="2"/>
    <n v="18.245171218999999"/>
  </r>
  <r>
    <x v="0"/>
    <x v="6"/>
    <x v="7"/>
    <x v="25"/>
    <x v="3"/>
    <x v="2"/>
    <n v="0.87363717799999996"/>
  </r>
  <r>
    <x v="0"/>
    <x v="6"/>
    <x v="7"/>
    <x v="26"/>
    <x v="3"/>
    <x v="2"/>
    <n v="1.7466133800000001"/>
  </r>
  <r>
    <x v="0"/>
    <x v="6"/>
    <x v="7"/>
    <x v="27"/>
    <x v="3"/>
    <x v="2"/>
    <n v="73.797941456000004"/>
  </r>
  <r>
    <x v="0"/>
    <x v="6"/>
    <x v="7"/>
    <x v="28"/>
    <x v="3"/>
    <x v="2"/>
    <n v="83.239774389000004"/>
  </r>
  <r>
    <x v="0"/>
    <x v="6"/>
    <x v="7"/>
    <x v="29"/>
    <x v="3"/>
    <x v="2"/>
    <n v="63.320540618000003"/>
  </r>
  <r>
    <x v="0"/>
    <x v="6"/>
    <x v="7"/>
    <x v="30"/>
    <x v="3"/>
    <x v="2"/>
    <n v="27.16722017"/>
  </r>
  <r>
    <x v="0"/>
    <x v="6"/>
    <x v="7"/>
    <x v="31"/>
    <x v="3"/>
    <x v="2"/>
    <n v="17.235261924"/>
  </r>
  <r>
    <x v="0"/>
    <x v="6"/>
    <x v="7"/>
    <x v="32"/>
    <x v="3"/>
    <x v="2"/>
    <n v="71.805709214999993"/>
  </r>
  <r>
    <x v="0"/>
    <x v="6"/>
    <x v="7"/>
    <x v="33"/>
    <x v="3"/>
    <x v="2"/>
    <n v="26.273611303999999"/>
  </r>
  <r>
    <x v="0"/>
    <x v="6"/>
    <x v="7"/>
    <x v="34"/>
    <x v="3"/>
    <x v="2"/>
    <n v="35.654610505999997"/>
  </r>
  <r>
    <x v="0"/>
    <x v="6"/>
    <x v="7"/>
    <x v="35"/>
    <x v="3"/>
    <x v="2"/>
    <n v="32.504996507000001"/>
  </r>
  <r>
    <x v="0"/>
    <x v="6"/>
    <x v="7"/>
    <x v="36"/>
    <x v="3"/>
    <x v="2"/>
    <n v="11.947637572"/>
  </r>
  <r>
    <x v="0"/>
    <x v="6"/>
    <x v="7"/>
    <x v="37"/>
    <x v="3"/>
    <x v="2"/>
    <n v="25.171044072000001"/>
  </r>
  <r>
    <x v="0"/>
    <x v="6"/>
    <x v="7"/>
    <x v="38"/>
    <x v="3"/>
    <x v="2"/>
    <n v="114.254933114"/>
  </r>
  <r>
    <x v="0"/>
    <x v="6"/>
    <x v="7"/>
    <x v="39"/>
    <x v="3"/>
    <x v="2"/>
    <n v="35.285819492999998"/>
  </r>
  <r>
    <x v="0"/>
    <x v="6"/>
    <x v="7"/>
    <x v="40"/>
    <x v="3"/>
    <x v="2"/>
    <n v="10.241505004"/>
  </r>
  <r>
    <x v="0"/>
    <x v="6"/>
    <x v="7"/>
    <x v="41"/>
    <x v="3"/>
    <x v="2"/>
    <n v="214.84624834799999"/>
  </r>
  <r>
    <x v="0"/>
    <x v="6"/>
    <x v="8"/>
    <x v="0"/>
    <x v="3"/>
    <x v="3"/>
    <n v="6.2355388999999997E-2"/>
  </r>
  <r>
    <x v="0"/>
    <x v="6"/>
    <x v="8"/>
    <x v="1"/>
    <x v="3"/>
    <x v="3"/>
    <n v="6.2355388999999997E-2"/>
  </r>
  <r>
    <x v="0"/>
    <x v="6"/>
    <x v="8"/>
    <x v="2"/>
    <x v="3"/>
    <x v="3"/>
    <n v="6.2355388999999997E-2"/>
  </r>
  <r>
    <x v="0"/>
    <x v="6"/>
    <x v="8"/>
    <x v="3"/>
    <x v="3"/>
    <x v="3"/>
    <n v="6.2355388999999997E-2"/>
  </r>
  <r>
    <x v="0"/>
    <x v="6"/>
    <x v="8"/>
    <x v="4"/>
    <x v="3"/>
    <x v="3"/>
    <n v="6.2355388999999997E-2"/>
  </r>
  <r>
    <x v="0"/>
    <x v="6"/>
    <x v="8"/>
    <x v="5"/>
    <x v="3"/>
    <x v="3"/>
    <n v="6.2355388999999997E-2"/>
  </r>
  <r>
    <x v="0"/>
    <x v="6"/>
    <x v="8"/>
    <x v="6"/>
    <x v="3"/>
    <x v="3"/>
    <n v="6.2355388999999997E-2"/>
  </r>
  <r>
    <x v="0"/>
    <x v="6"/>
    <x v="8"/>
    <x v="7"/>
    <x v="3"/>
    <x v="3"/>
    <n v="6.2355388999999997E-2"/>
  </r>
  <r>
    <x v="0"/>
    <x v="6"/>
    <x v="8"/>
    <x v="8"/>
    <x v="3"/>
    <x v="3"/>
    <n v="6.2355388999999997E-2"/>
  </r>
  <r>
    <x v="0"/>
    <x v="6"/>
    <x v="8"/>
    <x v="9"/>
    <x v="3"/>
    <x v="3"/>
    <n v="6.2355388999999997E-2"/>
  </r>
  <r>
    <x v="0"/>
    <x v="6"/>
    <x v="8"/>
    <x v="10"/>
    <x v="3"/>
    <x v="3"/>
    <n v="6.2355388999999997E-2"/>
  </r>
  <r>
    <x v="0"/>
    <x v="6"/>
    <x v="8"/>
    <x v="11"/>
    <x v="3"/>
    <x v="3"/>
    <n v="6.2355388999999997E-2"/>
  </r>
  <r>
    <x v="0"/>
    <x v="6"/>
    <x v="8"/>
    <x v="12"/>
    <x v="3"/>
    <x v="3"/>
    <n v="6.2355388999999997E-2"/>
  </r>
  <r>
    <x v="0"/>
    <x v="6"/>
    <x v="8"/>
    <x v="13"/>
    <x v="3"/>
    <x v="3"/>
    <n v="6.2355388999999997E-2"/>
  </r>
  <r>
    <x v="0"/>
    <x v="6"/>
    <x v="8"/>
    <x v="14"/>
    <x v="3"/>
    <x v="3"/>
    <n v="6.2355388999999997E-2"/>
  </r>
  <r>
    <x v="0"/>
    <x v="6"/>
    <x v="8"/>
    <x v="15"/>
    <x v="3"/>
    <x v="3"/>
    <n v="6.2355388999999997E-2"/>
  </r>
  <r>
    <x v="0"/>
    <x v="6"/>
    <x v="8"/>
    <x v="16"/>
    <x v="3"/>
    <x v="3"/>
    <n v="6.2355388999999997E-2"/>
  </r>
  <r>
    <x v="0"/>
    <x v="6"/>
    <x v="8"/>
    <x v="17"/>
    <x v="3"/>
    <x v="3"/>
    <n v="6.2355388999999997E-2"/>
  </r>
  <r>
    <x v="0"/>
    <x v="6"/>
    <x v="8"/>
    <x v="18"/>
    <x v="3"/>
    <x v="3"/>
    <n v="6.2355388999999997E-2"/>
  </r>
  <r>
    <x v="0"/>
    <x v="6"/>
    <x v="8"/>
    <x v="19"/>
    <x v="3"/>
    <x v="3"/>
    <n v="6.2355388999999997E-2"/>
  </r>
  <r>
    <x v="0"/>
    <x v="6"/>
    <x v="8"/>
    <x v="20"/>
    <x v="3"/>
    <x v="3"/>
    <n v="6.2355388999999997E-2"/>
  </r>
  <r>
    <x v="0"/>
    <x v="6"/>
    <x v="8"/>
    <x v="21"/>
    <x v="3"/>
    <x v="3"/>
    <n v="6.2355388999999997E-2"/>
  </r>
  <r>
    <x v="0"/>
    <x v="6"/>
    <x v="8"/>
    <x v="22"/>
    <x v="3"/>
    <x v="3"/>
    <n v="6.2355388999999997E-2"/>
  </r>
  <r>
    <x v="0"/>
    <x v="6"/>
    <x v="8"/>
    <x v="23"/>
    <x v="3"/>
    <x v="3"/>
    <n v="6.2355388999999997E-2"/>
  </r>
  <r>
    <x v="0"/>
    <x v="6"/>
    <x v="8"/>
    <x v="24"/>
    <x v="3"/>
    <x v="3"/>
    <n v="6.2355388999999997E-2"/>
  </r>
  <r>
    <x v="0"/>
    <x v="6"/>
    <x v="8"/>
    <x v="25"/>
    <x v="3"/>
    <x v="3"/>
    <n v="6.2355388999999997E-2"/>
  </r>
  <r>
    <x v="0"/>
    <x v="6"/>
    <x v="8"/>
    <x v="26"/>
    <x v="3"/>
    <x v="3"/>
    <n v="6.2355388999999997E-2"/>
  </r>
  <r>
    <x v="0"/>
    <x v="6"/>
    <x v="8"/>
    <x v="27"/>
    <x v="3"/>
    <x v="3"/>
    <n v="6.2355388999999997E-2"/>
  </r>
  <r>
    <x v="0"/>
    <x v="6"/>
    <x v="8"/>
    <x v="28"/>
    <x v="3"/>
    <x v="3"/>
    <n v="6.2355388999999997E-2"/>
  </r>
  <r>
    <x v="0"/>
    <x v="6"/>
    <x v="8"/>
    <x v="29"/>
    <x v="3"/>
    <x v="3"/>
    <n v="6.2355388999999997E-2"/>
  </r>
  <r>
    <x v="0"/>
    <x v="6"/>
    <x v="8"/>
    <x v="30"/>
    <x v="3"/>
    <x v="3"/>
    <n v="6.2355388999999997E-2"/>
  </r>
  <r>
    <x v="0"/>
    <x v="6"/>
    <x v="8"/>
    <x v="31"/>
    <x v="3"/>
    <x v="3"/>
    <n v="6.2355388999999997E-2"/>
  </r>
  <r>
    <x v="0"/>
    <x v="6"/>
    <x v="8"/>
    <x v="32"/>
    <x v="3"/>
    <x v="3"/>
    <n v="6.2355388999999997E-2"/>
  </r>
  <r>
    <x v="0"/>
    <x v="6"/>
    <x v="8"/>
    <x v="33"/>
    <x v="3"/>
    <x v="3"/>
    <n v="6.2355388999999997E-2"/>
  </r>
  <r>
    <x v="0"/>
    <x v="6"/>
    <x v="8"/>
    <x v="34"/>
    <x v="3"/>
    <x v="3"/>
    <n v="6.2355388999999997E-2"/>
  </r>
  <r>
    <x v="0"/>
    <x v="6"/>
    <x v="8"/>
    <x v="35"/>
    <x v="3"/>
    <x v="3"/>
    <n v="6.2355388999999997E-2"/>
  </r>
  <r>
    <x v="0"/>
    <x v="6"/>
    <x v="8"/>
    <x v="36"/>
    <x v="3"/>
    <x v="3"/>
    <n v="6.2355388999999997E-2"/>
  </r>
  <r>
    <x v="0"/>
    <x v="6"/>
    <x v="8"/>
    <x v="37"/>
    <x v="3"/>
    <x v="3"/>
    <n v="6.2355388999999997E-2"/>
  </r>
  <r>
    <x v="0"/>
    <x v="6"/>
    <x v="8"/>
    <x v="38"/>
    <x v="3"/>
    <x v="3"/>
    <n v="6.2355388999999997E-2"/>
  </r>
  <r>
    <x v="0"/>
    <x v="6"/>
    <x v="8"/>
    <x v="39"/>
    <x v="3"/>
    <x v="3"/>
    <n v="6.2355388999999997E-2"/>
  </r>
  <r>
    <x v="0"/>
    <x v="6"/>
    <x v="8"/>
    <x v="40"/>
    <x v="3"/>
    <x v="3"/>
    <n v="6.2355388999999997E-2"/>
  </r>
  <r>
    <x v="0"/>
    <x v="6"/>
    <x v="8"/>
    <x v="41"/>
    <x v="3"/>
    <x v="3"/>
    <n v="6.2355388999999997E-2"/>
  </r>
  <r>
    <x v="0"/>
    <x v="6"/>
    <x v="9"/>
    <x v="42"/>
    <x v="4"/>
    <x v="4"/>
    <n v="73.213116470000003"/>
  </r>
  <r>
    <x v="0"/>
    <x v="6"/>
    <x v="9"/>
    <x v="42"/>
    <x v="5"/>
    <x v="4"/>
    <n v="1.05397992"/>
  </r>
  <r>
    <x v="0"/>
    <x v="6"/>
    <x v="9"/>
    <x v="42"/>
    <x v="6"/>
    <x v="4"/>
    <n v="0"/>
  </r>
  <r>
    <x v="0"/>
    <x v="6"/>
    <x v="9"/>
    <x v="42"/>
    <x v="7"/>
    <x v="4"/>
    <n v="0"/>
  </r>
  <r>
    <x v="0"/>
    <x v="6"/>
    <x v="9"/>
    <x v="42"/>
    <x v="8"/>
    <x v="4"/>
    <n v="0"/>
  </r>
  <r>
    <x v="0"/>
    <x v="6"/>
    <x v="9"/>
    <x v="42"/>
    <x v="9"/>
    <x v="4"/>
    <n v="81.320601882000005"/>
  </r>
  <r>
    <x v="0"/>
    <x v="6"/>
    <x v="9"/>
    <x v="42"/>
    <x v="10"/>
    <x v="4"/>
    <n v="2.2946088339999999"/>
  </r>
  <r>
    <x v="0"/>
    <x v="6"/>
    <x v="9"/>
    <x v="42"/>
    <x v="11"/>
    <x v="4"/>
    <n v="13.996009551"/>
  </r>
  <r>
    <x v="0"/>
    <x v="6"/>
    <x v="9"/>
    <x v="42"/>
    <x v="12"/>
    <x v="4"/>
    <n v="1.9798309670000001"/>
  </r>
  <r>
    <x v="0"/>
    <x v="6"/>
    <x v="9"/>
    <x v="42"/>
    <x v="13"/>
    <x v="4"/>
    <n v="3.181596334"/>
  </r>
  <r>
    <x v="0"/>
    <x v="6"/>
    <x v="9"/>
    <x v="42"/>
    <x v="14"/>
    <x v="4"/>
    <n v="2.5193914080000002"/>
  </r>
  <r>
    <x v="0"/>
    <x v="6"/>
    <x v="9"/>
    <x v="42"/>
    <x v="15"/>
    <x v="4"/>
    <n v="11.134882730999999"/>
  </r>
  <r>
    <x v="0"/>
    <x v="6"/>
    <x v="9"/>
    <x v="42"/>
    <x v="16"/>
    <x v="4"/>
    <n v="1.492458885"/>
  </r>
  <r>
    <x v="0"/>
    <x v="6"/>
    <x v="9"/>
    <x v="42"/>
    <x v="17"/>
    <x v="4"/>
    <n v="0"/>
  </r>
  <r>
    <x v="0"/>
    <x v="6"/>
    <x v="9"/>
    <x v="42"/>
    <x v="18"/>
    <x v="4"/>
    <n v="0.91904883500000001"/>
  </r>
  <r>
    <x v="0"/>
    <x v="6"/>
    <x v="9"/>
    <x v="42"/>
    <x v="19"/>
    <x v="4"/>
    <n v="0.481839664"/>
  </r>
  <r>
    <x v="0"/>
    <x v="6"/>
    <x v="9"/>
    <x v="42"/>
    <x v="20"/>
    <x v="4"/>
    <n v="0.12296061799999999"/>
  </r>
  <r>
    <x v="0"/>
    <x v="6"/>
    <x v="9"/>
    <x v="42"/>
    <x v="21"/>
    <x v="4"/>
    <n v="8.3096709020000006"/>
  </r>
  <r>
    <x v="0"/>
    <x v="6"/>
    <x v="9"/>
    <x v="42"/>
    <x v="22"/>
    <x v="4"/>
    <n v="8.8484542390000005"/>
  </r>
  <r>
    <x v="0"/>
    <x v="6"/>
    <x v="9"/>
    <x v="42"/>
    <x v="23"/>
    <x v="4"/>
    <n v="8.3734084519999996"/>
  </r>
  <r>
    <x v="0"/>
    <x v="6"/>
    <x v="9"/>
    <x v="42"/>
    <x v="24"/>
    <x v="4"/>
    <n v="0.599175707"/>
  </r>
  <r>
    <x v="0"/>
    <x v="6"/>
    <x v="9"/>
    <x v="42"/>
    <x v="25"/>
    <x v="4"/>
    <n v="0.61607892900000005"/>
  </r>
  <r>
    <x v="0"/>
    <x v="6"/>
    <x v="9"/>
    <x v="42"/>
    <x v="26"/>
    <x v="4"/>
    <n v="0"/>
  </r>
  <r>
    <x v="0"/>
    <x v="6"/>
    <x v="9"/>
    <x v="42"/>
    <x v="27"/>
    <x v="4"/>
    <n v="0"/>
  </r>
  <r>
    <x v="0"/>
    <x v="6"/>
    <x v="9"/>
    <x v="42"/>
    <x v="28"/>
    <x v="4"/>
    <n v="7.9207007059999999"/>
  </r>
  <r>
    <x v="0"/>
    <x v="6"/>
    <x v="9"/>
    <x v="42"/>
    <x v="29"/>
    <x v="4"/>
    <n v="1.094496431"/>
  </r>
  <r>
    <x v="0"/>
    <x v="6"/>
    <x v="9"/>
    <x v="42"/>
    <x v="30"/>
    <x v="4"/>
    <n v="0.451410951"/>
  </r>
  <r>
    <x v="0"/>
    <x v="6"/>
    <x v="9"/>
    <x v="42"/>
    <x v="31"/>
    <x v="4"/>
    <n v="0"/>
  </r>
  <r>
    <x v="0"/>
    <x v="6"/>
    <x v="9"/>
    <x v="42"/>
    <x v="32"/>
    <x v="4"/>
    <n v="32.807159663999997"/>
  </r>
  <r>
    <x v="0"/>
    <x v="6"/>
    <x v="9"/>
    <x v="42"/>
    <x v="33"/>
    <x v="4"/>
    <n v="10.85181248"/>
  </r>
  <r>
    <x v="0"/>
    <x v="6"/>
    <x v="9"/>
    <x v="42"/>
    <x v="34"/>
    <x v="4"/>
    <n v="0.40892263299999998"/>
  </r>
  <r>
    <x v="0"/>
    <x v="6"/>
    <x v="9"/>
    <x v="42"/>
    <x v="35"/>
    <x v="4"/>
    <n v="16.575570526"/>
  </r>
  <r>
    <x v="0"/>
    <x v="6"/>
    <x v="9"/>
    <x v="42"/>
    <x v="36"/>
    <x v="4"/>
    <n v="21.270075697999999"/>
  </r>
  <r>
    <x v="0"/>
    <x v="6"/>
    <x v="9"/>
    <x v="42"/>
    <x v="37"/>
    <x v="4"/>
    <n v="152.35226437099999"/>
  </r>
  <r>
    <x v="0"/>
    <x v="6"/>
    <x v="9"/>
    <x v="42"/>
    <x v="38"/>
    <x v="4"/>
    <n v="0.39911358899999999"/>
  </r>
  <r>
    <x v="0"/>
    <x v="6"/>
    <x v="9"/>
    <x v="42"/>
    <x v="39"/>
    <x v="4"/>
    <n v="0.17249981"/>
  </r>
  <r>
    <x v="0"/>
    <x v="6"/>
    <x v="9"/>
    <x v="42"/>
    <x v="40"/>
    <x v="4"/>
    <n v="0.21623025900000001"/>
  </r>
  <r>
    <x v="0"/>
    <x v="6"/>
    <x v="9"/>
    <x v="42"/>
    <x v="41"/>
    <x v="4"/>
    <n v="1.984379289"/>
  </r>
  <r>
    <x v="0"/>
    <x v="6"/>
    <x v="9"/>
    <x v="42"/>
    <x v="42"/>
    <x v="4"/>
    <n v="-5.712963813"/>
  </r>
  <r>
    <x v="0"/>
    <x v="6"/>
    <x v="9"/>
    <x v="42"/>
    <x v="43"/>
    <x v="4"/>
    <n v="-2.2564263480000002"/>
  </r>
  <r>
    <x v="0"/>
    <x v="6"/>
    <x v="9"/>
    <x v="42"/>
    <x v="44"/>
    <x v="4"/>
    <n v="1.8386120640000001"/>
  </r>
  <r>
    <x v="0"/>
    <x v="6"/>
    <x v="9"/>
    <x v="42"/>
    <x v="45"/>
    <x v="4"/>
    <n v="-0.13015172799999999"/>
  </r>
  <r>
    <x v="0"/>
    <x v="6"/>
    <x v="10"/>
    <x v="42"/>
    <x v="0"/>
    <x v="4"/>
    <n v="0.51057996699999997"/>
  </r>
  <r>
    <x v="0"/>
    <x v="6"/>
    <x v="11"/>
    <x v="42"/>
    <x v="0"/>
    <x v="4"/>
    <n v="12.588568465"/>
  </r>
  <r>
    <x v="0"/>
    <x v="6"/>
    <x v="9"/>
    <x v="43"/>
    <x v="4"/>
    <x v="4"/>
    <n v="132.454465027"/>
  </r>
  <r>
    <x v="0"/>
    <x v="6"/>
    <x v="9"/>
    <x v="43"/>
    <x v="5"/>
    <x v="4"/>
    <n v="0.67847249600000004"/>
  </r>
  <r>
    <x v="0"/>
    <x v="6"/>
    <x v="9"/>
    <x v="43"/>
    <x v="6"/>
    <x v="4"/>
    <n v="0"/>
  </r>
  <r>
    <x v="0"/>
    <x v="6"/>
    <x v="9"/>
    <x v="43"/>
    <x v="7"/>
    <x v="4"/>
    <n v="0"/>
  </r>
  <r>
    <x v="0"/>
    <x v="6"/>
    <x v="9"/>
    <x v="43"/>
    <x v="8"/>
    <x v="4"/>
    <n v="0"/>
  </r>
  <r>
    <x v="0"/>
    <x v="6"/>
    <x v="9"/>
    <x v="43"/>
    <x v="9"/>
    <x v="4"/>
    <n v="298.54806940100002"/>
  </r>
  <r>
    <x v="0"/>
    <x v="6"/>
    <x v="9"/>
    <x v="43"/>
    <x v="10"/>
    <x v="4"/>
    <n v="3.1142067309999999"/>
  </r>
  <r>
    <x v="0"/>
    <x v="6"/>
    <x v="9"/>
    <x v="43"/>
    <x v="11"/>
    <x v="4"/>
    <n v="60.099183830999998"/>
  </r>
  <r>
    <x v="0"/>
    <x v="6"/>
    <x v="9"/>
    <x v="43"/>
    <x v="12"/>
    <x v="4"/>
    <n v="5.7202579069999997"/>
  </r>
  <r>
    <x v="0"/>
    <x v="6"/>
    <x v="9"/>
    <x v="43"/>
    <x v="13"/>
    <x v="4"/>
    <n v="10.754950601999999"/>
  </r>
  <r>
    <x v="0"/>
    <x v="6"/>
    <x v="9"/>
    <x v="43"/>
    <x v="14"/>
    <x v="4"/>
    <n v="21.048016822000001"/>
  </r>
  <r>
    <x v="0"/>
    <x v="6"/>
    <x v="9"/>
    <x v="43"/>
    <x v="15"/>
    <x v="4"/>
    <n v="41.803616413999997"/>
  </r>
  <r>
    <x v="0"/>
    <x v="6"/>
    <x v="9"/>
    <x v="43"/>
    <x v="16"/>
    <x v="4"/>
    <n v="2.8248092800000002"/>
  </r>
  <r>
    <x v="0"/>
    <x v="6"/>
    <x v="9"/>
    <x v="43"/>
    <x v="17"/>
    <x v="4"/>
    <n v="0"/>
  </r>
  <r>
    <x v="0"/>
    <x v="6"/>
    <x v="9"/>
    <x v="43"/>
    <x v="18"/>
    <x v="4"/>
    <n v="3.3477974439999998"/>
  </r>
  <r>
    <x v="0"/>
    <x v="6"/>
    <x v="9"/>
    <x v="43"/>
    <x v="19"/>
    <x v="4"/>
    <n v="0.90387357199999996"/>
  </r>
  <r>
    <x v="0"/>
    <x v="6"/>
    <x v="9"/>
    <x v="43"/>
    <x v="20"/>
    <x v="4"/>
    <n v="0.89735493"/>
  </r>
  <r>
    <x v="0"/>
    <x v="6"/>
    <x v="9"/>
    <x v="43"/>
    <x v="21"/>
    <x v="4"/>
    <n v="50.085962576999997"/>
  </r>
  <r>
    <x v="0"/>
    <x v="6"/>
    <x v="9"/>
    <x v="43"/>
    <x v="22"/>
    <x v="4"/>
    <n v="22.252108582000002"/>
  </r>
  <r>
    <x v="0"/>
    <x v="6"/>
    <x v="9"/>
    <x v="43"/>
    <x v="23"/>
    <x v="4"/>
    <n v="24.728132529"/>
  </r>
  <r>
    <x v="0"/>
    <x v="6"/>
    <x v="9"/>
    <x v="43"/>
    <x v="24"/>
    <x v="4"/>
    <n v="1.210014385"/>
  </r>
  <r>
    <x v="0"/>
    <x v="6"/>
    <x v="9"/>
    <x v="43"/>
    <x v="25"/>
    <x v="4"/>
    <n v="1.121159748"/>
  </r>
  <r>
    <x v="0"/>
    <x v="6"/>
    <x v="9"/>
    <x v="43"/>
    <x v="26"/>
    <x v="4"/>
    <n v="0"/>
  </r>
  <r>
    <x v="0"/>
    <x v="6"/>
    <x v="9"/>
    <x v="43"/>
    <x v="27"/>
    <x v="4"/>
    <n v="0"/>
  </r>
  <r>
    <x v="0"/>
    <x v="6"/>
    <x v="9"/>
    <x v="43"/>
    <x v="28"/>
    <x v="4"/>
    <n v="14.287730347"/>
  </r>
  <r>
    <x v="0"/>
    <x v="6"/>
    <x v="9"/>
    <x v="43"/>
    <x v="29"/>
    <x v="4"/>
    <n v="11.551820614"/>
  </r>
  <r>
    <x v="0"/>
    <x v="6"/>
    <x v="9"/>
    <x v="43"/>
    <x v="30"/>
    <x v="4"/>
    <n v="0.94189082800000001"/>
  </r>
  <r>
    <x v="0"/>
    <x v="6"/>
    <x v="9"/>
    <x v="43"/>
    <x v="31"/>
    <x v="4"/>
    <n v="0"/>
  </r>
  <r>
    <x v="0"/>
    <x v="6"/>
    <x v="9"/>
    <x v="43"/>
    <x v="32"/>
    <x v="4"/>
    <n v="60.064965796000003"/>
  </r>
  <r>
    <x v="0"/>
    <x v="6"/>
    <x v="9"/>
    <x v="43"/>
    <x v="33"/>
    <x v="4"/>
    <n v="21.274880249999999"/>
  </r>
  <r>
    <x v="0"/>
    <x v="6"/>
    <x v="9"/>
    <x v="43"/>
    <x v="34"/>
    <x v="4"/>
    <n v="-11.456452860000001"/>
  </r>
  <r>
    <x v="0"/>
    <x v="6"/>
    <x v="9"/>
    <x v="43"/>
    <x v="35"/>
    <x v="4"/>
    <n v="39.215068856999999"/>
  </r>
  <r>
    <x v="0"/>
    <x v="6"/>
    <x v="9"/>
    <x v="43"/>
    <x v="36"/>
    <x v="4"/>
    <n v="71.487000293999998"/>
  </r>
  <r>
    <x v="0"/>
    <x v="6"/>
    <x v="9"/>
    <x v="43"/>
    <x v="37"/>
    <x v="4"/>
    <n v="323.67424996300002"/>
  </r>
  <r>
    <x v="0"/>
    <x v="6"/>
    <x v="9"/>
    <x v="43"/>
    <x v="38"/>
    <x v="4"/>
    <n v="2.623814554"/>
  </r>
  <r>
    <x v="0"/>
    <x v="6"/>
    <x v="9"/>
    <x v="43"/>
    <x v="39"/>
    <x v="4"/>
    <n v="0.21336389"/>
  </r>
  <r>
    <x v="0"/>
    <x v="6"/>
    <x v="9"/>
    <x v="43"/>
    <x v="40"/>
    <x v="4"/>
    <n v="-0.37517275300000003"/>
  </r>
  <r>
    <x v="0"/>
    <x v="6"/>
    <x v="9"/>
    <x v="43"/>
    <x v="41"/>
    <x v="4"/>
    <n v="-6.1808274049999996"/>
  </r>
  <r>
    <x v="0"/>
    <x v="6"/>
    <x v="9"/>
    <x v="43"/>
    <x v="42"/>
    <x v="4"/>
    <n v="-26.464452365"/>
  </r>
  <r>
    <x v="0"/>
    <x v="6"/>
    <x v="9"/>
    <x v="43"/>
    <x v="43"/>
    <x v="4"/>
    <n v="-20.192924567999999"/>
  </r>
  <r>
    <x v="0"/>
    <x v="6"/>
    <x v="9"/>
    <x v="43"/>
    <x v="44"/>
    <x v="4"/>
    <n v="2.3664885849999999"/>
  </r>
  <r>
    <x v="0"/>
    <x v="6"/>
    <x v="9"/>
    <x v="43"/>
    <x v="45"/>
    <x v="4"/>
    <n v="-1.7020693069999999"/>
  </r>
  <r>
    <x v="0"/>
    <x v="6"/>
    <x v="10"/>
    <x v="43"/>
    <x v="0"/>
    <x v="4"/>
    <n v="1.811302567"/>
  </r>
  <r>
    <x v="0"/>
    <x v="6"/>
    <x v="11"/>
    <x v="43"/>
    <x v="0"/>
    <x v="4"/>
    <n v="47.566040278999999"/>
  </r>
  <r>
    <x v="0"/>
    <x v="6"/>
    <x v="12"/>
    <x v="0"/>
    <x v="0"/>
    <x v="0"/>
    <n v="665.41464083699998"/>
  </r>
  <r>
    <x v="0"/>
    <x v="6"/>
    <x v="13"/>
    <x v="0"/>
    <x v="0"/>
    <x v="0"/>
    <n v="297.985965615"/>
  </r>
  <r>
    <x v="0"/>
    <x v="6"/>
    <x v="14"/>
    <x v="0"/>
    <x v="0"/>
    <x v="0"/>
    <n v="0.87678157599999995"/>
  </r>
  <r>
    <x v="0"/>
    <x v="6"/>
    <x v="15"/>
    <x v="0"/>
    <x v="0"/>
    <x v="1"/>
    <n v="9.2666631999999999E-2"/>
  </r>
  <r>
    <x v="0"/>
    <x v="6"/>
    <x v="16"/>
    <x v="0"/>
    <x v="0"/>
    <x v="1"/>
    <n v="9.9392133999999993E-2"/>
  </r>
  <r>
    <x v="0"/>
    <x v="6"/>
    <x v="12"/>
    <x v="1"/>
    <x v="0"/>
    <x v="0"/>
    <n v="212.365103387"/>
  </r>
  <r>
    <x v="0"/>
    <x v="6"/>
    <x v="13"/>
    <x v="1"/>
    <x v="0"/>
    <x v="0"/>
    <n v="36.998707645000003"/>
  </r>
  <r>
    <x v="0"/>
    <x v="6"/>
    <x v="14"/>
    <x v="1"/>
    <x v="0"/>
    <x v="0"/>
    <n v="0.28695119899999999"/>
  </r>
  <r>
    <x v="0"/>
    <x v="6"/>
    <x v="15"/>
    <x v="1"/>
    <x v="0"/>
    <x v="1"/>
    <n v="5.3003392000000003E-2"/>
  </r>
  <r>
    <x v="0"/>
    <x v="6"/>
    <x v="16"/>
    <x v="1"/>
    <x v="0"/>
    <x v="1"/>
    <n v="5.4247928000000001E-2"/>
  </r>
  <r>
    <x v="0"/>
    <x v="6"/>
    <x v="12"/>
    <x v="2"/>
    <x v="0"/>
    <x v="0"/>
    <n v="262.46428863300002"/>
  </r>
  <r>
    <x v="0"/>
    <x v="6"/>
    <x v="13"/>
    <x v="2"/>
    <x v="0"/>
    <x v="0"/>
    <n v="95.645232871000005"/>
  </r>
  <r>
    <x v="0"/>
    <x v="6"/>
    <x v="14"/>
    <x v="2"/>
    <x v="0"/>
    <x v="0"/>
    <n v="2.1607056720000002"/>
  </r>
  <r>
    <x v="0"/>
    <x v="6"/>
    <x v="15"/>
    <x v="2"/>
    <x v="0"/>
    <x v="1"/>
    <n v="3.2731297999999999E-2"/>
  </r>
  <r>
    <x v="0"/>
    <x v="6"/>
    <x v="16"/>
    <x v="2"/>
    <x v="0"/>
    <x v="1"/>
    <n v="3.0702415E-2"/>
  </r>
  <r>
    <x v="0"/>
    <x v="6"/>
    <x v="12"/>
    <x v="3"/>
    <x v="0"/>
    <x v="0"/>
    <n v="123.983481247"/>
  </r>
  <r>
    <x v="0"/>
    <x v="6"/>
    <x v="13"/>
    <x v="3"/>
    <x v="0"/>
    <x v="0"/>
    <n v="79.962350920999995"/>
  </r>
  <r>
    <x v="0"/>
    <x v="6"/>
    <x v="14"/>
    <x v="3"/>
    <x v="0"/>
    <x v="0"/>
    <n v="0.28206679400000001"/>
  </r>
  <r>
    <x v="0"/>
    <x v="6"/>
    <x v="15"/>
    <x v="3"/>
    <x v="0"/>
    <x v="1"/>
    <n v="4.1075650999999998E-2"/>
  </r>
  <r>
    <x v="0"/>
    <x v="6"/>
    <x v="16"/>
    <x v="3"/>
    <x v="0"/>
    <x v="1"/>
    <n v="4.2366300000000003E-2"/>
  </r>
  <r>
    <x v="0"/>
    <x v="6"/>
    <x v="12"/>
    <x v="4"/>
    <x v="0"/>
    <x v="0"/>
    <n v="56.580062081999998"/>
  </r>
  <r>
    <x v="0"/>
    <x v="6"/>
    <x v="13"/>
    <x v="4"/>
    <x v="0"/>
    <x v="0"/>
    <n v="6.7053278519999999"/>
  </r>
  <r>
    <x v="0"/>
    <x v="6"/>
    <x v="14"/>
    <x v="4"/>
    <x v="0"/>
    <x v="0"/>
    <n v="0.464857715"/>
  </r>
  <r>
    <x v="0"/>
    <x v="6"/>
    <x v="15"/>
    <x v="4"/>
    <x v="0"/>
    <x v="1"/>
    <n v="4.8153383000000001E-2"/>
  </r>
  <r>
    <x v="0"/>
    <x v="6"/>
    <x v="16"/>
    <x v="4"/>
    <x v="0"/>
    <x v="1"/>
    <n v="4.8766452000000002E-2"/>
  </r>
  <r>
    <x v="0"/>
    <x v="6"/>
    <x v="12"/>
    <x v="5"/>
    <x v="0"/>
    <x v="0"/>
    <n v="537.01841819799995"/>
  </r>
  <r>
    <x v="0"/>
    <x v="6"/>
    <x v="13"/>
    <x v="5"/>
    <x v="0"/>
    <x v="0"/>
    <n v="152.292192468"/>
  </r>
  <r>
    <x v="0"/>
    <x v="6"/>
    <x v="14"/>
    <x v="5"/>
    <x v="0"/>
    <x v="0"/>
    <n v="4.6473559120000001"/>
  </r>
  <r>
    <x v="0"/>
    <x v="6"/>
    <x v="15"/>
    <x v="5"/>
    <x v="0"/>
    <x v="1"/>
    <n v="6.9631302000000006E-2"/>
  </r>
  <r>
    <x v="0"/>
    <x v="6"/>
    <x v="16"/>
    <x v="5"/>
    <x v="0"/>
    <x v="1"/>
    <n v="7.2344401000000003E-2"/>
  </r>
  <r>
    <x v="0"/>
    <x v="6"/>
    <x v="12"/>
    <x v="6"/>
    <x v="0"/>
    <x v="0"/>
    <n v="160.65208040499999"/>
  </r>
  <r>
    <x v="0"/>
    <x v="6"/>
    <x v="13"/>
    <x v="6"/>
    <x v="0"/>
    <x v="0"/>
    <n v="22.715163125"/>
  </r>
  <r>
    <x v="0"/>
    <x v="6"/>
    <x v="14"/>
    <x v="6"/>
    <x v="0"/>
    <x v="0"/>
    <n v="8.5075502469999993"/>
  </r>
  <r>
    <x v="0"/>
    <x v="6"/>
    <x v="15"/>
    <x v="6"/>
    <x v="0"/>
    <x v="1"/>
    <n v="6.3169120999999995E-2"/>
  </r>
  <r>
    <x v="0"/>
    <x v="6"/>
    <x v="16"/>
    <x v="6"/>
    <x v="0"/>
    <x v="1"/>
    <n v="6.4342626999999999E-2"/>
  </r>
  <r>
    <x v="0"/>
    <x v="6"/>
    <x v="12"/>
    <x v="7"/>
    <x v="0"/>
    <x v="0"/>
    <n v="90.744750298"/>
  </r>
  <r>
    <x v="0"/>
    <x v="6"/>
    <x v="13"/>
    <x v="7"/>
    <x v="0"/>
    <x v="0"/>
    <n v="37.185018047"/>
  </r>
  <r>
    <x v="0"/>
    <x v="6"/>
    <x v="14"/>
    <x v="7"/>
    <x v="0"/>
    <x v="0"/>
    <n v="17.851680930000001"/>
  </r>
  <r>
    <x v="0"/>
    <x v="6"/>
    <x v="15"/>
    <x v="7"/>
    <x v="0"/>
    <x v="1"/>
    <n v="6.4859020000000003E-2"/>
  </r>
  <r>
    <x v="0"/>
    <x v="6"/>
    <x v="16"/>
    <x v="7"/>
    <x v="0"/>
    <x v="1"/>
    <n v="6.8339246000000006E-2"/>
  </r>
  <r>
    <x v="0"/>
    <x v="6"/>
    <x v="12"/>
    <x v="8"/>
    <x v="0"/>
    <x v="0"/>
    <n v="75.743965007"/>
  </r>
  <r>
    <x v="0"/>
    <x v="6"/>
    <x v="13"/>
    <x v="8"/>
    <x v="0"/>
    <x v="0"/>
    <n v="10.647787891"/>
  </r>
  <r>
    <x v="0"/>
    <x v="6"/>
    <x v="14"/>
    <x v="8"/>
    <x v="0"/>
    <x v="0"/>
    <n v="6.9538534529999998"/>
  </r>
  <r>
    <x v="0"/>
    <x v="6"/>
    <x v="15"/>
    <x v="8"/>
    <x v="0"/>
    <x v="1"/>
    <n v="5.8779961999999998E-2"/>
  </r>
  <r>
    <x v="0"/>
    <x v="6"/>
    <x v="16"/>
    <x v="8"/>
    <x v="0"/>
    <x v="1"/>
    <n v="5.9837632000000002E-2"/>
  </r>
  <r>
    <x v="0"/>
    <x v="6"/>
    <x v="12"/>
    <x v="9"/>
    <x v="0"/>
    <x v="0"/>
    <n v="185.314716863"/>
  </r>
  <r>
    <x v="0"/>
    <x v="6"/>
    <x v="13"/>
    <x v="9"/>
    <x v="0"/>
    <x v="0"/>
    <n v="34.768788033"/>
  </r>
  <r>
    <x v="0"/>
    <x v="6"/>
    <x v="14"/>
    <x v="9"/>
    <x v="0"/>
    <x v="0"/>
    <n v="15.871772167"/>
  </r>
  <r>
    <x v="0"/>
    <x v="6"/>
    <x v="15"/>
    <x v="9"/>
    <x v="0"/>
    <x v="1"/>
    <n v="5.1818070000000001E-2"/>
  </r>
  <r>
    <x v="0"/>
    <x v="6"/>
    <x v="16"/>
    <x v="9"/>
    <x v="0"/>
    <x v="1"/>
    <n v="5.2895665000000001E-2"/>
  </r>
  <r>
    <x v="0"/>
    <x v="6"/>
    <x v="12"/>
    <x v="10"/>
    <x v="0"/>
    <x v="0"/>
    <n v="310.33342874300001"/>
  </r>
  <r>
    <x v="0"/>
    <x v="6"/>
    <x v="13"/>
    <x v="10"/>
    <x v="0"/>
    <x v="0"/>
    <n v="33.761764147000001"/>
  </r>
  <r>
    <x v="0"/>
    <x v="6"/>
    <x v="14"/>
    <x v="10"/>
    <x v="0"/>
    <x v="0"/>
    <n v="6.2140697520000003"/>
  </r>
  <r>
    <x v="0"/>
    <x v="6"/>
    <x v="15"/>
    <x v="10"/>
    <x v="0"/>
    <x v="1"/>
    <n v="3.6635426999999998E-2"/>
  </r>
  <r>
    <x v="0"/>
    <x v="6"/>
    <x v="16"/>
    <x v="10"/>
    <x v="0"/>
    <x v="1"/>
    <n v="3.6545461000000001E-2"/>
  </r>
  <r>
    <x v="0"/>
    <x v="6"/>
    <x v="12"/>
    <x v="11"/>
    <x v="0"/>
    <x v="0"/>
    <n v="783.67372519000003"/>
  </r>
  <r>
    <x v="0"/>
    <x v="6"/>
    <x v="13"/>
    <x v="11"/>
    <x v="0"/>
    <x v="0"/>
    <n v="188.932279196"/>
  </r>
  <r>
    <x v="0"/>
    <x v="6"/>
    <x v="14"/>
    <x v="11"/>
    <x v="0"/>
    <x v="0"/>
    <n v="34.095986349999997"/>
  </r>
  <r>
    <x v="0"/>
    <x v="6"/>
    <x v="15"/>
    <x v="11"/>
    <x v="0"/>
    <x v="1"/>
    <n v="4.4741932999999998E-2"/>
  </r>
  <r>
    <x v="0"/>
    <x v="6"/>
    <x v="16"/>
    <x v="11"/>
    <x v="0"/>
    <x v="1"/>
    <n v="4.5521365000000001E-2"/>
  </r>
  <r>
    <x v="0"/>
    <x v="6"/>
    <x v="12"/>
    <x v="12"/>
    <x v="0"/>
    <x v="0"/>
    <n v="231.23290689500001"/>
  </r>
  <r>
    <x v="0"/>
    <x v="6"/>
    <x v="13"/>
    <x v="12"/>
    <x v="0"/>
    <x v="0"/>
    <n v="8.1573695070000003"/>
  </r>
  <r>
    <x v="0"/>
    <x v="6"/>
    <x v="14"/>
    <x v="12"/>
    <x v="0"/>
    <x v="0"/>
    <n v="7.9102699000000003"/>
  </r>
  <r>
    <x v="0"/>
    <x v="6"/>
    <x v="15"/>
    <x v="12"/>
    <x v="0"/>
    <x v="1"/>
    <n v="4.5948134000000002E-2"/>
  </r>
  <r>
    <x v="0"/>
    <x v="6"/>
    <x v="16"/>
    <x v="12"/>
    <x v="0"/>
    <x v="1"/>
    <n v="4.6080863E-2"/>
  </r>
  <r>
    <x v="0"/>
    <x v="6"/>
    <x v="12"/>
    <x v="13"/>
    <x v="0"/>
    <x v="0"/>
    <n v="633.57518957800005"/>
  </r>
  <r>
    <x v="0"/>
    <x v="6"/>
    <x v="13"/>
    <x v="13"/>
    <x v="0"/>
    <x v="0"/>
    <n v="78.768310748999994"/>
  </r>
  <r>
    <x v="0"/>
    <x v="6"/>
    <x v="14"/>
    <x v="13"/>
    <x v="0"/>
    <x v="0"/>
    <n v="19.744072501000002"/>
  </r>
  <r>
    <x v="0"/>
    <x v="6"/>
    <x v="15"/>
    <x v="13"/>
    <x v="0"/>
    <x v="1"/>
    <n v="3.7395316999999997E-2"/>
  </r>
  <r>
    <x v="0"/>
    <x v="6"/>
    <x v="16"/>
    <x v="13"/>
    <x v="0"/>
    <x v="1"/>
    <n v="3.7349369E-2"/>
  </r>
  <r>
    <x v="0"/>
    <x v="6"/>
    <x v="12"/>
    <x v="14"/>
    <x v="0"/>
    <x v="0"/>
    <n v="159.34815839999999"/>
  </r>
  <r>
    <x v="0"/>
    <x v="6"/>
    <x v="13"/>
    <x v="14"/>
    <x v="0"/>
    <x v="0"/>
    <n v="10.423851640000001"/>
  </r>
  <r>
    <x v="0"/>
    <x v="6"/>
    <x v="14"/>
    <x v="14"/>
    <x v="0"/>
    <x v="0"/>
    <n v="14.389293235"/>
  </r>
  <r>
    <x v="0"/>
    <x v="6"/>
    <x v="15"/>
    <x v="14"/>
    <x v="0"/>
    <x v="1"/>
    <n v="4.3796991E-2"/>
  </r>
  <r>
    <x v="0"/>
    <x v="6"/>
    <x v="16"/>
    <x v="14"/>
    <x v="0"/>
    <x v="1"/>
    <n v="4.3979955000000001E-2"/>
  </r>
  <r>
    <x v="0"/>
    <x v="6"/>
    <x v="12"/>
    <x v="15"/>
    <x v="0"/>
    <x v="0"/>
    <n v="166.46041132299999"/>
  </r>
  <r>
    <x v="0"/>
    <x v="6"/>
    <x v="13"/>
    <x v="15"/>
    <x v="0"/>
    <x v="0"/>
    <n v="67.903401903000002"/>
  </r>
  <r>
    <x v="0"/>
    <x v="6"/>
    <x v="14"/>
    <x v="15"/>
    <x v="0"/>
    <x v="0"/>
    <n v="20.470000987999999"/>
  </r>
  <r>
    <x v="0"/>
    <x v="6"/>
    <x v="15"/>
    <x v="15"/>
    <x v="0"/>
    <x v="1"/>
    <n v="4.6412123E-2"/>
  </r>
  <r>
    <x v="0"/>
    <x v="6"/>
    <x v="16"/>
    <x v="15"/>
    <x v="0"/>
    <x v="1"/>
    <n v="4.8002066000000003E-2"/>
  </r>
  <r>
    <x v="0"/>
    <x v="6"/>
    <x v="12"/>
    <x v="16"/>
    <x v="0"/>
    <x v="0"/>
    <n v="105.811714145"/>
  </r>
  <r>
    <x v="0"/>
    <x v="6"/>
    <x v="13"/>
    <x v="16"/>
    <x v="0"/>
    <x v="0"/>
    <n v="58.200500808000001"/>
  </r>
  <r>
    <x v="0"/>
    <x v="6"/>
    <x v="14"/>
    <x v="16"/>
    <x v="0"/>
    <x v="0"/>
    <n v="9.6114048939999996"/>
  </r>
  <r>
    <x v="0"/>
    <x v="6"/>
    <x v="15"/>
    <x v="16"/>
    <x v="0"/>
    <x v="1"/>
    <n v="4.8258413E-2"/>
  </r>
  <r>
    <x v="0"/>
    <x v="6"/>
    <x v="16"/>
    <x v="16"/>
    <x v="0"/>
    <x v="1"/>
    <n v="5.0739620999999999E-2"/>
  </r>
  <r>
    <x v="0"/>
    <x v="6"/>
    <x v="12"/>
    <x v="17"/>
    <x v="0"/>
    <x v="0"/>
    <n v="258.19335797100001"/>
  </r>
  <r>
    <x v="0"/>
    <x v="6"/>
    <x v="13"/>
    <x v="17"/>
    <x v="0"/>
    <x v="0"/>
    <n v="96.688421856999994"/>
  </r>
  <r>
    <x v="0"/>
    <x v="6"/>
    <x v="14"/>
    <x v="17"/>
    <x v="0"/>
    <x v="0"/>
    <n v="15.863275439000001"/>
  </r>
  <r>
    <x v="0"/>
    <x v="6"/>
    <x v="15"/>
    <x v="17"/>
    <x v="0"/>
    <x v="1"/>
    <n v="4.8623049000000002E-2"/>
  </r>
  <r>
    <x v="0"/>
    <x v="6"/>
    <x v="16"/>
    <x v="17"/>
    <x v="0"/>
    <x v="1"/>
    <n v="5.0351629000000002E-2"/>
  </r>
  <r>
    <x v="0"/>
    <x v="6"/>
    <x v="12"/>
    <x v="18"/>
    <x v="0"/>
    <x v="0"/>
    <n v="204.37673291799999"/>
  </r>
  <r>
    <x v="0"/>
    <x v="6"/>
    <x v="13"/>
    <x v="18"/>
    <x v="0"/>
    <x v="0"/>
    <n v="52.732807231999999"/>
  </r>
  <r>
    <x v="0"/>
    <x v="6"/>
    <x v="14"/>
    <x v="18"/>
    <x v="0"/>
    <x v="0"/>
    <n v="35.155814602"/>
  </r>
  <r>
    <x v="0"/>
    <x v="6"/>
    <x v="15"/>
    <x v="18"/>
    <x v="0"/>
    <x v="1"/>
    <n v="4.4005883000000003E-2"/>
  </r>
  <r>
    <x v="0"/>
    <x v="6"/>
    <x v="16"/>
    <x v="18"/>
    <x v="0"/>
    <x v="1"/>
    <n v="4.4745081999999999E-2"/>
  </r>
  <r>
    <x v="0"/>
    <x v="6"/>
    <x v="12"/>
    <x v="19"/>
    <x v="0"/>
    <x v="0"/>
    <n v="190.88871972999999"/>
  </r>
  <r>
    <x v="0"/>
    <x v="6"/>
    <x v="13"/>
    <x v="19"/>
    <x v="0"/>
    <x v="0"/>
    <n v="271.93549115600001"/>
  </r>
  <r>
    <x v="0"/>
    <x v="6"/>
    <x v="14"/>
    <x v="19"/>
    <x v="0"/>
    <x v="0"/>
    <n v="89.578464832999998"/>
  </r>
  <r>
    <x v="0"/>
    <x v="6"/>
    <x v="15"/>
    <x v="19"/>
    <x v="0"/>
    <x v="1"/>
    <n v="4.3769938000000001E-2"/>
  </r>
  <r>
    <x v="0"/>
    <x v="6"/>
    <x v="16"/>
    <x v="19"/>
    <x v="0"/>
    <x v="1"/>
    <n v="4.7818623999999997E-2"/>
  </r>
  <r>
    <x v="0"/>
    <x v="6"/>
    <x v="12"/>
    <x v="20"/>
    <x v="0"/>
    <x v="0"/>
    <n v="29.047827736999999"/>
  </r>
  <r>
    <x v="0"/>
    <x v="6"/>
    <x v="13"/>
    <x v="20"/>
    <x v="0"/>
    <x v="0"/>
    <n v="36.647596344"/>
  </r>
  <r>
    <x v="0"/>
    <x v="6"/>
    <x v="14"/>
    <x v="20"/>
    <x v="0"/>
    <x v="0"/>
    <n v="6.8727959519999997"/>
  </r>
  <r>
    <x v="0"/>
    <x v="6"/>
    <x v="15"/>
    <x v="20"/>
    <x v="0"/>
    <x v="1"/>
    <n v="4.2402497999999997E-2"/>
  </r>
  <r>
    <x v="0"/>
    <x v="6"/>
    <x v="16"/>
    <x v="20"/>
    <x v="0"/>
    <x v="1"/>
    <n v="4.5464692000000001E-2"/>
  </r>
  <r>
    <x v="0"/>
    <x v="6"/>
    <x v="12"/>
    <x v="21"/>
    <x v="0"/>
    <x v="0"/>
    <n v="13.698640837999999"/>
  </r>
  <r>
    <x v="0"/>
    <x v="6"/>
    <x v="13"/>
    <x v="21"/>
    <x v="0"/>
    <x v="0"/>
    <n v="0.88854527599999999"/>
  </r>
  <r>
    <x v="0"/>
    <x v="6"/>
    <x v="14"/>
    <x v="21"/>
    <x v="0"/>
    <x v="0"/>
    <n v="1.241923909"/>
  </r>
  <r>
    <x v="0"/>
    <x v="6"/>
    <x v="15"/>
    <x v="21"/>
    <x v="0"/>
    <x v="1"/>
    <n v="5.4817077999999998E-2"/>
  </r>
  <r>
    <x v="0"/>
    <x v="6"/>
    <x v="16"/>
    <x v="21"/>
    <x v="0"/>
    <x v="1"/>
    <n v="5.5237730999999998E-2"/>
  </r>
  <r>
    <x v="0"/>
    <x v="6"/>
    <x v="12"/>
    <x v="22"/>
    <x v="0"/>
    <x v="0"/>
    <n v="74.887339338000004"/>
  </r>
  <r>
    <x v="0"/>
    <x v="6"/>
    <x v="13"/>
    <x v="22"/>
    <x v="0"/>
    <x v="0"/>
    <n v="1.35311457"/>
  </r>
  <r>
    <x v="0"/>
    <x v="6"/>
    <x v="14"/>
    <x v="22"/>
    <x v="0"/>
    <x v="0"/>
    <n v="4.205756783"/>
  </r>
  <r>
    <x v="0"/>
    <x v="6"/>
    <x v="15"/>
    <x v="22"/>
    <x v="0"/>
    <x v="1"/>
    <n v="1.114943E-2"/>
  </r>
  <r>
    <x v="0"/>
    <x v="6"/>
    <x v="16"/>
    <x v="22"/>
    <x v="0"/>
    <x v="1"/>
    <n v="9.4433120000000006E-3"/>
  </r>
  <r>
    <x v="0"/>
    <x v="6"/>
    <x v="12"/>
    <x v="23"/>
    <x v="0"/>
    <x v="0"/>
    <n v="6.9218139079999998"/>
  </r>
  <r>
    <x v="0"/>
    <x v="6"/>
    <x v="13"/>
    <x v="23"/>
    <x v="0"/>
    <x v="0"/>
    <n v="0"/>
  </r>
  <r>
    <x v="0"/>
    <x v="6"/>
    <x v="14"/>
    <x v="23"/>
    <x v="0"/>
    <x v="0"/>
    <n v="0"/>
  </r>
  <r>
    <x v="0"/>
    <x v="6"/>
    <x v="15"/>
    <x v="23"/>
    <x v="0"/>
    <x v="1"/>
    <n v="5.2557304999999999E-2"/>
  </r>
  <r>
    <x v="0"/>
    <x v="6"/>
    <x v="16"/>
    <x v="23"/>
    <x v="0"/>
    <x v="1"/>
    <n v="5.2557304999999999E-2"/>
  </r>
  <r>
    <x v="0"/>
    <x v="6"/>
    <x v="12"/>
    <x v="24"/>
    <x v="0"/>
    <x v="0"/>
    <n v="367.26385263399999"/>
  </r>
  <r>
    <x v="0"/>
    <x v="6"/>
    <x v="13"/>
    <x v="24"/>
    <x v="0"/>
    <x v="0"/>
    <n v="0.29950447299999999"/>
  </r>
  <r>
    <x v="0"/>
    <x v="6"/>
    <x v="14"/>
    <x v="24"/>
    <x v="0"/>
    <x v="0"/>
    <n v="0.336443204"/>
  </r>
  <r>
    <x v="0"/>
    <x v="6"/>
    <x v="15"/>
    <x v="24"/>
    <x v="0"/>
    <x v="1"/>
    <n v="4.0698772000000001E-2"/>
  </r>
  <r>
    <x v="0"/>
    <x v="6"/>
    <x v="16"/>
    <x v="24"/>
    <x v="0"/>
    <x v="1"/>
    <n v="4.0699937999999998E-2"/>
  </r>
  <r>
    <x v="0"/>
    <x v="6"/>
    <x v="12"/>
    <x v="25"/>
    <x v="0"/>
    <x v="0"/>
    <n v="20.643150070000001"/>
  </r>
  <r>
    <x v="0"/>
    <x v="6"/>
    <x v="13"/>
    <x v="25"/>
    <x v="0"/>
    <x v="0"/>
    <n v="1.8900000000000001E-7"/>
  </r>
  <r>
    <x v="0"/>
    <x v="6"/>
    <x v="14"/>
    <x v="25"/>
    <x v="0"/>
    <x v="0"/>
    <n v="0"/>
  </r>
  <r>
    <x v="0"/>
    <x v="6"/>
    <x v="15"/>
    <x v="25"/>
    <x v="0"/>
    <x v="1"/>
    <n v="3.6595535999999998E-2"/>
  </r>
  <r>
    <x v="0"/>
    <x v="6"/>
    <x v="16"/>
    <x v="25"/>
    <x v="0"/>
    <x v="1"/>
    <n v="3.6595535999999998E-2"/>
  </r>
  <r>
    <x v="0"/>
    <x v="6"/>
    <x v="12"/>
    <x v="26"/>
    <x v="0"/>
    <x v="0"/>
    <n v="9.1775713670000005"/>
  </r>
  <r>
    <x v="0"/>
    <x v="6"/>
    <x v="13"/>
    <x v="26"/>
    <x v="0"/>
    <x v="0"/>
    <n v="0"/>
  </r>
  <r>
    <x v="0"/>
    <x v="6"/>
    <x v="14"/>
    <x v="26"/>
    <x v="0"/>
    <x v="0"/>
    <n v="0"/>
  </r>
  <r>
    <x v="0"/>
    <x v="6"/>
    <x v="15"/>
    <x v="26"/>
    <x v="0"/>
    <x v="1"/>
    <n v="5.2527325E-2"/>
  </r>
  <r>
    <x v="0"/>
    <x v="6"/>
    <x v="16"/>
    <x v="26"/>
    <x v="0"/>
    <x v="1"/>
    <n v="5.2527325E-2"/>
  </r>
  <r>
    <x v="0"/>
    <x v="6"/>
    <x v="12"/>
    <x v="27"/>
    <x v="0"/>
    <x v="0"/>
    <n v="447.567480133"/>
  </r>
  <r>
    <x v="0"/>
    <x v="6"/>
    <x v="13"/>
    <x v="27"/>
    <x v="0"/>
    <x v="0"/>
    <n v="5.2326011110000001"/>
  </r>
  <r>
    <x v="0"/>
    <x v="6"/>
    <x v="14"/>
    <x v="27"/>
    <x v="0"/>
    <x v="0"/>
    <n v="1.5597492479999999"/>
  </r>
  <r>
    <x v="0"/>
    <x v="6"/>
    <x v="15"/>
    <x v="27"/>
    <x v="0"/>
    <x v="1"/>
    <n v="5.9856325000000002E-2"/>
  </r>
  <r>
    <x v="0"/>
    <x v="6"/>
    <x v="16"/>
    <x v="27"/>
    <x v="0"/>
    <x v="1"/>
    <n v="5.9949711000000003E-2"/>
  </r>
  <r>
    <x v="0"/>
    <x v="6"/>
    <x v="12"/>
    <x v="28"/>
    <x v="0"/>
    <x v="0"/>
    <n v="493.94819931500001"/>
  </r>
  <r>
    <x v="0"/>
    <x v="6"/>
    <x v="13"/>
    <x v="28"/>
    <x v="0"/>
    <x v="0"/>
    <n v="0"/>
  </r>
  <r>
    <x v="0"/>
    <x v="6"/>
    <x v="14"/>
    <x v="28"/>
    <x v="0"/>
    <x v="0"/>
    <n v="61.456154367000003"/>
  </r>
  <r>
    <x v="0"/>
    <x v="6"/>
    <x v="15"/>
    <x v="28"/>
    <x v="0"/>
    <x v="1"/>
    <n v="4.2295986000000001E-2"/>
  </r>
  <r>
    <x v="0"/>
    <x v="6"/>
    <x v="16"/>
    <x v="28"/>
    <x v="0"/>
    <x v="1"/>
    <n v="4.2295986000000001E-2"/>
  </r>
  <r>
    <x v="0"/>
    <x v="6"/>
    <x v="12"/>
    <x v="29"/>
    <x v="0"/>
    <x v="0"/>
    <n v="434.18567880099999"/>
  </r>
  <r>
    <x v="0"/>
    <x v="6"/>
    <x v="13"/>
    <x v="29"/>
    <x v="0"/>
    <x v="0"/>
    <n v="53.899665843000001"/>
  </r>
  <r>
    <x v="0"/>
    <x v="6"/>
    <x v="14"/>
    <x v="29"/>
    <x v="0"/>
    <x v="0"/>
    <n v="20.823231446000001"/>
  </r>
  <r>
    <x v="0"/>
    <x v="6"/>
    <x v="15"/>
    <x v="29"/>
    <x v="0"/>
    <x v="1"/>
    <n v="4.6581717000000002E-2"/>
  </r>
  <r>
    <x v="0"/>
    <x v="6"/>
    <x v="16"/>
    <x v="29"/>
    <x v="0"/>
    <x v="1"/>
    <n v="4.7117639000000003E-2"/>
  </r>
  <r>
    <x v="0"/>
    <x v="6"/>
    <x v="12"/>
    <x v="30"/>
    <x v="0"/>
    <x v="0"/>
    <n v="104.67648024899999"/>
  </r>
  <r>
    <x v="0"/>
    <x v="6"/>
    <x v="13"/>
    <x v="30"/>
    <x v="0"/>
    <x v="0"/>
    <n v="33.947861535999998"/>
  </r>
  <r>
    <x v="0"/>
    <x v="6"/>
    <x v="14"/>
    <x v="30"/>
    <x v="0"/>
    <x v="0"/>
    <n v="0.81356257799999998"/>
  </r>
  <r>
    <x v="0"/>
    <x v="6"/>
    <x v="15"/>
    <x v="30"/>
    <x v="0"/>
    <x v="1"/>
    <n v="7.1960874999999994E-2"/>
  </r>
  <r>
    <x v="0"/>
    <x v="6"/>
    <x v="16"/>
    <x v="30"/>
    <x v="0"/>
    <x v="1"/>
    <n v="7.5505844000000003E-2"/>
  </r>
  <r>
    <x v="0"/>
    <x v="6"/>
    <x v="12"/>
    <x v="31"/>
    <x v="0"/>
    <x v="0"/>
    <n v="167.81683275200001"/>
  </r>
  <r>
    <x v="0"/>
    <x v="6"/>
    <x v="13"/>
    <x v="31"/>
    <x v="0"/>
    <x v="0"/>
    <n v="8.0524035260000009"/>
  </r>
  <r>
    <x v="0"/>
    <x v="6"/>
    <x v="14"/>
    <x v="31"/>
    <x v="0"/>
    <x v="0"/>
    <n v="5.8384659880000003"/>
  </r>
  <r>
    <x v="0"/>
    <x v="6"/>
    <x v="15"/>
    <x v="31"/>
    <x v="0"/>
    <x v="1"/>
    <n v="3.7743956000000002E-2"/>
  </r>
  <r>
    <x v="0"/>
    <x v="6"/>
    <x v="16"/>
    <x v="31"/>
    <x v="0"/>
    <x v="1"/>
    <n v="3.7734711999999997E-2"/>
  </r>
  <r>
    <x v="0"/>
    <x v="6"/>
    <x v="12"/>
    <x v="32"/>
    <x v="0"/>
    <x v="0"/>
    <n v="580.46670838800003"/>
  </r>
  <r>
    <x v="0"/>
    <x v="6"/>
    <x v="13"/>
    <x v="32"/>
    <x v="0"/>
    <x v="0"/>
    <n v="4.4872478510000002"/>
  </r>
  <r>
    <x v="0"/>
    <x v="6"/>
    <x v="14"/>
    <x v="32"/>
    <x v="0"/>
    <x v="0"/>
    <n v="2.747121054"/>
  </r>
  <r>
    <x v="0"/>
    <x v="6"/>
    <x v="15"/>
    <x v="32"/>
    <x v="0"/>
    <x v="1"/>
    <n v="3.7101056E-2"/>
  </r>
  <r>
    <x v="0"/>
    <x v="6"/>
    <x v="16"/>
    <x v="32"/>
    <x v="0"/>
    <x v="1"/>
    <n v="3.7095780000000002E-2"/>
  </r>
  <r>
    <x v="0"/>
    <x v="6"/>
    <x v="12"/>
    <x v="33"/>
    <x v="0"/>
    <x v="0"/>
    <n v="573.32595711900001"/>
  </r>
  <r>
    <x v="0"/>
    <x v="6"/>
    <x v="13"/>
    <x v="33"/>
    <x v="0"/>
    <x v="0"/>
    <n v="0"/>
  </r>
  <r>
    <x v="0"/>
    <x v="6"/>
    <x v="14"/>
    <x v="33"/>
    <x v="0"/>
    <x v="0"/>
    <n v="0"/>
  </r>
  <r>
    <x v="0"/>
    <x v="6"/>
    <x v="15"/>
    <x v="33"/>
    <x v="0"/>
    <x v="1"/>
    <n v="2.3001405999999999E-2"/>
  </r>
  <r>
    <x v="0"/>
    <x v="6"/>
    <x v="16"/>
    <x v="33"/>
    <x v="0"/>
    <x v="1"/>
    <n v="2.3001405999999999E-2"/>
  </r>
  <r>
    <x v="0"/>
    <x v="6"/>
    <x v="12"/>
    <x v="34"/>
    <x v="0"/>
    <x v="0"/>
    <n v="261.10438261100001"/>
  </r>
  <r>
    <x v="0"/>
    <x v="6"/>
    <x v="13"/>
    <x v="34"/>
    <x v="0"/>
    <x v="0"/>
    <n v="57.360300502999998"/>
  </r>
  <r>
    <x v="0"/>
    <x v="6"/>
    <x v="14"/>
    <x v="34"/>
    <x v="0"/>
    <x v="0"/>
    <n v="13.500242547999999"/>
  </r>
  <r>
    <x v="0"/>
    <x v="6"/>
    <x v="15"/>
    <x v="34"/>
    <x v="0"/>
    <x v="1"/>
    <n v="4.9451873E-2"/>
  </r>
  <r>
    <x v="0"/>
    <x v="6"/>
    <x v="16"/>
    <x v="34"/>
    <x v="0"/>
    <x v="1"/>
    <n v="5.0613028999999997E-2"/>
  </r>
  <r>
    <x v="0"/>
    <x v="6"/>
    <x v="12"/>
    <x v="35"/>
    <x v="0"/>
    <x v="0"/>
    <n v="193.91727610000001"/>
  </r>
  <r>
    <x v="0"/>
    <x v="6"/>
    <x v="13"/>
    <x v="35"/>
    <x v="0"/>
    <x v="0"/>
    <n v="5.4742092009999999"/>
  </r>
  <r>
    <x v="0"/>
    <x v="6"/>
    <x v="14"/>
    <x v="35"/>
    <x v="0"/>
    <x v="0"/>
    <n v="8.0164333000000004E-2"/>
  </r>
  <r>
    <x v="0"/>
    <x v="6"/>
    <x v="15"/>
    <x v="35"/>
    <x v="0"/>
    <x v="1"/>
    <n v="5.3461941999999998E-2"/>
  </r>
  <r>
    <x v="0"/>
    <x v="6"/>
    <x v="16"/>
    <x v="35"/>
    <x v="0"/>
    <x v="1"/>
    <n v="5.3651788999999998E-2"/>
  </r>
  <r>
    <x v="0"/>
    <x v="6"/>
    <x v="12"/>
    <x v="36"/>
    <x v="0"/>
    <x v="0"/>
    <n v="54.196166783999999"/>
  </r>
  <r>
    <x v="0"/>
    <x v="6"/>
    <x v="13"/>
    <x v="36"/>
    <x v="0"/>
    <x v="0"/>
    <n v="10.385462284999999"/>
  </r>
  <r>
    <x v="0"/>
    <x v="6"/>
    <x v="14"/>
    <x v="36"/>
    <x v="0"/>
    <x v="0"/>
    <n v="0.31130629199999998"/>
  </r>
  <r>
    <x v="0"/>
    <x v="6"/>
    <x v="15"/>
    <x v="36"/>
    <x v="0"/>
    <x v="1"/>
    <n v="6.0548945999999999E-2"/>
  </r>
  <r>
    <x v="0"/>
    <x v="6"/>
    <x v="16"/>
    <x v="36"/>
    <x v="0"/>
    <x v="1"/>
    <n v="6.2233535E-2"/>
  </r>
  <r>
    <x v="0"/>
    <x v="6"/>
    <x v="12"/>
    <x v="37"/>
    <x v="0"/>
    <x v="0"/>
    <n v="76.790578465999999"/>
  </r>
  <r>
    <x v="0"/>
    <x v="6"/>
    <x v="13"/>
    <x v="37"/>
    <x v="0"/>
    <x v="0"/>
    <n v="3.0283625660000002"/>
  </r>
  <r>
    <x v="0"/>
    <x v="6"/>
    <x v="14"/>
    <x v="37"/>
    <x v="0"/>
    <x v="0"/>
    <n v="0.222479119"/>
  </r>
  <r>
    <x v="0"/>
    <x v="6"/>
    <x v="15"/>
    <x v="37"/>
    <x v="0"/>
    <x v="1"/>
    <n v="6.6294904000000002E-2"/>
  </r>
  <r>
    <x v="0"/>
    <x v="6"/>
    <x v="16"/>
    <x v="37"/>
    <x v="0"/>
    <x v="1"/>
    <n v="6.6725009000000002E-2"/>
  </r>
  <r>
    <x v="0"/>
    <x v="6"/>
    <x v="12"/>
    <x v="38"/>
    <x v="0"/>
    <x v="0"/>
    <n v="176.11038330900001"/>
  </r>
  <r>
    <x v="0"/>
    <x v="6"/>
    <x v="13"/>
    <x v="38"/>
    <x v="0"/>
    <x v="0"/>
    <n v="10.42495353"/>
  </r>
  <r>
    <x v="0"/>
    <x v="6"/>
    <x v="14"/>
    <x v="38"/>
    <x v="0"/>
    <x v="0"/>
    <n v="6.6949380000000003E-2"/>
  </r>
  <r>
    <x v="0"/>
    <x v="6"/>
    <x v="15"/>
    <x v="38"/>
    <x v="0"/>
    <x v="1"/>
    <n v="9.6452278000000002E-2"/>
  </r>
  <r>
    <x v="0"/>
    <x v="6"/>
    <x v="16"/>
    <x v="38"/>
    <x v="0"/>
    <x v="1"/>
    <n v="9.7519010000000003E-2"/>
  </r>
  <r>
    <x v="0"/>
    <x v="6"/>
    <x v="12"/>
    <x v="39"/>
    <x v="0"/>
    <x v="0"/>
    <n v="90.909581383000003"/>
  </r>
  <r>
    <x v="0"/>
    <x v="6"/>
    <x v="13"/>
    <x v="39"/>
    <x v="0"/>
    <x v="0"/>
    <n v="3.9628483889999999"/>
  </r>
  <r>
    <x v="0"/>
    <x v="6"/>
    <x v="14"/>
    <x v="39"/>
    <x v="0"/>
    <x v="0"/>
    <n v="6.5851881000000001E-2"/>
  </r>
  <r>
    <x v="0"/>
    <x v="6"/>
    <x v="15"/>
    <x v="39"/>
    <x v="0"/>
    <x v="1"/>
    <n v="7.8466911E-2"/>
  </r>
  <r>
    <x v="0"/>
    <x v="6"/>
    <x v="16"/>
    <x v="39"/>
    <x v="0"/>
    <x v="1"/>
    <n v="7.9008870999999994E-2"/>
  </r>
  <r>
    <x v="0"/>
    <x v="6"/>
    <x v="12"/>
    <x v="40"/>
    <x v="0"/>
    <x v="0"/>
    <n v="41.889097618999998"/>
  </r>
  <r>
    <x v="0"/>
    <x v="6"/>
    <x v="13"/>
    <x v="40"/>
    <x v="0"/>
    <x v="0"/>
    <n v="28.882057929999998"/>
  </r>
  <r>
    <x v="0"/>
    <x v="6"/>
    <x v="14"/>
    <x v="40"/>
    <x v="0"/>
    <x v="0"/>
    <n v="1.4772682610000001"/>
  </r>
  <r>
    <x v="0"/>
    <x v="6"/>
    <x v="15"/>
    <x v="40"/>
    <x v="0"/>
    <x v="1"/>
    <n v="5.4849639999999998E-2"/>
  </r>
  <r>
    <x v="0"/>
    <x v="6"/>
    <x v="16"/>
    <x v="40"/>
    <x v="0"/>
    <x v="1"/>
    <n v="6.0018948000000003E-2"/>
  </r>
  <r>
    <x v="0"/>
    <x v="6"/>
    <x v="12"/>
    <x v="41"/>
    <x v="0"/>
    <x v="0"/>
    <n v="389.23778123199997"/>
  </r>
  <r>
    <x v="0"/>
    <x v="6"/>
    <x v="13"/>
    <x v="41"/>
    <x v="0"/>
    <x v="0"/>
    <n v="8.6323615199999999"/>
  </r>
  <r>
    <x v="0"/>
    <x v="6"/>
    <x v="14"/>
    <x v="41"/>
    <x v="0"/>
    <x v="0"/>
    <n v="0.116806227"/>
  </r>
  <r>
    <x v="0"/>
    <x v="6"/>
    <x v="15"/>
    <x v="41"/>
    <x v="0"/>
    <x v="1"/>
    <n v="9.2636141000000005E-2"/>
  </r>
  <r>
    <x v="0"/>
    <x v="6"/>
    <x v="16"/>
    <x v="41"/>
    <x v="0"/>
    <x v="1"/>
    <n v="9.2989507999999998E-2"/>
  </r>
  <r>
    <x v="0"/>
    <x v="6"/>
    <x v="17"/>
    <x v="0"/>
    <x v="46"/>
    <x v="1"/>
    <n v="66.198907742000003"/>
  </r>
  <r>
    <x v="0"/>
    <x v="6"/>
    <x v="17"/>
    <x v="0"/>
    <x v="47"/>
    <x v="1"/>
    <n v="66.198907742000003"/>
  </r>
  <r>
    <x v="0"/>
    <x v="6"/>
    <x v="17"/>
    <x v="0"/>
    <x v="48"/>
    <x v="1"/>
    <n v="66.198907742000003"/>
  </r>
  <r>
    <x v="0"/>
    <x v="6"/>
    <x v="17"/>
    <x v="0"/>
    <x v="49"/>
    <x v="1"/>
    <n v="0"/>
  </r>
  <r>
    <x v="0"/>
    <x v="6"/>
    <x v="17"/>
    <x v="0"/>
    <x v="50"/>
    <x v="1"/>
    <n v="0"/>
  </r>
  <r>
    <x v="0"/>
    <x v="6"/>
    <x v="17"/>
    <x v="0"/>
    <x v="51"/>
    <x v="1"/>
    <n v="0"/>
  </r>
  <r>
    <x v="0"/>
    <x v="6"/>
    <x v="17"/>
    <x v="0"/>
    <x v="52"/>
    <x v="1"/>
    <n v="0"/>
  </r>
  <r>
    <x v="0"/>
    <x v="6"/>
    <x v="17"/>
    <x v="0"/>
    <x v="53"/>
    <x v="1"/>
    <n v="0"/>
  </r>
  <r>
    <x v="0"/>
    <x v="6"/>
    <x v="17"/>
    <x v="0"/>
    <x v="54"/>
    <x v="1"/>
    <n v="0"/>
  </r>
  <r>
    <x v="0"/>
    <x v="6"/>
    <x v="17"/>
    <x v="0"/>
    <x v="55"/>
    <x v="1"/>
    <n v="0"/>
  </r>
  <r>
    <x v="0"/>
    <x v="6"/>
    <x v="17"/>
    <x v="1"/>
    <x v="46"/>
    <x v="1"/>
    <n v="11.534484922000001"/>
  </r>
  <r>
    <x v="0"/>
    <x v="6"/>
    <x v="17"/>
    <x v="1"/>
    <x v="47"/>
    <x v="1"/>
    <n v="11.534484922000001"/>
  </r>
  <r>
    <x v="0"/>
    <x v="6"/>
    <x v="17"/>
    <x v="1"/>
    <x v="48"/>
    <x v="1"/>
    <n v="11.534484922000001"/>
  </r>
  <r>
    <x v="0"/>
    <x v="6"/>
    <x v="17"/>
    <x v="1"/>
    <x v="49"/>
    <x v="1"/>
    <n v="0"/>
  </r>
  <r>
    <x v="0"/>
    <x v="6"/>
    <x v="17"/>
    <x v="1"/>
    <x v="50"/>
    <x v="1"/>
    <n v="0"/>
  </r>
  <r>
    <x v="0"/>
    <x v="6"/>
    <x v="17"/>
    <x v="1"/>
    <x v="51"/>
    <x v="1"/>
    <n v="0"/>
  </r>
  <r>
    <x v="0"/>
    <x v="6"/>
    <x v="17"/>
    <x v="1"/>
    <x v="52"/>
    <x v="1"/>
    <n v="0"/>
  </r>
  <r>
    <x v="0"/>
    <x v="6"/>
    <x v="17"/>
    <x v="1"/>
    <x v="53"/>
    <x v="1"/>
    <n v="0"/>
  </r>
  <r>
    <x v="0"/>
    <x v="6"/>
    <x v="17"/>
    <x v="1"/>
    <x v="54"/>
    <x v="1"/>
    <n v="0"/>
  </r>
  <r>
    <x v="0"/>
    <x v="6"/>
    <x v="17"/>
    <x v="1"/>
    <x v="55"/>
    <x v="1"/>
    <n v="0"/>
  </r>
  <r>
    <x v="0"/>
    <x v="6"/>
    <x v="17"/>
    <x v="2"/>
    <x v="46"/>
    <x v="1"/>
    <n v="8.1324531610000008"/>
  </r>
  <r>
    <x v="0"/>
    <x v="6"/>
    <x v="17"/>
    <x v="2"/>
    <x v="47"/>
    <x v="1"/>
    <n v="8.1324531610000008"/>
  </r>
  <r>
    <x v="0"/>
    <x v="6"/>
    <x v="17"/>
    <x v="2"/>
    <x v="48"/>
    <x v="1"/>
    <n v="8.1324531610000008"/>
  </r>
  <r>
    <x v="0"/>
    <x v="6"/>
    <x v="17"/>
    <x v="2"/>
    <x v="49"/>
    <x v="1"/>
    <n v="0"/>
  </r>
  <r>
    <x v="0"/>
    <x v="6"/>
    <x v="17"/>
    <x v="2"/>
    <x v="50"/>
    <x v="1"/>
    <n v="0"/>
  </r>
  <r>
    <x v="0"/>
    <x v="6"/>
    <x v="17"/>
    <x v="2"/>
    <x v="51"/>
    <x v="1"/>
    <n v="0"/>
  </r>
  <r>
    <x v="0"/>
    <x v="6"/>
    <x v="17"/>
    <x v="2"/>
    <x v="52"/>
    <x v="1"/>
    <n v="0"/>
  </r>
  <r>
    <x v="0"/>
    <x v="6"/>
    <x v="17"/>
    <x v="2"/>
    <x v="53"/>
    <x v="1"/>
    <n v="0"/>
  </r>
  <r>
    <x v="0"/>
    <x v="6"/>
    <x v="17"/>
    <x v="2"/>
    <x v="54"/>
    <x v="1"/>
    <n v="0"/>
  </r>
  <r>
    <x v="0"/>
    <x v="6"/>
    <x v="17"/>
    <x v="2"/>
    <x v="55"/>
    <x v="1"/>
    <n v="0"/>
  </r>
  <r>
    <x v="0"/>
    <x v="6"/>
    <x v="17"/>
    <x v="3"/>
    <x v="46"/>
    <x v="1"/>
    <n v="5.2651107699999997"/>
  </r>
  <r>
    <x v="0"/>
    <x v="6"/>
    <x v="17"/>
    <x v="3"/>
    <x v="47"/>
    <x v="1"/>
    <n v="5.2651107699999997"/>
  </r>
  <r>
    <x v="0"/>
    <x v="6"/>
    <x v="17"/>
    <x v="3"/>
    <x v="48"/>
    <x v="1"/>
    <n v="5.2651107699999997"/>
  </r>
  <r>
    <x v="0"/>
    <x v="6"/>
    <x v="17"/>
    <x v="3"/>
    <x v="49"/>
    <x v="1"/>
    <n v="0"/>
  </r>
  <r>
    <x v="0"/>
    <x v="6"/>
    <x v="17"/>
    <x v="3"/>
    <x v="50"/>
    <x v="1"/>
    <n v="0"/>
  </r>
  <r>
    <x v="0"/>
    <x v="6"/>
    <x v="17"/>
    <x v="3"/>
    <x v="51"/>
    <x v="1"/>
    <n v="0"/>
  </r>
  <r>
    <x v="0"/>
    <x v="6"/>
    <x v="17"/>
    <x v="3"/>
    <x v="52"/>
    <x v="1"/>
    <n v="0"/>
  </r>
  <r>
    <x v="0"/>
    <x v="6"/>
    <x v="17"/>
    <x v="3"/>
    <x v="53"/>
    <x v="1"/>
    <n v="0"/>
  </r>
  <r>
    <x v="0"/>
    <x v="6"/>
    <x v="17"/>
    <x v="3"/>
    <x v="54"/>
    <x v="1"/>
    <n v="0"/>
  </r>
  <r>
    <x v="0"/>
    <x v="6"/>
    <x v="17"/>
    <x v="3"/>
    <x v="55"/>
    <x v="1"/>
    <n v="0"/>
  </r>
  <r>
    <x v="0"/>
    <x v="6"/>
    <x v="17"/>
    <x v="4"/>
    <x v="46"/>
    <x v="1"/>
    <n v="2.780749659"/>
  </r>
  <r>
    <x v="0"/>
    <x v="6"/>
    <x v="17"/>
    <x v="4"/>
    <x v="47"/>
    <x v="1"/>
    <n v="2.780749659"/>
  </r>
  <r>
    <x v="0"/>
    <x v="6"/>
    <x v="17"/>
    <x v="4"/>
    <x v="48"/>
    <x v="1"/>
    <n v="2.780749659"/>
  </r>
  <r>
    <x v="0"/>
    <x v="6"/>
    <x v="17"/>
    <x v="4"/>
    <x v="49"/>
    <x v="1"/>
    <n v="0"/>
  </r>
  <r>
    <x v="0"/>
    <x v="6"/>
    <x v="17"/>
    <x v="4"/>
    <x v="50"/>
    <x v="1"/>
    <n v="0"/>
  </r>
  <r>
    <x v="0"/>
    <x v="6"/>
    <x v="17"/>
    <x v="4"/>
    <x v="51"/>
    <x v="1"/>
    <n v="0"/>
  </r>
  <r>
    <x v="0"/>
    <x v="6"/>
    <x v="17"/>
    <x v="4"/>
    <x v="52"/>
    <x v="1"/>
    <n v="0"/>
  </r>
  <r>
    <x v="0"/>
    <x v="6"/>
    <x v="17"/>
    <x v="4"/>
    <x v="53"/>
    <x v="1"/>
    <n v="0"/>
  </r>
  <r>
    <x v="0"/>
    <x v="6"/>
    <x v="17"/>
    <x v="4"/>
    <x v="54"/>
    <x v="1"/>
    <n v="0"/>
  </r>
  <r>
    <x v="0"/>
    <x v="6"/>
    <x v="17"/>
    <x v="4"/>
    <x v="55"/>
    <x v="1"/>
    <n v="0"/>
  </r>
  <r>
    <x v="0"/>
    <x v="6"/>
    <x v="17"/>
    <x v="5"/>
    <x v="46"/>
    <x v="1"/>
    <n v="39.117931968999997"/>
  </r>
  <r>
    <x v="0"/>
    <x v="6"/>
    <x v="17"/>
    <x v="5"/>
    <x v="47"/>
    <x v="1"/>
    <n v="39.117931968999997"/>
  </r>
  <r>
    <x v="0"/>
    <x v="6"/>
    <x v="17"/>
    <x v="5"/>
    <x v="48"/>
    <x v="1"/>
    <n v="39.117931968999997"/>
  </r>
  <r>
    <x v="0"/>
    <x v="6"/>
    <x v="17"/>
    <x v="5"/>
    <x v="49"/>
    <x v="1"/>
    <n v="0"/>
  </r>
  <r>
    <x v="0"/>
    <x v="6"/>
    <x v="17"/>
    <x v="5"/>
    <x v="50"/>
    <x v="1"/>
    <n v="0"/>
  </r>
  <r>
    <x v="0"/>
    <x v="6"/>
    <x v="17"/>
    <x v="5"/>
    <x v="51"/>
    <x v="1"/>
    <n v="0"/>
  </r>
  <r>
    <x v="0"/>
    <x v="6"/>
    <x v="17"/>
    <x v="5"/>
    <x v="52"/>
    <x v="1"/>
    <n v="0"/>
  </r>
  <r>
    <x v="0"/>
    <x v="6"/>
    <x v="17"/>
    <x v="5"/>
    <x v="53"/>
    <x v="1"/>
    <n v="0"/>
  </r>
  <r>
    <x v="0"/>
    <x v="6"/>
    <x v="17"/>
    <x v="5"/>
    <x v="54"/>
    <x v="1"/>
    <n v="0"/>
  </r>
  <r>
    <x v="0"/>
    <x v="6"/>
    <x v="17"/>
    <x v="5"/>
    <x v="55"/>
    <x v="1"/>
    <n v="0"/>
  </r>
  <r>
    <x v="0"/>
    <x v="6"/>
    <x v="17"/>
    <x v="6"/>
    <x v="46"/>
    <x v="1"/>
    <n v="10.82324509"/>
  </r>
  <r>
    <x v="0"/>
    <x v="6"/>
    <x v="17"/>
    <x v="6"/>
    <x v="47"/>
    <x v="1"/>
    <n v="10.82324509"/>
  </r>
  <r>
    <x v="0"/>
    <x v="6"/>
    <x v="17"/>
    <x v="6"/>
    <x v="48"/>
    <x v="1"/>
    <n v="10.82324509"/>
  </r>
  <r>
    <x v="0"/>
    <x v="6"/>
    <x v="17"/>
    <x v="6"/>
    <x v="49"/>
    <x v="1"/>
    <n v="0"/>
  </r>
  <r>
    <x v="0"/>
    <x v="6"/>
    <x v="17"/>
    <x v="6"/>
    <x v="50"/>
    <x v="1"/>
    <n v="0"/>
  </r>
  <r>
    <x v="0"/>
    <x v="6"/>
    <x v="17"/>
    <x v="6"/>
    <x v="51"/>
    <x v="1"/>
    <n v="0"/>
  </r>
  <r>
    <x v="0"/>
    <x v="6"/>
    <x v="17"/>
    <x v="6"/>
    <x v="52"/>
    <x v="1"/>
    <n v="0"/>
  </r>
  <r>
    <x v="0"/>
    <x v="6"/>
    <x v="17"/>
    <x v="6"/>
    <x v="53"/>
    <x v="1"/>
    <n v="0"/>
  </r>
  <r>
    <x v="0"/>
    <x v="6"/>
    <x v="17"/>
    <x v="6"/>
    <x v="54"/>
    <x v="1"/>
    <n v="0"/>
  </r>
  <r>
    <x v="0"/>
    <x v="6"/>
    <x v="17"/>
    <x v="6"/>
    <x v="55"/>
    <x v="1"/>
    <n v="0"/>
  </r>
  <r>
    <x v="0"/>
    <x v="6"/>
    <x v="17"/>
    <x v="7"/>
    <x v="46"/>
    <x v="1"/>
    <n v="7.2252821049999998"/>
  </r>
  <r>
    <x v="0"/>
    <x v="6"/>
    <x v="17"/>
    <x v="7"/>
    <x v="47"/>
    <x v="1"/>
    <n v="7.2252821049999998"/>
  </r>
  <r>
    <x v="0"/>
    <x v="6"/>
    <x v="17"/>
    <x v="7"/>
    <x v="48"/>
    <x v="1"/>
    <n v="7.2252821049999998"/>
  </r>
  <r>
    <x v="0"/>
    <x v="6"/>
    <x v="17"/>
    <x v="7"/>
    <x v="49"/>
    <x v="1"/>
    <n v="0"/>
  </r>
  <r>
    <x v="0"/>
    <x v="6"/>
    <x v="17"/>
    <x v="7"/>
    <x v="50"/>
    <x v="1"/>
    <n v="0"/>
  </r>
  <r>
    <x v="0"/>
    <x v="6"/>
    <x v="17"/>
    <x v="7"/>
    <x v="51"/>
    <x v="1"/>
    <n v="0"/>
  </r>
  <r>
    <x v="0"/>
    <x v="6"/>
    <x v="17"/>
    <x v="7"/>
    <x v="52"/>
    <x v="1"/>
    <n v="0"/>
  </r>
  <r>
    <x v="0"/>
    <x v="6"/>
    <x v="17"/>
    <x v="7"/>
    <x v="53"/>
    <x v="1"/>
    <n v="0"/>
  </r>
  <r>
    <x v="0"/>
    <x v="6"/>
    <x v="17"/>
    <x v="7"/>
    <x v="54"/>
    <x v="1"/>
    <n v="0"/>
  </r>
  <r>
    <x v="0"/>
    <x v="6"/>
    <x v="17"/>
    <x v="7"/>
    <x v="55"/>
    <x v="1"/>
    <n v="0"/>
  </r>
  <r>
    <x v="0"/>
    <x v="6"/>
    <x v="17"/>
    <x v="8"/>
    <x v="46"/>
    <x v="1"/>
    <n v="4.9124028239999999"/>
  </r>
  <r>
    <x v="0"/>
    <x v="6"/>
    <x v="17"/>
    <x v="8"/>
    <x v="47"/>
    <x v="1"/>
    <n v="4.9124028239999999"/>
  </r>
  <r>
    <x v="0"/>
    <x v="6"/>
    <x v="17"/>
    <x v="8"/>
    <x v="48"/>
    <x v="1"/>
    <n v="4.9124028239999999"/>
  </r>
  <r>
    <x v="0"/>
    <x v="6"/>
    <x v="17"/>
    <x v="8"/>
    <x v="49"/>
    <x v="1"/>
    <n v="0"/>
  </r>
  <r>
    <x v="0"/>
    <x v="6"/>
    <x v="17"/>
    <x v="8"/>
    <x v="50"/>
    <x v="1"/>
    <n v="0"/>
  </r>
  <r>
    <x v="0"/>
    <x v="6"/>
    <x v="17"/>
    <x v="8"/>
    <x v="51"/>
    <x v="1"/>
    <n v="0"/>
  </r>
  <r>
    <x v="0"/>
    <x v="6"/>
    <x v="17"/>
    <x v="8"/>
    <x v="52"/>
    <x v="1"/>
    <n v="0"/>
  </r>
  <r>
    <x v="0"/>
    <x v="6"/>
    <x v="17"/>
    <x v="8"/>
    <x v="53"/>
    <x v="1"/>
    <n v="0"/>
  </r>
  <r>
    <x v="0"/>
    <x v="6"/>
    <x v="17"/>
    <x v="8"/>
    <x v="54"/>
    <x v="1"/>
    <n v="0"/>
  </r>
  <r>
    <x v="0"/>
    <x v="6"/>
    <x v="17"/>
    <x v="8"/>
    <x v="55"/>
    <x v="1"/>
    <n v="0"/>
  </r>
  <r>
    <x v="0"/>
    <x v="6"/>
    <x v="17"/>
    <x v="9"/>
    <x v="46"/>
    <x v="1"/>
    <n v="10.568109932"/>
  </r>
  <r>
    <x v="0"/>
    <x v="6"/>
    <x v="17"/>
    <x v="9"/>
    <x v="47"/>
    <x v="1"/>
    <n v="10.568109932"/>
  </r>
  <r>
    <x v="0"/>
    <x v="6"/>
    <x v="17"/>
    <x v="9"/>
    <x v="48"/>
    <x v="1"/>
    <n v="10.568109932"/>
  </r>
  <r>
    <x v="0"/>
    <x v="6"/>
    <x v="17"/>
    <x v="9"/>
    <x v="49"/>
    <x v="1"/>
    <n v="0"/>
  </r>
  <r>
    <x v="0"/>
    <x v="6"/>
    <x v="17"/>
    <x v="9"/>
    <x v="50"/>
    <x v="1"/>
    <n v="0"/>
  </r>
  <r>
    <x v="0"/>
    <x v="6"/>
    <x v="17"/>
    <x v="9"/>
    <x v="51"/>
    <x v="1"/>
    <n v="0"/>
  </r>
  <r>
    <x v="0"/>
    <x v="6"/>
    <x v="17"/>
    <x v="9"/>
    <x v="52"/>
    <x v="1"/>
    <n v="0"/>
  </r>
  <r>
    <x v="0"/>
    <x v="6"/>
    <x v="17"/>
    <x v="9"/>
    <x v="53"/>
    <x v="1"/>
    <n v="0"/>
  </r>
  <r>
    <x v="0"/>
    <x v="6"/>
    <x v="17"/>
    <x v="9"/>
    <x v="54"/>
    <x v="1"/>
    <n v="0"/>
  </r>
  <r>
    <x v="0"/>
    <x v="6"/>
    <x v="17"/>
    <x v="9"/>
    <x v="55"/>
    <x v="1"/>
    <n v="0"/>
  </r>
  <r>
    <x v="0"/>
    <x v="6"/>
    <x v="17"/>
    <x v="10"/>
    <x v="46"/>
    <x v="1"/>
    <n v="11.583330719999999"/>
  </r>
  <r>
    <x v="0"/>
    <x v="6"/>
    <x v="17"/>
    <x v="10"/>
    <x v="47"/>
    <x v="1"/>
    <n v="11.583330719999999"/>
  </r>
  <r>
    <x v="0"/>
    <x v="6"/>
    <x v="17"/>
    <x v="10"/>
    <x v="48"/>
    <x v="1"/>
    <n v="11.583330719999999"/>
  </r>
  <r>
    <x v="0"/>
    <x v="6"/>
    <x v="17"/>
    <x v="10"/>
    <x v="49"/>
    <x v="1"/>
    <n v="0"/>
  </r>
  <r>
    <x v="0"/>
    <x v="6"/>
    <x v="17"/>
    <x v="10"/>
    <x v="50"/>
    <x v="1"/>
    <n v="0"/>
  </r>
  <r>
    <x v="0"/>
    <x v="6"/>
    <x v="17"/>
    <x v="10"/>
    <x v="51"/>
    <x v="1"/>
    <n v="0"/>
  </r>
  <r>
    <x v="0"/>
    <x v="6"/>
    <x v="17"/>
    <x v="10"/>
    <x v="52"/>
    <x v="1"/>
    <n v="0"/>
  </r>
  <r>
    <x v="0"/>
    <x v="6"/>
    <x v="17"/>
    <x v="10"/>
    <x v="53"/>
    <x v="1"/>
    <n v="0"/>
  </r>
  <r>
    <x v="0"/>
    <x v="6"/>
    <x v="17"/>
    <x v="10"/>
    <x v="54"/>
    <x v="1"/>
    <n v="0"/>
  </r>
  <r>
    <x v="0"/>
    <x v="6"/>
    <x v="17"/>
    <x v="10"/>
    <x v="55"/>
    <x v="1"/>
    <n v="0"/>
  </r>
  <r>
    <x v="0"/>
    <x v="6"/>
    <x v="17"/>
    <x v="11"/>
    <x v="46"/>
    <x v="1"/>
    <n v="37.213158172999997"/>
  </r>
  <r>
    <x v="0"/>
    <x v="6"/>
    <x v="17"/>
    <x v="11"/>
    <x v="47"/>
    <x v="1"/>
    <n v="37.213158172999997"/>
  </r>
  <r>
    <x v="0"/>
    <x v="6"/>
    <x v="17"/>
    <x v="11"/>
    <x v="48"/>
    <x v="1"/>
    <n v="37.213158172999997"/>
  </r>
  <r>
    <x v="0"/>
    <x v="6"/>
    <x v="17"/>
    <x v="11"/>
    <x v="49"/>
    <x v="1"/>
    <n v="0"/>
  </r>
  <r>
    <x v="0"/>
    <x v="6"/>
    <x v="17"/>
    <x v="11"/>
    <x v="50"/>
    <x v="1"/>
    <n v="0"/>
  </r>
  <r>
    <x v="0"/>
    <x v="6"/>
    <x v="17"/>
    <x v="11"/>
    <x v="51"/>
    <x v="1"/>
    <n v="0"/>
  </r>
  <r>
    <x v="0"/>
    <x v="6"/>
    <x v="17"/>
    <x v="11"/>
    <x v="52"/>
    <x v="1"/>
    <n v="0"/>
  </r>
  <r>
    <x v="0"/>
    <x v="6"/>
    <x v="17"/>
    <x v="11"/>
    <x v="53"/>
    <x v="1"/>
    <n v="0"/>
  </r>
  <r>
    <x v="0"/>
    <x v="6"/>
    <x v="17"/>
    <x v="11"/>
    <x v="54"/>
    <x v="1"/>
    <n v="0"/>
  </r>
  <r>
    <x v="0"/>
    <x v="6"/>
    <x v="17"/>
    <x v="11"/>
    <x v="55"/>
    <x v="1"/>
    <n v="0"/>
  </r>
  <r>
    <x v="0"/>
    <x v="6"/>
    <x v="17"/>
    <x v="12"/>
    <x v="46"/>
    <x v="1"/>
    <n v="11.031053944"/>
  </r>
  <r>
    <x v="0"/>
    <x v="6"/>
    <x v="17"/>
    <x v="12"/>
    <x v="47"/>
    <x v="1"/>
    <n v="11.031053944"/>
  </r>
  <r>
    <x v="0"/>
    <x v="6"/>
    <x v="17"/>
    <x v="12"/>
    <x v="48"/>
    <x v="1"/>
    <n v="11.031053944"/>
  </r>
  <r>
    <x v="0"/>
    <x v="6"/>
    <x v="17"/>
    <x v="12"/>
    <x v="49"/>
    <x v="1"/>
    <n v="0"/>
  </r>
  <r>
    <x v="0"/>
    <x v="6"/>
    <x v="17"/>
    <x v="12"/>
    <x v="50"/>
    <x v="1"/>
    <n v="0"/>
  </r>
  <r>
    <x v="0"/>
    <x v="6"/>
    <x v="17"/>
    <x v="12"/>
    <x v="51"/>
    <x v="1"/>
    <n v="0"/>
  </r>
  <r>
    <x v="0"/>
    <x v="6"/>
    <x v="17"/>
    <x v="12"/>
    <x v="52"/>
    <x v="1"/>
    <n v="0"/>
  </r>
  <r>
    <x v="0"/>
    <x v="6"/>
    <x v="17"/>
    <x v="12"/>
    <x v="53"/>
    <x v="1"/>
    <n v="0"/>
  </r>
  <r>
    <x v="0"/>
    <x v="6"/>
    <x v="17"/>
    <x v="12"/>
    <x v="54"/>
    <x v="1"/>
    <n v="0"/>
  </r>
  <r>
    <x v="0"/>
    <x v="6"/>
    <x v="17"/>
    <x v="12"/>
    <x v="55"/>
    <x v="1"/>
    <n v="0"/>
  </r>
  <r>
    <x v="0"/>
    <x v="6"/>
    <x v="17"/>
    <x v="13"/>
    <x v="46"/>
    <x v="1"/>
    <n v="24.479833229"/>
  </r>
  <r>
    <x v="0"/>
    <x v="6"/>
    <x v="17"/>
    <x v="13"/>
    <x v="47"/>
    <x v="1"/>
    <n v="24.479833229"/>
  </r>
  <r>
    <x v="0"/>
    <x v="6"/>
    <x v="17"/>
    <x v="13"/>
    <x v="48"/>
    <x v="1"/>
    <n v="24.479833229"/>
  </r>
  <r>
    <x v="0"/>
    <x v="6"/>
    <x v="17"/>
    <x v="13"/>
    <x v="49"/>
    <x v="1"/>
    <n v="0"/>
  </r>
  <r>
    <x v="0"/>
    <x v="6"/>
    <x v="17"/>
    <x v="13"/>
    <x v="50"/>
    <x v="1"/>
    <n v="0"/>
  </r>
  <r>
    <x v="0"/>
    <x v="6"/>
    <x v="17"/>
    <x v="13"/>
    <x v="51"/>
    <x v="1"/>
    <n v="0"/>
  </r>
  <r>
    <x v="0"/>
    <x v="6"/>
    <x v="17"/>
    <x v="13"/>
    <x v="52"/>
    <x v="1"/>
    <n v="0"/>
  </r>
  <r>
    <x v="0"/>
    <x v="6"/>
    <x v="17"/>
    <x v="13"/>
    <x v="53"/>
    <x v="1"/>
    <n v="0"/>
  </r>
  <r>
    <x v="0"/>
    <x v="6"/>
    <x v="17"/>
    <x v="13"/>
    <x v="54"/>
    <x v="1"/>
    <n v="0"/>
  </r>
  <r>
    <x v="0"/>
    <x v="6"/>
    <x v="17"/>
    <x v="13"/>
    <x v="55"/>
    <x v="1"/>
    <n v="0"/>
  </r>
  <r>
    <x v="0"/>
    <x v="6"/>
    <x v="17"/>
    <x v="14"/>
    <x v="46"/>
    <x v="1"/>
    <n v="7.6577191999999998"/>
  </r>
  <r>
    <x v="0"/>
    <x v="6"/>
    <x v="17"/>
    <x v="14"/>
    <x v="47"/>
    <x v="1"/>
    <n v="7.6577191999999998"/>
  </r>
  <r>
    <x v="0"/>
    <x v="6"/>
    <x v="17"/>
    <x v="14"/>
    <x v="48"/>
    <x v="1"/>
    <n v="7.6577191999999998"/>
  </r>
  <r>
    <x v="0"/>
    <x v="6"/>
    <x v="17"/>
    <x v="14"/>
    <x v="49"/>
    <x v="1"/>
    <n v="0"/>
  </r>
  <r>
    <x v="0"/>
    <x v="6"/>
    <x v="17"/>
    <x v="14"/>
    <x v="50"/>
    <x v="1"/>
    <n v="0"/>
  </r>
  <r>
    <x v="0"/>
    <x v="6"/>
    <x v="17"/>
    <x v="14"/>
    <x v="51"/>
    <x v="1"/>
    <n v="0"/>
  </r>
  <r>
    <x v="0"/>
    <x v="6"/>
    <x v="17"/>
    <x v="14"/>
    <x v="52"/>
    <x v="1"/>
    <n v="0"/>
  </r>
  <r>
    <x v="0"/>
    <x v="6"/>
    <x v="17"/>
    <x v="14"/>
    <x v="53"/>
    <x v="1"/>
    <n v="0"/>
  </r>
  <r>
    <x v="0"/>
    <x v="6"/>
    <x v="17"/>
    <x v="14"/>
    <x v="54"/>
    <x v="1"/>
    <n v="0"/>
  </r>
  <r>
    <x v="0"/>
    <x v="6"/>
    <x v="17"/>
    <x v="14"/>
    <x v="55"/>
    <x v="1"/>
    <n v="0"/>
  </r>
  <r>
    <x v="0"/>
    <x v="6"/>
    <x v="17"/>
    <x v="15"/>
    <x v="46"/>
    <x v="1"/>
    <n v="8.9752773379999997"/>
  </r>
  <r>
    <x v="0"/>
    <x v="6"/>
    <x v="17"/>
    <x v="15"/>
    <x v="47"/>
    <x v="1"/>
    <n v="8.9752773379999997"/>
  </r>
  <r>
    <x v="0"/>
    <x v="6"/>
    <x v="17"/>
    <x v="15"/>
    <x v="48"/>
    <x v="1"/>
    <n v="8.9752773379999997"/>
  </r>
  <r>
    <x v="0"/>
    <x v="6"/>
    <x v="17"/>
    <x v="15"/>
    <x v="49"/>
    <x v="1"/>
    <n v="0"/>
  </r>
  <r>
    <x v="0"/>
    <x v="6"/>
    <x v="17"/>
    <x v="15"/>
    <x v="50"/>
    <x v="1"/>
    <n v="0"/>
  </r>
  <r>
    <x v="0"/>
    <x v="6"/>
    <x v="17"/>
    <x v="15"/>
    <x v="51"/>
    <x v="1"/>
    <n v="0"/>
  </r>
  <r>
    <x v="0"/>
    <x v="6"/>
    <x v="17"/>
    <x v="15"/>
    <x v="52"/>
    <x v="1"/>
    <n v="0"/>
  </r>
  <r>
    <x v="0"/>
    <x v="6"/>
    <x v="17"/>
    <x v="15"/>
    <x v="53"/>
    <x v="1"/>
    <n v="0"/>
  </r>
  <r>
    <x v="0"/>
    <x v="6"/>
    <x v="17"/>
    <x v="15"/>
    <x v="54"/>
    <x v="1"/>
    <n v="0"/>
  </r>
  <r>
    <x v="0"/>
    <x v="6"/>
    <x v="17"/>
    <x v="15"/>
    <x v="55"/>
    <x v="1"/>
    <n v="0"/>
  </r>
  <r>
    <x v="0"/>
    <x v="6"/>
    <x v="17"/>
    <x v="16"/>
    <x v="46"/>
    <x v="1"/>
    <n v="5.8441755100000004"/>
  </r>
  <r>
    <x v="0"/>
    <x v="6"/>
    <x v="17"/>
    <x v="16"/>
    <x v="47"/>
    <x v="1"/>
    <n v="5.8441755100000004"/>
  </r>
  <r>
    <x v="0"/>
    <x v="6"/>
    <x v="17"/>
    <x v="16"/>
    <x v="48"/>
    <x v="1"/>
    <n v="5.8441755100000004"/>
  </r>
  <r>
    <x v="0"/>
    <x v="6"/>
    <x v="17"/>
    <x v="16"/>
    <x v="49"/>
    <x v="1"/>
    <n v="0"/>
  </r>
  <r>
    <x v="0"/>
    <x v="6"/>
    <x v="17"/>
    <x v="16"/>
    <x v="50"/>
    <x v="1"/>
    <n v="0"/>
  </r>
  <r>
    <x v="0"/>
    <x v="6"/>
    <x v="17"/>
    <x v="16"/>
    <x v="51"/>
    <x v="1"/>
    <n v="0"/>
  </r>
  <r>
    <x v="0"/>
    <x v="6"/>
    <x v="17"/>
    <x v="16"/>
    <x v="52"/>
    <x v="1"/>
    <n v="0"/>
  </r>
  <r>
    <x v="0"/>
    <x v="6"/>
    <x v="17"/>
    <x v="16"/>
    <x v="53"/>
    <x v="1"/>
    <n v="0"/>
  </r>
  <r>
    <x v="0"/>
    <x v="6"/>
    <x v="17"/>
    <x v="16"/>
    <x v="54"/>
    <x v="1"/>
    <n v="0"/>
  </r>
  <r>
    <x v="0"/>
    <x v="6"/>
    <x v="17"/>
    <x v="16"/>
    <x v="55"/>
    <x v="1"/>
    <n v="0"/>
  </r>
  <r>
    <x v="0"/>
    <x v="6"/>
    <x v="17"/>
    <x v="17"/>
    <x v="46"/>
    <x v="1"/>
    <n v="13.776197141999999"/>
  </r>
  <r>
    <x v="0"/>
    <x v="6"/>
    <x v="17"/>
    <x v="17"/>
    <x v="47"/>
    <x v="1"/>
    <n v="13.776197141999999"/>
  </r>
  <r>
    <x v="0"/>
    <x v="6"/>
    <x v="17"/>
    <x v="17"/>
    <x v="48"/>
    <x v="1"/>
    <n v="13.776197141999999"/>
  </r>
  <r>
    <x v="0"/>
    <x v="6"/>
    <x v="17"/>
    <x v="17"/>
    <x v="49"/>
    <x v="1"/>
    <n v="0"/>
  </r>
  <r>
    <x v="0"/>
    <x v="6"/>
    <x v="17"/>
    <x v="17"/>
    <x v="50"/>
    <x v="1"/>
    <n v="0"/>
  </r>
  <r>
    <x v="0"/>
    <x v="6"/>
    <x v="17"/>
    <x v="17"/>
    <x v="51"/>
    <x v="1"/>
    <n v="0"/>
  </r>
  <r>
    <x v="0"/>
    <x v="6"/>
    <x v="17"/>
    <x v="17"/>
    <x v="52"/>
    <x v="1"/>
    <n v="0"/>
  </r>
  <r>
    <x v="0"/>
    <x v="6"/>
    <x v="17"/>
    <x v="17"/>
    <x v="53"/>
    <x v="1"/>
    <n v="0"/>
  </r>
  <r>
    <x v="0"/>
    <x v="6"/>
    <x v="17"/>
    <x v="17"/>
    <x v="54"/>
    <x v="1"/>
    <n v="0"/>
  </r>
  <r>
    <x v="0"/>
    <x v="6"/>
    <x v="17"/>
    <x v="17"/>
    <x v="55"/>
    <x v="1"/>
    <n v="0"/>
  </r>
  <r>
    <x v="0"/>
    <x v="6"/>
    <x v="17"/>
    <x v="18"/>
    <x v="46"/>
    <x v="1"/>
    <n v="10.747450779999999"/>
  </r>
  <r>
    <x v="0"/>
    <x v="6"/>
    <x v="17"/>
    <x v="18"/>
    <x v="47"/>
    <x v="1"/>
    <n v="10.747450779999999"/>
  </r>
  <r>
    <x v="0"/>
    <x v="6"/>
    <x v="17"/>
    <x v="18"/>
    <x v="48"/>
    <x v="1"/>
    <n v="10.747450779999999"/>
  </r>
  <r>
    <x v="0"/>
    <x v="6"/>
    <x v="17"/>
    <x v="18"/>
    <x v="49"/>
    <x v="1"/>
    <n v="0"/>
  </r>
  <r>
    <x v="0"/>
    <x v="6"/>
    <x v="17"/>
    <x v="18"/>
    <x v="50"/>
    <x v="1"/>
    <n v="0"/>
  </r>
  <r>
    <x v="0"/>
    <x v="6"/>
    <x v="17"/>
    <x v="18"/>
    <x v="51"/>
    <x v="1"/>
    <n v="0"/>
  </r>
  <r>
    <x v="0"/>
    <x v="6"/>
    <x v="17"/>
    <x v="18"/>
    <x v="52"/>
    <x v="1"/>
    <n v="0"/>
  </r>
  <r>
    <x v="0"/>
    <x v="6"/>
    <x v="17"/>
    <x v="18"/>
    <x v="53"/>
    <x v="1"/>
    <n v="0"/>
  </r>
  <r>
    <x v="0"/>
    <x v="6"/>
    <x v="17"/>
    <x v="18"/>
    <x v="54"/>
    <x v="1"/>
    <n v="0"/>
  </r>
  <r>
    <x v="0"/>
    <x v="6"/>
    <x v="17"/>
    <x v="18"/>
    <x v="55"/>
    <x v="1"/>
    <n v="0"/>
  </r>
  <r>
    <x v="0"/>
    <x v="6"/>
    <x v="17"/>
    <x v="19"/>
    <x v="46"/>
    <x v="1"/>
    <n v="13.485574373"/>
  </r>
  <r>
    <x v="0"/>
    <x v="6"/>
    <x v="17"/>
    <x v="19"/>
    <x v="47"/>
    <x v="1"/>
    <n v="13.485574373"/>
  </r>
  <r>
    <x v="0"/>
    <x v="6"/>
    <x v="17"/>
    <x v="19"/>
    <x v="48"/>
    <x v="1"/>
    <n v="13.485574373"/>
  </r>
  <r>
    <x v="0"/>
    <x v="6"/>
    <x v="17"/>
    <x v="19"/>
    <x v="49"/>
    <x v="1"/>
    <n v="0"/>
  </r>
  <r>
    <x v="0"/>
    <x v="6"/>
    <x v="17"/>
    <x v="19"/>
    <x v="50"/>
    <x v="1"/>
    <n v="0"/>
  </r>
  <r>
    <x v="0"/>
    <x v="6"/>
    <x v="17"/>
    <x v="19"/>
    <x v="51"/>
    <x v="1"/>
    <n v="0"/>
  </r>
  <r>
    <x v="0"/>
    <x v="6"/>
    <x v="17"/>
    <x v="19"/>
    <x v="52"/>
    <x v="1"/>
    <n v="0"/>
  </r>
  <r>
    <x v="0"/>
    <x v="6"/>
    <x v="17"/>
    <x v="19"/>
    <x v="53"/>
    <x v="1"/>
    <n v="0"/>
  </r>
  <r>
    <x v="0"/>
    <x v="6"/>
    <x v="17"/>
    <x v="19"/>
    <x v="54"/>
    <x v="1"/>
    <n v="0"/>
  </r>
  <r>
    <x v="0"/>
    <x v="6"/>
    <x v="17"/>
    <x v="19"/>
    <x v="55"/>
    <x v="1"/>
    <n v="0"/>
  </r>
  <r>
    <x v="0"/>
    <x v="6"/>
    <x v="17"/>
    <x v="20"/>
    <x v="46"/>
    <x v="1"/>
    <n v="1.633040102"/>
  </r>
  <r>
    <x v="0"/>
    <x v="6"/>
    <x v="17"/>
    <x v="20"/>
    <x v="47"/>
    <x v="1"/>
    <n v="1.633040102"/>
  </r>
  <r>
    <x v="0"/>
    <x v="6"/>
    <x v="17"/>
    <x v="20"/>
    <x v="48"/>
    <x v="1"/>
    <n v="1.633040102"/>
  </r>
  <r>
    <x v="0"/>
    <x v="6"/>
    <x v="17"/>
    <x v="20"/>
    <x v="49"/>
    <x v="1"/>
    <n v="0"/>
  </r>
  <r>
    <x v="0"/>
    <x v="6"/>
    <x v="17"/>
    <x v="20"/>
    <x v="50"/>
    <x v="1"/>
    <n v="0"/>
  </r>
  <r>
    <x v="0"/>
    <x v="6"/>
    <x v="17"/>
    <x v="20"/>
    <x v="51"/>
    <x v="1"/>
    <n v="0"/>
  </r>
  <r>
    <x v="0"/>
    <x v="6"/>
    <x v="17"/>
    <x v="20"/>
    <x v="52"/>
    <x v="1"/>
    <n v="0"/>
  </r>
  <r>
    <x v="0"/>
    <x v="6"/>
    <x v="17"/>
    <x v="20"/>
    <x v="53"/>
    <x v="1"/>
    <n v="0"/>
  </r>
  <r>
    <x v="0"/>
    <x v="6"/>
    <x v="17"/>
    <x v="20"/>
    <x v="54"/>
    <x v="1"/>
    <n v="0"/>
  </r>
  <r>
    <x v="0"/>
    <x v="6"/>
    <x v="17"/>
    <x v="20"/>
    <x v="55"/>
    <x v="1"/>
    <n v="0"/>
  </r>
  <r>
    <x v="0"/>
    <x v="6"/>
    <x v="17"/>
    <x v="21"/>
    <x v="46"/>
    <x v="1"/>
    <n v="0.81838383199999998"/>
  </r>
  <r>
    <x v="0"/>
    <x v="6"/>
    <x v="17"/>
    <x v="21"/>
    <x v="47"/>
    <x v="1"/>
    <n v="0.81838383199999998"/>
  </r>
  <r>
    <x v="0"/>
    <x v="6"/>
    <x v="17"/>
    <x v="21"/>
    <x v="48"/>
    <x v="1"/>
    <n v="0.81838383199999998"/>
  </r>
  <r>
    <x v="0"/>
    <x v="6"/>
    <x v="17"/>
    <x v="21"/>
    <x v="49"/>
    <x v="1"/>
    <n v="0"/>
  </r>
  <r>
    <x v="0"/>
    <x v="6"/>
    <x v="17"/>
    <x v="21"/>
    <x v="50"/>
    <x v="1"/>
    <n v="0"/>
  </r>
  <r>
    <x v="0"/>
    <x v="6"/>
    <x v="17"/>
    <x v="21"/>
    <x v="51"/>
    <x v="1"/>
    <n v="0"/>
  </r>
  <r>
    <x v="0"/>
    <x v="6"/>
    <x v="17"/>
    <x v="21"/>
    <x v="52"/>
    <x v="1"/>
    <n v="0"/>
  </r>
  <r>
    <x v="0"/>
    <x v="6"/>
    <x v="17"/>
    <x v="21"/>
    <x v="53"/>
    <x v="1"/>
    <n v="0"/>
  </r>
  <r>
    <x v="0"/>
    <x v="6"/>
    <x v="17"/>
    <x v="21"/>
    <x v="54"/>
    <x v="1"/>
    <n v="0"/>
  </r>
  <r>
    <x v="0"/>
    <x v="6"/>
    <x v="17"/>
    <x v="21"/>
    <x v="55"/>
    <x v="1"/>
    <n v="0"/>
  </r>
  <r>
    <x v="0"/>
    <x v="6"/>
    <x v="17"/>
    <x v="22"/>
    <x v="46"/>
    <x v="1"/>
    <n v="0.78125726699999998"/>
  </r>
  <r>
    <x v="0"/>
    <x v="6"/>
    <x v="17"/>
    <x v="22"/>
    <x v="47"/>
    <x v="1"/>
    <n v="0.78125726699999998"/>
  </r>
  <r>
    <x v="0"/>
    <x v="6"/>
    <x v="17"/>
    <x v="22"/>
    <x v="48"/>
    <x v="1"/>
    <n v="0.78125726699999998"/>
  </r>
  <r>
    <x v="0"/>
    <x v="6"/>
    <x v="17"/>
    <x v="22"/>
    <x v="49"/>
    <x v="1"/>
    <n v="0"/>
  </r>
  <r>
    <x v="0"/>
    <x v="6"/>
    <x v="17"/>
    <x v="22"/>
    <x v="50"/>
    <x v="1"/>
    <n v="0"/>
  </r>
  <r>
    <x v="0"/>
    <x v="6"/>
    <x v="17"/>
    <x v="22"/>
    <x v="51"/>
    <x v="1"/>
    <n v="0"/>
  </r>
  <r>
    <x v="0"/>
    <x v="6"/>
    <x v="17"/>
    <x v="22"/>
    <x v="52"/>
    <x v="1"/>
    <n v="0"/>
  </r>
  <r>
    <x v="0"/>
    <x v="6"/>
    <x v="17"/>
    <x v="22"/>
    <x v="53"/>
    <x v="1"/>
    <n v="0"/>
  </r>
  <r>
    <x v="0"/>
    <x v="6"/>
    <x v="17"/>
    <x v="22"/>
    <x v="54"/>
    <x v="1"/>
    <n v="0"/>
  </r>
  <r>
    <x v="0"/>
    <x v="6"/>
    <x v="17"/>
    <x v="22"/>
    <x v="55"/>
    <x v="1"/>
    <n v="0"/>
  </r>
  <r>
    <x v="0"/>
    <x v="6"/>
    <x v="17"/>
    <x v="23"/>
    <x v="46"/>
    <x v="1"/>
    <n v="0.363791849"/>
  </r>
  <r>
    <x v="0"/>
    <x v="6"/>
    <x v="17"/>
    <x v="23"/>
    <x v="47"/>
    <x v="1"/>
    <n v="0.363791849"/>
  </r>
  <r>
    <x v="0"/>
    <x v="6"/>
    <x v="17"/>
    <x v="23"/>
    <x v="48"/>
    <x v="1"/>
    <n v="0.363791849"/>
  </r>
  <r>
    <x v="0"/>
    <x v="6"/>
    <x v="17"/>
    <x v="23"/>
    <x v="49"/>
    <x v="1"/>
    <n v="0"/>
  </r>
  <r>
    <x v="0"/>
    <x v="6"/>
    <x v="17"/>
    <x v="23"/>
    <x v="50"/>
    <x v="1"/>
    <n v="0"/>
  </r>
  <r>
    <x v="0"/>
    <x v="6"/>
    <x v="17"/>
    <x v="23"/>
    <x v="51"/>
    <x v="1"/>
    <n v="0"/>
  </r>
  <r>
    <x v="0"/>
    <x v="6"/>
    <x v="17"/>
    <x v="23"/>
    <x v="52"/>
    <x v="1"/>
    <n v="0"/>
  </r>
  <r>
    <x v="0"/>
    <x v="6"/>
    <x v="17"/>
    <x v="23"/>
    <x v="53"/>
    <x v="1"/>
    <n v="0"/>
  </r>
  <r>
    <x v="0"/>
    <x v="6"/>
    <x v="17"/>
    <x v="23"/>
    <x v="54"/>
    <x v="1"/>
    <n v="0"/>
  </r>
  <r>
    <x v="0"/>
    <x v="6"/>
    <x v="17"/>
    <x v="23"/>
    <x v="55"/>
    <x v="1"/>
    <n v="0"/>
  </r>
  <r>
    <x v="0"/>
    <x v="6"/>
    <x v="17"/>
    <x v="24"/>
    <x v="46"/>
    <x v="1"/>
    <n v="14.961680477"/>
  </r>
  <r>
    <x v="0"/>
    <x v="6"/>
    <x v="17"/>
    <x v="24"/>
    <x v="47"/>
    <x v="1"/>
    <n v="14.961680477"/>
  </r>
  <r>
    <x v="0"/>
    <x v="6"/>
    <x v="17"/>
    <x v="24"/>
    <x v="48"/>
    <x v="1"/>
    <n v="14.961680477"/>
  </r>
  <r>
    <x v="0"/>
    <x v="6"/>
    <x v="17"/>
    <x v="24"/>
    <x v="49"/>
    <x v="1"/>
    <n v="0"/>
  </r>
  <r>
    <x v="0"/>
    <x v="6"/>
    <x v="17"/>
    <x v="24"/>
    <x v="50"/>
    <x v="1"/>
    <n v="0"/>
  </r>
  <r>
    <x v="0"/>
    <x v="6"/>
    <x v="17"/>
    <x v="24"/>
    <x v="51"/>
    <x v="1"/>
    <n v="0"/>
  </r>
  <r>
    <x v="0"/>
    <x v="6"/>
    <x v="17"/>
    <x v="24"/>
    <x v="52"/>
    <x v="1"/>
    <n v="0"/>
  </r>
  <r>
    <x v="0"/>
    <x v="6"/>
    <x v="17"/>
    <x v="24"/>
    <x v="53"/>
    <x v="1"/>
    <n v="0"/>
  </r>
  <r>
    <x v="0"/>
    <x v="6"/>
    <x v="17"/>
    <x v="24"/>
    <x v="54"/>
    <x v="1"/>
    <n v="0"/>
  </r>
  <r>
    <x v="0"/>
    <x v="6"/>
    <x v="17"/>
    <x v="24"/>
    <x v="55"/>
    <x v="1"/>
    <n v="0"/>
  </r>
  <r>
    <x v="0"/>
    <x v="6"/>
    <x v="17"/>
    <x v="25"/>
    <x v="46"/>
    <x v="1"/>
    <n v="0.75544714000000002"/>
  </r>
  <r>
    <x v="0"/>
    <x v="6"/>
    <x v="17"/>
    <x v="25"/>
    <x v="47"/>
    <x v="1"/>
    <n v="0.75544714000000002"/>
  </r>
  <r>
    <x v="0"/>
    <x v="6"/>
    <x v="17"/>
    <x v="25"/>
    <x v="48"/>
    <x v="1"/>
    <n v="0.75544714000000002"/>
  </r>
  <r>
    <x v="0"/>
    <x v="6"/>
    <x v="17"/>
    <x v="25"/>
    <x v="49"/>
    <x v="1"/>
    <n v="0"/>
  </r>
  <r>
    <x v="0"/>
    <x v="6"/>
    <x v="17"/>
    <x v="25"/>
    <x v="50"/>
    <x v="1"/>
    <n v="0"/>
  </r>
  <r>
    <x v="0"/>
    <x v="6"/>
    <x v="17"/>
    <x v="25"/>
    <x v="51"/>
    <x v="1"/>
    <n v="0"/>
  </r>
  <r>
    <x v="0"/>
    <x v="6"/>
    <x v="17"/>
    <x v="25"/>
    <x v="52"/>
    <x v="1"/>
    <n v="0"/>
  </r>
  <r>
    <x v="0"/>
    <x v="6"/>
    <x v="17"/>
    <x v="25"/>
    <x v="53"/>
    <x v="1"/>
    <n v="0"/>
  </r>
  <r>
    <x v="0"/>
    <x v="6"/>
    <x v="17"/>
    <x v="25"/>
    <x v="54"/>
    <x v="1"/>
    <n v="0"/>
  </r>
  <r>
    <x v="0"/>
    <x v="6"/>
    <x v="17"/>
    <x v="25"/>
    <x v="55"/>
    <x v="1"/>
    <n v="0"/>
  </r>
  <r>
    <x v="0"/>
    <x v="6"/>
    <x v="17"/>
    <x v="26"/>
    <x v="46"/>
    <x v="1"/>
    <n v="0.482073272"/>
  </r>
  <r>
    <x v="0"/>
    <x v="6"/>
    <x v="17"/>
    <x v="26"/>
    <x v="47"/>
    <x v="1"/>
    <n v="0.482073272"/>
  </r>
  <r>
    <x v="0"/>
    <x v="6"/>
    <x v="17"/>
    <x v="26"/>
    <x v="48"/>
    <x v="1"/>
    <n v="0.482073272"/>
  </r>
  <r>
    <x v="0"/>
    <x v="6"/>
    <x v="17"/>
    <x v="26"/>
    <x v="49"/>
    <x v="1"/>
    <n v="0"/>
  </r>
  <r>
    <x v="0"/>
    <x v="6"/>
    <x v="17"/>
    <x v="26"/>
    <x v="50"/>
    <x v="1"/>
    <n v="0"/>
  </r>
  <r>
    <x v="0"/>
    <x v="6"/>
    <x v="17"/>
    <x v="26"/>
    <x v="51"/>
    <x v="1"/>
    <n v="0"/>
  </r>
  <r>
    <x v="0"/>
    <x v="6"/>
    <x v="17"/>
    <x v="26"/>
    <x v="52"/>
    <x v="1"/>
    <n v="0"/>
  </r>
  <r>
    <x v="0"/>
    <x v="6"/>
    <x v="17"/>
    <x v="26"/>
    <x v="53"/>
    <x v="1"/>
    <n v="0"/>
  </r>
  <r>
    <x v="0"/>
    <x v="6"/>
    <x v="17"/>
    <x v="26"/>
    <x v="54"/>
    <x v="1"/>
    <n v="0"/>
  </r>
  <r>
    <x v="0"/>
    <x v="6"/>
    <x v="17"/>
    <x v="26"/>
    <x v="55"/>
    <x v="1"/>
    <n v="0"/>
  </r>
  <r>
    <x v="0"/>
    <x v="6"/>
    <x v="17"/>
    <x v="27"/>
    <x v="46"/>
    <x v="1"/>
    <n v="26.915740966000001"/>
  </r>
  <r>
    <x v="0"/>
    <x v="6"/>
    <x v="17"/>
    <x v="27"/>
    <x v="47"/>
    <x v="1"/>
    <n v="26.915740966000001"/>
  </r>
  <r>
    <x v="0"/>
    <x v="6"/>
    <x v="17"/>
    <x v="27"/>
    <x v="48"/>
    <x v="1"/>
    <n v="26.915740966000001"/>
  </r>
  <r>
    <x v="0"/>
    <x v="6"/>
    <x v="17"/>
    <x v="27"/>
    <x v="49"/>
    <x v="1"/>
    <n v="0"/>
  </r>
  <r>
    <x v="0"/>
    <x v="6"/>
    <x v="17"/>
    <x v="27"/>
    <x v="50"/>
    <x v="1"/>
    <n v="0"/>
  </r>
  <r>
    <x v="0"/>
    <x v="6"/>
    <x v="17"/>
    <x v="27"/>
    <x v="51"/>
    <x v="1"/>
    <n v="0"/>
  </r>
  <r>
    <x v="0"/>
    <x v="6"/>
    <x v="17"/>
    <x v="27"/>
    <x v="52"/>
    <x v="1"/>
    <n v="0"/>
  </r>
  <r>
    <x v="0"/>
    <x v="6"/>
    <x v="17"/>
    <x v="27"/>
    <x v="53"/>
    <x v="1"/>
    <n v="0"/>
  </r>
  <r>
    <x v="0"/>
    <x v="6"/>
    <x v="17"/>
    <x v="27"/>
    <x v="54"/>
    <x v="1"/>
    <n v="0"/>
  </r>
  <r>
    <x v="0"/>
    <x v="6"/>
    <x v="17"/>
    <x v="27"/>
    <x v="55"/>
    <x v="1"/>
    <n v="0"/>
  </r>
  <r>
    <x v="0"/>
    <x v="6"/>
    <x v="17"/>
    <x v="28"/>
    <x v="46"/>
    <x v="1"/>
    <n v="23.545505774999999"/>
  </r>
  <r>
    <x v="0"/>
    <x v="6"/>
    <x v="17"/>
    <x v="28"/>
    <x v="47"/>
    <x v="1"/>
    <n v="23.545505774999999"/>
  </r>
  <r>
    <x v="0"/>
    <x v="6"/>
    <x v="17"/>
    <x v="28"/>
    <x v="48"/>
    <x v="1"/>
    <n v="23.545505774999999"/>
  </r>
  <r>
    <x v="0"/>
    <x v="6"/>
    <x v="17"/>
    <x v="28"/>
    <x v="49"/>
    <x v="1"/>
    <n v="0"/>
  </r>
  <r>
    <x v="0"/>
    <x v="6"/>
    <x v="17"/>
    <x v="28"/>
    <x v="50"/>
    <x v="1"/>
    <n v="0"/>
  </r>
  <r>
    <x v="0"/>
    <x v="6"/>
    <x v="17"/>
    <x v="28"/>
    <x v="51"/>
    <x v="1"/>
    <n v="0"/>
  </r>
  <r>
    <x v="0"/>
    <x v="6"/>
    <x v="17"/>
    <x v="28"/>
    <x v="52"/>
    <x v="1"/>
    <n v="0"/>
  </r>
  <r>
    <x v="0"/>
    <x v="6"/>
    <x v="17"/>
    <x v="28"/>
    <x v="53"/>
    <x v="1"/>
    <n v="0"/>
  </r>
  <r>
    <x v="0"/>
    <x v="6"/>
    <x v="17"/>
    <x v="28"/>
    <x v="54"/>
    <x v="1"/>
    <n v="0"/>
  </r>
  <r>
    <x v="0"/>
    <x v="6"/>
    <x v="17"/>
    <x v="28"/>
    <x v="55"/>
    <x v="1"/>
    <n v="0"/>
  </r>
  <r>
    <x v="0"/>
    <x v="6"/>
    <x v="17"/>
    <x v="29"/>
    <x v="46"/>
    <x v="1"/>
    <n v="21.40504842"/>
  </r>
  <r>
    <x v="0"/>
    <x v="6"/>
    <x v="17"/>
    <x v="29"/>
    <x v="47"/>
    <x v="1"/>
    <n v="21.40504842"/>
  </r>
  <r>
    <x v="0"/>
    <x v="6"/>
    <x v="17"/>
    <x v="29"/>
    <x v="48"/>
    <x v="1"/>
    <n v="21.40504842"/>
  </r>
  <r>
    <x v="0"/>
    <x v="6"/>
    <x v="17"/>
    <x v="29"/>
    <x v="49"/>
    <x v="1"/>
    <n v="0"/>
  </r>
  <r>
    <x v="0"/>
    <x v="6"/>
    <x v="17"/>
    <x v="29"/>
    <x v="50"/>
    <x v="1"/>
    <n v="0"/>
  </r>
  <r>
    <x v="0"/>
    <x v="6"/>
    <x v="17"/>
    <x v="29"/>
    <x v="51"/>
    <x v="1"/>
    <n v="0"/>
  </r>
  <r>
    <x v="0"/>
    <x v="6"/>
    <x v="17"/>
    <x v="29"/>
    <x v="52"/>
    <x v="1"/>
    <n v="0"/>
  </r>
  <r>
    <x v="0"/>
    <x v="6"/>
    <x v="17"/>
    <x v="29"/>
    <x v="53"/>
    <x v="1"/>
    <n v="0"/>
  </r>
  <r>
    <x v="0"/>
    <x v="6"/>
    <x v="17"/>
    <x v="29"/>
    <x v="54"/>
    <x v="1"/>
    <n v="0"/>
  </r>
  <r>
    <x v="0"/>
    <x v="6"/>
    <x v="17"/>
    <x v="29"/>
    <x v="55"/>
    <x v="1"/>
    <n v="0"/>
  </r>
  <r>
    <x v="0"/>
    <x v="6"/>
    <x v="17"/>
    <x v="30"/>
    <x v="46"/>
    <x v="1"/>
    <n v="7.9545649950000001"/>
  </r>
  <r>
    <x v="0"/>
    <x v="6"/>
    <x v="17"/>
    <x v="30"/>
    <x v="47"/>
    <x v="1"/>
    <n v="7.9545649950000001"/>
  </r>
  <r>
    <x v="0"/>
    <x v="6"/>
    <x v="17"/>
    <x v="30"/>
    <x v="48"/>
    <x v="1"/>
    <n v="7.9545649950000001"/>
  </r>
  <r>
    <x v="0"/>
    <x v="6"/>
    <x v="17"/>
    <x v="30"/>
    <x v="49"/>
    <x v="1"/>
    <n v="0"/>
  </r>
  <r>
    <x v="0"/>
    <x v="6"/>
    <x v="17"/>
    <x v="30"/>
    <x v="50"/>
    <x v="1"/>
    <n v="0"/>
  </r>
  <r>
    <x v="0"/>
    <x v="6"/>
    <x v="17"/>
    <x v="30"/>
    <x v="51"/>
    <x v="1"/>
    <n v="0"/>
  </r>
  <r>
    <x v="0"/>
    <x v="6"/>
    <x v="17"/>
    <x v="30"/>
    <x v="52"/>
    <x v="1"/>
    <n v="0"/>
  </r>
  <r>
    <x v="0"/>
    <x v="6"/>
    <x v="17"/>
    <x v="30"/>
    <x v="53"/>
    <x v="1"/>
    <n v="0"/>
  </r>
  <r>
    <x v="0"/>
    <x v="6"/>
    <x v="17"/>
    <x v="30"/>
    <x v="54"/>
    <x v="1"/>
    <n v="0"/>
  </r>
  <r>
    <x v="0"/>
    <x v="6"/>
    <x v="17"/>
    <x v="30"/>
    <x v="55"/>
    <x v="1"/>
    <n v="0"/>
  </r>
  <r>
    <x v="0"/>
    <x v="6"/>
    <x v="17"/>
    <x v="31"/>
    <x v="46"/>
    <x v="1"/>
    <n v="6.5636999449999998"/>
  </r>
  <r>
    <x v="0"/>
    <x v="6"/>
    <x v="17"/>
    <x v="31"/>
    <x v="47"/>
    <x v="1"/>
    <n v="6.5636999449999998"/>
  </r>
  <r>
    <x v="0"/>
    <x v="6"/>
    <x v="17"/>
    <x v="31"/>
    <x v="48"/>
    <x v="1"/>
    <n v="6.5636999449999998"/>
  </r>
  <r>
    <x v="0"/>
    <x v="6"/>
    <x v="17"/>
    <x v="31"/>
    <x v="49"/>
    <x v="1"/>
    <n v="0"/>
  </r>
  <r>
    <x v="0"/>
    <x v="6"/>
    <x v="17"/>
    <x v="31"/>
    <x v="50"/>
    <x v="1"/>
    <n v="0"/>
  </r>
  <r>
    <x v="0"/>
    <x v="6"/>
    <x v="17"/>
    <x v="31"/>
    <x v="51"/>
    <x v="1"/>
    <n v="0"/>
  </r>
  <r>
    <x v="0"/>
    <x v="6"/>
    <x v="17"/>
    <x v="31"/>
    <x v="52"/>
    <x v="1"/>
    <n v="0"/>
  </r>
  <r>
    <x v="0"/>
    <x v="6"/>
    <x v="17"/>
    <x v="31"/>
    <x v="53"/>
    <x v="1"/>
    <n v="0"/>
  </r>
  <r>
    <x v="0"/>
    <x v="6"/>
    <x v="17"/>
    <x v="31"/>
    <x v="54"/>
    <x v="1"/>
    <n v="0"/>
  </r>
  <r>
    <x v="0"/>
    <x v="6"/>
    <x v="17"/>
    <x v="31"/>
    <x v="55"/>
    <x v="1"/>
    <n v="0"/>
  </r>
  <r>
    <x v="0"/>
    <x v="6"/>
    <x v="17"/>
    <x v="32"/>
    <x v="46"/>
    <x v="1"/>
    <n v="21.639995918"/>
  </r>
  <r>
    <x v="0"/>
    <x v="6"/>
    <x v="17"/>
    <x v="32"/>
    <x v="47"/>
    <x v="1"/>
    <n v="21.639995918"/>
  </r>
  <r>
    <x v="0"/>
    <x v="6"/>
    <x v="17"/>
    <x v="32"/>
    <x v="48"/>
    <x v="1"/>
    <n v="21.639995918"/>
  </r>
  <r>
    <x v="0"/>
    <x v="6"/>
    <x v="17"/>
    <x v="32"/>
    <x v="49"/>
    <x v="1"/>
    <n v="0"/>
  </r>
  <r>
    <x v="0"/>
    <x v="6"/>
    <x v="17"/>
    <x v="32"/>
    <x v="50"/>
    <x v="1"/>
    <n v="0"/>
  </r>
  <r>
    <x v="0"/>
    <x v="6"/>
    <x v="17"/>
    <x v="32"/>
    <x v="51"/>
    <x v="1"/>
    <n v="0"/>
  </r>
  <r>
    <x v="0"/>
    <x v="6"/>
    <x v="17"/>
    <x v="32"/>
    <x v="52"/>
    <x v="1"/>
    <n v="0"/>
  </r>
  <r>
    <x v="0"/>
    <x v="6"/>
    <x v="17"/>
    <x v="32"/>
    <x v="53"/>
    <x v="1"/>
    <n v="0"/>
  </r>
  <r>
    <x v="0"/>
    <x v="6"/>
    <x v="17"/>
    <x v="32"/>
    <x v="54"/>
    <x v="1"/>
    <n v="0"/>
  </r>
  <r>
    <x v="0"/>
    <x v="6"/>
    <x v="17"/>
    <x v="32"/>
    <x v="55"/>
    <x v="1"/>
    <n v="0"/>
  </r>
  <r>
    <x v="0"/>
    <x v="6"/>
    <x v="17"/>
    <x v="33"/>
    <x v="46"/>
    <x v="1"/>
    <n v="13.187304666999999"/>
  </r>
  <r>
    <x v="0"/>
    <x v="6"/>
    <x v="17"/>
    <x v="33"/>
    <x v="47"/>
    <x v="1"/>
    <n v="13.187304666999999"/>
  </r>
  <r>
    <x v="0"/>
    <x v="6"/>
    <x v="17"/>
    <x v="33"/>
    <x v="48"/>
    <x v="1"/>
    <n v="13.187304666999999"/>
  </r>
  <r>
    <x v="0"/>
    <x v="6"/>
    <x v="17"/>
    <x v="33"/>
    <x v="49"/>
    <x v="1"/>
    <n v="0"/>
  </r>
  <r>
    <x v="0"/>
    <x v="6"/>
    <x v="17"/>
    <x v="33"/>
    <x v="50"/>
    <x v="1"/>
    <n v="0"/>
  </r>
  <r>
    <x v="0"/>
    <x v="6"/>
    <x v="17"/>
    <x v="33"/>
    <x v="51"/>
    <x v="1"/>
    <n v="0"/>
  </r>
  <r>
    <x v="0"/>
    <x v="6"/>
    <x v="17"/>
    <x v="33"/>
    <x v="52"/>
    <x v="1"/>
    <n v="0"/>
  </r>
  <r>
    <x v="0"/>
    <x v="6"/>
    <x v="17"/>
    <x v="33"/>
    <x v="53"/>
    <x v="1"/>
    <n v="0"/>
  </r>
  <r>
    <x v="0"/>
    <x v="6"/>
    <x v="17"/>
    <x v="33"/>
    <x v="54"/>
    <x v="1"/>
    <n v="0"/>
  </r>
  <r>
    <x v="0"/>
    <x v="6"/>
    <x v="17"/>
    <x v="33"/>
    <x v="55"/>
    <x v="1"/>
    <n v="0"/>
  </r>
  <r>
    <x v="0"/>
    <x v="6"/>
    <x v="17"/>
    <x v="34"/>
    <x v="46"/>
    <x v="1"/>
    <n v="13.849649547"/>
  </r>
  <r>
    <x v="0"/>
    <x v="6"/>
    <x v="17"/>
    <x v="34"/>
    <x v="47"/>
    <x v="1"/>
    <n v="13.849649547"/>
  </r>
  <r>
    <x v="0"/>
    <x v="6"/>
    <x v="17"/>
    <x v="34"/>
    <x v="48"/>
    <x v="1"/>
    <n v="13.849649547"/>
  </r>
  <r>
    <x v="0"/>
    <x v="6"/>
    <x v="17"/>
    <x v="34"/>
    <x v="49"/>
    <x v="1"/>
    <n v="0"/>
  </r>
  <r>
    <x v="0"/>
    <x v="6"/>
    <x v="17"/>
    <x v="34"/>
    <x v="50"/>
    <x v="1"/>
    <n v="0"/>
  </r>
  <r>
    <x v="0"/>
    <x v="6"/>
    <x v="17"/>
    <x v="34"/>
    <x v="51"/>
    <x v="1"/>
    <n v="0"/>
  </r>
  <r>
    <x v="0"/>
    <x v="6"/>
    <x v="17"/>
    <x v="34"/>
    <x v="52"/>
    <x v="1"/>
    <n v="0"/>
  </r>
  <r>
    <x v="0"/>
    <x v="6"/>
    <x v="17"/>
    <x v="34"/>
    <x v="53"/>
    <x v="1"/>
    <n v="0"/>
  </r>
  <r>
    <x v="0"/>
    <x v="6"/>
    <x v="17"/>
    <x v="34"/>
    <x v="54"/>
    <x v="1"/>
    <n v="0"/>
  </r>
  <r>
    <x v="0"/>
    <x v="6"/>
    <x v="17"/>
    <x v="34"/>
    <x v="55"/>
    <x v="1"/>
    <n v="0"/>
  </r>
  <r>
    <x v="0"/>
    <x v="6"/>
    <x v="17"/>
    <x v="35"/>
    <x v="46"/>
    <x v="1"/>
    <n v="10.407873471"/>
  </r>
  <r>
    <x v="0"/>
    <x v="6"/>
    <x v="17"/>
    <x v="35"/>
    <x v="47"/>
    <x v="1"/>
    <n v="10.407873471"/>
  </r>
  <r>
    <x v="0"/>
    <x v="6"/>
    <x v="17"/>
    <x v="35"/>
    <x v="48"/>
    <x v="1"/>
    <n v="10.407873471"/>
  </r>
  <r>
    <x v="0"/>
    <x v="6"/>
    <x v="17"/>
    <x v="35"/>
    <x v="49"/>
    <x v="1"/>
    <n v="0"/>
  </r>
  <r>
    <x v="0"/>
    <x v="6"/>
    <x v="17"/>
    <x v="35"/>
    <x v="50"/>
    <x v="1"/>
    <n v="0"/>
  </r>
  <r>
    <x v="0"/>
    <x v="6"/>
    <x v="17"/>
    <x v="35"/>
    <x v="51"/>
    <x v="1"/>
    <n v="0"/>
  </r>
  <r>
    <x v="0"/>
    <x v="6"/>
    <x v="17"/>
    <x v="35"/>
    <x v="52"/>
    <x v="1"/>
    <n v="0"/>
  </r>
  <r>
    <x v="0"/>
    <x v="6"/>
    <x v="17"/>
    <x v="35"/>
    <x v="53"/>
    <x v="1"/>
    <n v="0"/>
  </r>
  <r>
    <x v="0"/>
    <x v="6"/>
    <x v="17"/>
    <x v="35"/>
    <x v="54"/>
    <x v="1"/>
    <n v="0"/>
  </r>
  <r>
    <x v="0"/>
    <x v="6"/>
    <x v="17"/>
    <x v="35"/>
    <x v="55"/>
    <x v="1"/>
    <n v="0"/>
  </r>
  <r>
    <x v="0"/>
    <x v="6"/>
    <x v="17"/>
    <x v="36"/>
    <x v="46"/>
    <x v="1"/>
    <n v="3.3882341770000002"/>
  </r>
  <r>
    <x v="0"/>
    <x v="6"/>
    <x v="17"/>
    <x v="36"/>
    <x v="47"/>
    <x v="1"/>
    <n v="3.3882341770000002"/>
  </r>
  <r>
    <x v="0"/>
    <x v="6"/>
    <x v="17"/>
    <x v="36"/>
    <x v="48"/>
    <x v="1"/>
    <n v="3.3882341770000002"/>
  </r>
  <r>
    <x v="0"/>
    <x v="6"/>
    <x v="17"/>
    <x v="36"/>
    <x v="49"/>
    <x v="1"/>
    <n v="0"/>
  </r>
  <r>
    <x v="0"/>
    <x v="6"/>
    <x v="17"/>
    <x v="36"/>
    <x v="50"/>
    <x v="1"/>
    <n v="0"/>
  </r>
  <r>
    <x v="0"/>
    <x v="6"/>
    <x v="17"/>
    <x v="36"/>
    <x v="51"/>
    <x v="1"/>
    <n v="0"/>
  </r>
  <r>
    <x v="0"/>
    <x v="6"/>
    <x v="17"/>
    <x v="36"/>
    <x v="52"/>
    <x v="1"/>
    <n v="0"/>
  </r>
  <r>
    <x v="0"/>
    <x v="6"/>
    <x v="17"/>
    <x v="36"/>
    <x v="53"/>
    <x v="1"/>
    <n v="0"/>
  </r>
  <r>
    <x v="0"/>
    <x v="6"/>
    <x v="17"/>
    <x v="36"/>
    <x v="54"/>
    <x v="1"/>
    <n v="0"/>
  </r>
  <r>
    <x v="0"/>
    <x v="6"/>
    <x v="17"/>
    <x v="36"/>
    <x v="55"/>
    <x v="1"/>
    <n v="0"/>
  </r>
  <r>
    <x v="0"/>
    <x v="6"/>
    <x v="17"/>
    <x v="37"/>
    <x v="46"/>
    <x v="1"/>
    <n v="5.1367770630000003"/>
  </r>
  <r>
    <x v="0"/>
    <x v="6"/>
    <x v="17"/>
    <x v="37"/>
    <x v="47"/>
    <x v="1"/>
    <n v="5.1367770630000003"/>
  </r>
  <r>
    <x v="0"/>
    <x v="6"/>
    <x v="17"/>
    <x v="37"/>
    <x v="48"/>
    <x v="1"/>
    <n v="5.1367770630000003"/>
  </r>
  <r>
    <x v="0"/>
    <x v="6"/>
    <x v="17"/>
    <x v="37"/>
    <x v="49"/>
    <x v="1"/>
    <n v="0"/>
  </r>
  <r>
    <x v="0"/>
    <x v="6"/>
    <x v="17"/>
    <x v="37"/>
    <x v="50"/>
    <x v="1"/>
    <n v="0"/>
  </r>
  <r>
    <x v="0"/>
    <x v="6"/>
    <x v="17"/>
    <x v="37"/>
    <x v="51"/>
    <x v="1"/>
    <n v="0"/>
  </r>
  <r>
    <x v="0"/>
    <x v="6"/>
    <x v="17"/>
    <x v="37"/>
    <x v="52"/>
    <x v="1"/>
    <n v="0"/>
  </r>
  <r>
    <x v="0"/>
    <x v="6"/>
    <x v="17"/>
    <x v="37"/>
    <x v="53"/>
    <x v="1"/>
    <n v="0"/>
  </r>
  <r>
    <x v="0"/>
    <x v="6"/>
    <x v="17"/>
    <x v="37"/>
    <x v="54"/>
    <x v="1"/>
    <n v="0"/>
  </r>
  <r>
    <x v="0"/>
    <x v="6"/>
    <x v="17"/>
    <x v="37"/>
    <x v="55"/>
    <x v="1"/>
    <n v="0"/>
  </r>
  <r>
    <x v="0"/>
    <x v="6"/>
    <x v="17"/>
    <x v="38"/>
    <x v="46"/>
    <x v="1"/>
    <n v="17.178501247"/>
  </r>
  <r>
    <x v="0"/>
    <x v="6"/>
    <x v="17"/>
    <x v="38"/>
    <x v="47"/>
    <x v="1"/>
    <n v="17.178501247"/>
  </r>
  <r>
    <x v="0"/>
    <x v="6"/>
    <x v="17"/>
    <x v="38"/>
    <x v="48"/>
    <x v="1"/>
    <n v="17.178501247"/>
  </r>
  <r>
    <x v="0"/>
    <x v="6"/>
    <x v="17"/>
    <x v="38"/>
    <x v="49"/>
    <x v="1"/>
    <n v="0"/>
  </r>
  <r>
    <x v="0"/>
    <x v="6"/>
    <x v="17"/>
    <x v="38"/>
    <x v="50"/>
    <x v="1"/>
    <n v="0"/>
  </r>
  <r>
    <x v="0"/>
    <x v="6"/>
    <x v="17"/>
    <x v="38"/>
    <x v="51"/>
    <x v="1"/>
    <n v="0"/>
  </r>
  <r>
    <x v="0"/>
    <x v="6"/>
    <x v="17"/>
    <x v="38"/>
    <x v="52"/>
    <x v="1"/>
    <n v="0"/>
  </r>
  <r>
    <x v="0"/>
    <x v="6"/>
    <x v="17"/>
    <x v="38"/>
    <x v="53"/>
    <x v="1"/>
    <n v="0"/>
  </r>
  <r>
    <x v="0"/>
    <x v="6"/>
    <x v="17"/>
    <x v="38"/>
    <x v="54"/>
    <x v="1"/>
    <n v="0"/>
  </r>
  <r>
    <x v="0"/>
    <x v="6"/>
    <x v="17"/>
    <x v="38"/>
    <x v="55"/>
    <x v="1"/>
    <n v="0"/>
  </r>
  <r>
    <x v="0"/>
    <x v="6"/>
    <x v="17"/>
    <x v="39"/>
    <x v="46"/>
    <x v="1"/>
    <n v="7.1866886709999998"/>
  </r>
  <r>
    <x v="0"/>
    <x v="6"/>
    <x v="17"/>
    <x v="39"/>
    <x v="47"/>
    <x v="1"/>
    <n v="7.1866886709999998"/>
  </r>
  <r>
    <x v="0"/>
    <x v="6"/>
    <x v="17"/>
    <x v="39"/>
    <x v="48"/>
    <x v="1"/>
    <n v="7.1866886709999998"/>
  </r>
  <r>
    <x v="0"/>
    <x v="6"/>
    <x v="17"/>
    <x v="39"/>
    <x v="49"/>
    <x v="1"/>
    <n v="0"/>
  </r>
  <r>
    <x v="0"/>
    <x v="6"/>
    <x v="17"/>
    <x v="39"/>
    <x v="50"/>
    <x v="1"/>
    <n v="0"/>
  </r>
  <r>
    <x v="0"/>
    <x v="6"/>
    <x v="17"/>
    <x v="39"/>
    <x v="51"/>
    <x v="1"/>
    <n v="0"/>
  </r>
  <r>
    <x v="0"/>
    <x v="6"/>
    <x v="17"/>
    <x v="39"/>
    <x v="52"/>
    <x v="1"/>
    <n v="0"/>
  </r>
  <r>
    <x v="0"/>
    <x v="6"/>
    <x v="17"/>
    <x v="39"/>
    <x v="53"/>
    <x v="1"/>
    <n v="0"/>
  </r>
  <r>
    <x v="0"/>
    <x v="6"/>
    <x v="17"/>
    <x v="39"/>
    <x v="54"/>
    <x v="1"/>
    <n v="0"/>
  </r>
  <r>
    <x v="0"/>
    <x v="6"/>
    <x v="17"/>
    <x v="39"/>
    <x v="55"/>
    <x v="1"/>
    <n v="0"/>
  </r>
  <r>
    <x v="0"/>
    <x v="6"/>
    <x v="17"/>
    <x v="40"/>
    <x v="46"/>
    <x v="1"/>
    <n v="2.59156377"/>
  </r>
  <r>
    <x v="0"/>
    <x v="6"/>
    <x v="17"/>
    <x v="40"/>
    <x v="47"/>
    <x v="1"/>
    <n v="2.59156377"/>
  </r>
  <r>
    <x v="0"/>
    <x v="6"/>
    <x v="17"/>
    <x v="40"/>
    <x v="48"/>
    <x v="1"/>
    <n v="2.59156377"/>
  </r>
  <r>
    <x v="0"/>
    <x v="6"/>
    <x v="17"/>
    <x v="40"/>
    <x v="49"/>
    <x v="1"/>
    <n v="0"/>
  </r>
  <r>
    <x v="0"/>
    <x v="6"/>
    <x v="17"/>
    <x v="40"/>
    <x v="50"/>
    <x v="1"/>
    <n v="0"/>
  </r>
  <r>
    <x v="0"/>
    <x v="6"/>
    <x v="17"/>
    <x v="40"/>
    <x v="51"/>
    <x v="1"/>
    <n v="0"/>
  </r>
  <r>
    <x v="0"/>
    <x v="6"/>
    <x v="17"/>
    <x v="40"/>
    <x v="52"/>
    <x v="1"/>
    <n v="0"/>
  </r>
  <r>
    <x v="0"/>
    <x v="6"/>
    <x v="17"/>
    <x v="40"/>
    <x v="53"/>
    <x v="1"/>
    <n v="0"/>
  </r>
  <r>
    <x v="0"/>
    <x v="6"/>
    <x v="17"/>
    <x v="40"/>
    <x v="54"/>
    <x v="1"/>
    <n v="0"/>
  </r>
  <r>
    <x v="0"/>
    <x v="6"/>
    <x v="17"/>
    <x v="40"/>
    <x v="55"/>
    <x v="1"/>
    <n v="0"/>
  </r>
  <r>
    <x v="0"/>
    <x v="6"/>
    <x v="17"/>
    <x v="41"/>
    <x v="46"/>
    <x v="1"/>
    <n v="36.201972886"/>
  </r>
  <r>
    <x v="0"/>
    <x v="6"/>
    <x v="17"/>
    <x v="41"/>
    <x v="47"/>
    <x v="1"/>
    <n v="36.201972886"/>
  </r>
  <r>
    <x v="0"/>
    <x v="6"/>
    <x v="17"/>
    <x v="41"/>
    <x v="48"/>
    <x v="1"/>
    <n v="36.201972886"/>
  </r>
  <r>
    <x v="0"/>
    <x v="6"/>
    <x v="17"/>
    <x v="41"/>
    <x v="49"/>
    <x v="1"/>
    <n v="0"/>
  </r>
  <r>
    <x v="0"/>
    <x v="6"/>
    <x v="17"/>
    <x v="41"/>
    <x v="50"/>
    <x v="1"/>
    <n v="0"/>
  </r>
  <r>
    <x v="0"/>
    <x v="6"/>
    <x v="17"/>
    <x v="41"/>
    <x v="51"/>
    <x v="1"/>
    <n v="0"/>
  </r>
  <r>
    <x v="0"/>
    <x v="6"/>
    <x v="17"/>
    <x v="41"/>
    <x v="52"/>
    <x v="1"/>
    <n v="0"/>
  </r>
  <r>
    <x v="0"/>
    <x v="6"/>
    <x v="17"/>
    <x v="41"/>
    <x v="53"/>
    <x v="1"/>
    <n v="0"/>
  </r>
  <r>
    <x v="0"/>
    <x v="6"/>
    <x v="17"/>
    <x v="41"/>
    <x v="54"/>
    <x v="1"/>
    <n v="0"/>
  </r>
  <r>
    <x v="0"/>
    <x v="6"/>
    <x v="17"/>
    <x v="41"/>
    <x v="55"/>
    <x v="1"/>
    <n v="0"/>
  </r>
  <r>
    <x v="0"/>
    <x v="6"/>
    <x v="18"/>
    <x v="42"/>
    <x v="46"/>
    <x v="1"/>
    <n v="22.545478866"/>
  </r>
  <r>
    <x v="0"/>
    <x v="6"/>
    <x v="18"/>
    <x v="42"/>
    <x v="47"/>
    <x v="1"/>
    <n v="22.545478866"/>
  </r>
  <r>
    <x v="0"/>
    <x v="6"/>
    <x v="18"/>
    <x v="42"/>
    <x v="48"/>
    <x v="1"/>
    <n v="22.545478866"/>
  </r>
  <r>
    <x v="0"/>
    <x v="6"/>
    <x v="18"/>
    <x v="42"/>
    <x v="49"/>
    <x v="1"/>
    <n v="0"/>
  </r>
  <r>
    <x v="0"/>
    <x v="6"/>
    <x v="18"/>
    <x v="42"/>
    <x v="50"/>
    <x v="1"/>
    <n v="0"/>
  </r>
  <r>
    <x v="0"/>
    <x v="6"/>
    <x v="18"/>
    <x v="42"/>
    <x v="51"/>
    <x v="1"/>
    <n v="0"/>
  </r>
  <r>
    <x v="0"/>
    <x v="6"/>
    <x v="18"/>
    <x v="42"/>
    <x v="52"/>
    <x v="1"/>
    <n v="0"/>
  </r>
  <r>
    <x v="0"/>
    <x v="6"/>
    <x v="18"/>
    <x v="42"/>
    <x v="53"/>
    <x v="1"/>
    <n v="0"/>
  </r>
  <r>
    <x v="0"/>
    <x v="6"/>
    <x v="18"/>
    <x v="42"/>
    <x v="54"/>
    <x v="1"/>
    <n v="0"/>
  </r>
  <r>
    <x v="0"/>
    <x v="6"/>
    <x v="18"/>
    <x v="42"/>
    <x v="55"/>
    <x v="1"/>
    <n v="0"/>
  </r>
  <r>
    <x v="0"/>
    <x v="6"/>
    <x v="18"/>
    <x v="43"/>
    <x v="46"/>
    <x v="1"/>
    <n v="56.581359380000002"/>
  </r>
  <r>
    <x v="0"/>
    <x v="6"/>
    <x v="18"/>
    <x v="43"/>
    <x v="47"/>
    <x v="1"/>
    <n v="56.581359380000002"/>
  </r>
  <r>
    <x v="0"/>
    <x v="6"/>
    <x v="18"/>
    <x v="43"/>
    <x v="48"/>
    <x v="1"/>
    <n v="56.581359380000002"/>
  </r>
  <r>
    <x v="0"/>
    <x v="6"/>
    <x v="18"/>
    <x v="43"/>
    <x v="49"/>
    <x v="1"/>
    <n v="0"/>
  </r>
  <r>
    <x v="0"/>
    <x v="6"/>
    <x v="18"/>
    <x v="43"/>
    <x v="50"/>
    <x v="1"/>
    <n v="0"/>
  </r>
  <r>
    <x v="0"/>
    <x v="6"/>
    <x v="18"/>
    <x v="43"/>
    <x v="51"/>
    <x v="1"/>
    <n v="0"/>
  </r>
  <r>
    <x v="0"/>
    <x v="6"/>
    <x v="18"/>
    <x v="43"/>
    <x v="52"/>
    <x v="1"/>
    <n v="0"/>
  </r>
  <r>
    <x v="0"/>
    <x v="6"/>
    <x v="18"/>
    <x v="43"/>
    <x v="53"/>
    <x v="1"/>
    <n v="0"/>
  </r>
  <r>
    <x v="0"/>
    <x v="6"/>
    <x v="18"/>
    <x v="43"/>
    <x v="54"/>
    <x v="1"/>
    <n v="0"/>
  </r>
  <r>
    <x v="0"/>
    <x v="6"/>
    <x v="18"/>
    <x v="43"/>
    <x v="55"/>
    <x v="1"/>
    <n v="0"/>
  </r>
  <r>
    <x v="0"/>
    <x v="6"/>
    <x v="19"/>
    <x v="44"/>
    <x v="46"/>
    <x v="5"/>
    <n v="627.42808228900003"/>
  </r>
  <r>
    <x v="0"/>
    <x v="6"/>
    <x v="19"/>
    <x v="44"/>
    <x v="47"/>
    <x v="5"/>
    <n v="627.42808228900003"/>
  </r>
  <r>
    <x v="0"/>
    <x v="6"/>
    <x v="19"/>
    <x v="44"/>
    <x v="48"/>
    <x v="5"/>
    <n v="627.42808228900003"/>
  </r>
  <r>
    <x v="0"/>
    <x v="6"/>
    <x v="19"/>
    <x v="44"/>
    <x v="49"/>
    <x v="5"/>
    <n v="0"/>
  </r>
  <r>
    <x v="0"/>
    <x v="6"/>
    <x v="19"/>
    <x v="44"/>
    <x v="50"/>
    <x v="5"/>
    <n v="0"/>
  </r>
  <r>
    <x v="0"/>
    <x v="6"/>
    <x v="19"/>
    <x v="44"/>
    <x v="51"/>
    <x v="5"/>
    <n v="0"/>
  </r>
  <r>
    <x v="0"/>
    <x v="6"/>
    <x v="19"/>
    <x v="44"/>
    <x v="52"/>
    <x v="5"/>
    <n v="0"/>
  </r>
  <r>
    <x v="0"/>
    <x v="6"/>
    <x v="19"/>
    <x v="44"/>
    <x v="53"/>
    <x v="5"/>
    <n v="0"/>
  </r>
  <r>
    <x v="0"/>
    <x v="6"/>
    <x v="19"/>
    <x v="44"/>
    <x v="54"/>
    <x v="5"/>
    <n v="0"/>
  </r>
  <r>
    <x v="0"/>
    <x v="6"/>
    <x v="19"/>
    <x v="44"/>
    <x v="55"/>
    <x v="5"/>
    <n v="0"/>
  </r>
  <r>
    <x v="0"/>
    <x v="6"/>
    <x v="20"/>
    <x v="44"/>
    <x v="0"/>
    <x v="6"/>
    <n v="234.90002734500001"/>
  </r>
  <r>
    <x v="0"/>
    <x v="6"/>
    <x v="21"/>
    <x v="44"/>
    <x v="0"/>
    <x v="6"/>
    <n v="3600.834116042"/>
  </r>
  <r>
    <x v="0"/>
    <x v="6"/>
    <x v="22"/>
    <x v="44"/>
    <x v="0"/>
    <x v="5"/>
    <n v="6.5234893000000002E-2"/>
  </r>
  <r>
    <x v="0"/>
    <x v="6"/>
    <x v="23"/>
    <x v="44"/>
    <x v="0"/>
    <x v="5"/>
    <n v="830.44090909500005"/>
  </r>
  <r>
    <x v="0"/>
    <x v="6"/>
    <x v="24"/>
    <x v="44"/>
    <x v="0"/>
    <x v="6"/>
    <n v="1623.6226479070001"/>
  </r>
  <r>
    <x v="0"/>
    <x v="6"/>
    <x v="25"/>
    <x v="45"/>
    <x v="0"/>
    <x v="6"/>
    <n v="1214.121957217"/>
  </r>
  <r>
    <x v="0"/>
    <x v="6"/>
    <x v="26"/>
    <x v="44"/>
    <x v="0"/>
    <x v="6"/>
    <n v="1282.37947947"/>
  </r>
  <r>
    <x v="0"/>
    <x v="6"/>
    <x v="27"/>
    <x v="44"/>
    <x v="0"/>
    <x v="6"/>
    <n v="702.17304722899996"/>
  </r>
  <r>
    <x v="0"/>
    <x v="6"/>
    <x v="28"/>
    <x v="44"/>
    <x v="0"/>
    <x v="6"/>
    <n v="1221.46301578"/>
  </r>
  <r>
    <x v="0"/>
    <x v="6"/>
    <x v="29"/>
    <x v="44"/>
    <x v="0"/>
    <x v="6"/>
    <n v="5.9006492430000002"/>
  </r>
  <r>
    <x v="0"/>
    <x v="6"/>
    <x v="30"/>
    <x v="44"/>
    <x v="0"/>
    <x v="6"/>
    <n v="210.024209095"/>
  </r>
  <r>
    <x v="0"/>
    <x v="6"/>
    <x v="31"/>
    <x v="44"/>
    <x v="0"/>
    <x v="6"/>
    <n v="7684.6151748579996"/>
  </r>
  <r>
    <x v="0"/>
    <x v="6"/>
    <x v="32"/>
    <x v="44"/>
    <x v="0"/>
    <x v="5"/>
    <n v="2.7330477999999998E-2"/>
  </r>
  <r>
    <x v="0"/>
    <x v="6"/>
    <x v="33"/>
    <x v="44"/>
    <x v="0"/>
    <x v="5"/>
    <n v="8.3918000000000005E-5"/>
  </r>
  <r>
    <x v="0"/>
    <x v="6"/>
    <x v="34"/>
    <x v="44"/>
    <x v="0"/>
    <x v="5"/>
    <n v="1"/>
  </r>
  <r>
    <x v="0"/>
    <x v="6"/>
    <x v="35"/>
    <x v="44"/>
    <x v="0"/>
    <x v="5"/>
    <n v="1.075"/>
  </r>
  <r>
    <x v="0"/>
    <x v="6"/>
    <x v="36"/>
    <x v="44"/>
    <x v="0"/>
    <x v="5"/>
    <n v="-9.0778199999999999E-4"/>
  </r>
  <r>
    <x v="0"/>
    <x v="6"/>
    <x v="37"/>
    <x v="45"/>
    <x v="0"/>
    <x v="6"/>
    <n v="0"/>
  </r>
  <r>
    <x v="0"/>
    <x v="6"/>
    <x v="38"/>
    <x v="45"/>
    <x v="0"/>
    <x v="6"/>
    <n v="0"/>
  </r>
  <r>
    <x v="0"/>
    <x v="6"/>
    <x v="39"/>
    <x v="45"/>
    <x v="0"/>
    <x v="6"/>
    <n v="1"/>
  </r>
  <r>
    <x v="0"/>
    <x v="6"/>
    <x v="40"/>
    <x v="45"/>
    <x v="0"/>
    <x v="6"/>
    <n v="131.43095822399999"/>
  </r>
  <r>
    <x v="0"/>
    <x v="6"/>
    <x v="41"/>
    <x v="45"/>
    <x v="0"/>
    <x v="6"/>
    <n v="116.491074279"/>
  </r>
  <r>
    <x v="0"/>
    <x v="6"/>
    <x v="42"/>
    <x v="45"/>
    <x v="0"/>
    <x v="6"/>
    <n v="14.939883945"/>
  </r>
  <r>
    <x v="0"/>
    <x v="6"/>
    <x v="43"/>
    <x v="45"/>
    <x v="0"/>
    <x v="6"/>
    <n v="293.35566010000002"/>
  </r>
  <r>
    <x v="0"/>
    <x v="6"/>
    <x v="44"/>
    <x v="45"/>
    <x v="0"/>
    <x v="6"/>
    <n v="0"/>
  </r>
  <r>
    <x v="0"/>
    <x v="6"/>
    <x v="45"/>
    <x v="44"/>
    <x v="0"/>
    <x v="5"/>
    <n v="5.0927545999999997E-2"/>
  </r>
  <r>
    <x v="0"/>
    <x v="6"/>
    <x v="46"/>
    <x v="45"/>
    <x v="0"/>
    <x v="5"/>
    <n v="3.5779399600000001"/>
  </r>
  <r>
    <x v="0"/>
    <x v="6"/>
    <x v="47"/>
    <x v="46"/>
    <x v="0"/>
    <x v="6"/>
    <n v="1.1265381969999999"/>
  </r>
  <r>
    <x v="0"/>
    <x v="6"/>
    <x v="48"/>
    <x v="47"/>
    <x v="0"/>
    <x v="6"/>
    <n v="0"/>
  </r>
  <r>
    <x v="0"/>
    <x v="6"/>
    <x v="49"/>
    <x v="47"/>
    <x v="0"/>
    <x v="6"/>
    <n v="0"/>
  </r>
  <r>
    <x v="0"/>
    <x v="6"/>
    <x v="50"/>
    <x v="48"/>
    <x v="0"/>
    <x v="7"/>
    <n v="108.067674358"/>
  </r>
  <r>
    <x v="0"/>
    <x v="6"/>
    <x v="50"/>
    <x v="49"/>
    <x v="0"/>
    <x v="7"/>
    <n v="100.82999654"/>
  </r>
  <r>
    <x v="0"/>
    <x v="6"/>
    <x v="51"/>
    <x v="42"/>
    <x v="0"/>
    <x v="4"/>
    <n v="52.248178310999997"/>
  </r>
  <r>
    <x v="0"/>
    <x v="6"/>
    <x v="51"/>
    <x v="43"/>
    <x v="0"/>
    <x v="4"/>
    <n v="173.22695606100001"/>
  </r>
  <r>
    <x v="0"/>
    <x v="6"/>
    <x v="52"/>
    <x v="42"/>
    <x v="0"/>
    <x v="4"/>
    <n v="31.818351925000002"/>
  </r>
  <r>
    <x v="0"/>
    <x v="6"/>
    <x v="52"/>
    <x v="43"/>
    <x v="0"/>
    <x v="4"/>
    <n v="74.194985079999995"/>
  </r>
  <r>
    <x v="0"/>
    <x v="6"/>
    <x v="53"/>
    <x v="42"/>
    <x v="0"/>
    <x v="4"/>
    <n v="9.2728730590000001"/>
  </r>
  <r>
    <x v="0"/>
    <x v="6"/>
    <x v="53"/>
    <x v="43"/>
    <x v="0"/>
    <x v="4"/>
    <n v="17.6136257"/>
  </r>
  <r>
    <x v="0"/>
    <x v="6"/>
    <x v="54"/>
    <x v="42"/>
    <x v="56"/>
    <x v="4"/>
    <n v="15.920732328"/>
  </r>
  <r>
    <x v="0"/>
    <x v="6"/>
    <x v="54"/>
    <x v="43"/>
    <x v="56"/>
    <x v="4"/>
    <n v="90.544760358999994"/>
  </r>
  <r>
    <x v="0"/>
    <x v="6"/>
    <x v="55"/>
    <x v="42"/>
    <x v="0"/>
    <x v="4"/>
    <n v="6.2603934999999999E-2"/>
  </r>
  <r>
    <x v="0"/>
    <x v="6"/>
    <x v="55"/>
    <x v="43"/>
    <x v="0"/>
    <x v="4"/>
    <n v="5.7945358000000002E-2"/>
  </r>
  <r>
    <x v="0"/>
    <x v="6"/>
    <x v="56"/>
    <x v="42"/>
    <x v="0"/>
    <x v="4"/>
    <n v="7.9668998000000005E-2"/>
  </r>
  <r>
    <x v="0"/>
    <x v="6"/>
    <x v="56"/>
    <x v="43"/>
    <x v="0"/>
    <x v="4"/>
    <n v="7.6901177000000001E-2"/>
  </r>
  <r>
    <x v="0"/>
    <x v="6"/>
    <x v="57"/>
    <x v="42"/>
    <x v="0"/>
    <x v="4"/>
    <n v="4.0810146999999998E-2"/>
  </r>
  <r>
    <x v="0"/>
    <x v="6"/>
    <x v="57"/>
    <x v="43"/>
    <x v="0"/>
    <x v="4"/>
    <n v="3.8385401999999999E-2"/>
  </r>
  <r>
    <x v="0"/>
    <x v="6"/>
    <x v="58"/>
    <x v="44"/>
    <x v="57"/>
    <x v="5"/>
    <n v="3.8033399000000002E-2"/>
  </r>
  <r>
    <x v="0"/>
    <x v="6"/>
    <x v="59"/>
    <x v="44"/>
    <x v="57"/>
    <x v="6"/>
    <n v="704.06799999999998"/>
  </r>
  <r>
    <x v="0"/>
    <x v="6"/>
    <x v="60"/>
    <x v="0"/>
    <x v="57"/>
    <x v="8"/>
    <n v="214.06570032100001"/>
  </r>
  <r>
    <x v="0"/>
    <x v="6"/>
    <x v="60"/>
    <x v="1"/>
    <x v="57"/>
    <x v="8"/>
    <n v="25.181809008999998"/>
  </r>
  <r>
    <x v="0"/>
    <x v="6"/>
    <x v="60"/>
    <x v="2"/>
    <x v="57"/>
    <x v="8"/>
    <n v="81.074943009999998"/>
  </r>
  <r>
    <x v="0"/>
    <x v="6"/>
    <x v="60"/>
    <x v="3"/>
    <x v="57"/>
    <x v="8"/>
    <n v="58.591152989999998"/>
  </r>
  <r>
    <x v="0"/>
    <x v="6"/>
    <x v="60"/>
    <x v="4"/>
    <x v="57"/>
    <x v="8"/>
    <n v="4.394902386"/>
  </r>
  <r>
    <x v="0"/>
    <x v="6"/>
    <x v="60"/>
    <x v="5"/>
    <x v="57"/>
    <x v="8"/>
    <n v="87.707410495999994"/>
  </r>
  <r>
    <x v="0"/>
    <x v="6"/>
    <x v="60"/>
    <x v="6"/>
    <x v="57"/>
    <x v="8"/>
    <n v="12.688607684999999"/>
  </r>
  <r>
    <x v="0"/>
    <x v="6"/>
    <x v="60"/>
    <x v="7"/>
    <x v="57"/>
    <x v="8"/>
    <n v="21.153597794"/>
  </r>
  <r>
    <x v="0"/>
    <x v="6"/>
    <x v="60"/>
    <x v="8"/>
    <x v="57"/>
    <x v="8"/>
    <n v="6.0752072779999997"/>
  </r>
  <r>
    <x v="0"/>
    <x v="6"/>
    <x v="60"/>
    <x v="9"/>
    <x v="57"/>
    <x v="8"/>
    <n v="20.147620059000001"/>
  </r>
  <r>
    <x v="0"/>
    <x v="6"/>
    <x v="60"/>
    <x v="10"/>
    <x v="57"/>
    <x v="8"/>
    <n v="19.190043761999998"/>
  </r>
  <r>
    <x v="0"/>
    <x v="6"/>
    <x v="60"/>
    <x v="11"/>
    <x v="57"/>
    <x v="8"/>
    <n v="108.977203669"/>
  </r>
  <r>
    <x v="0"/>
    <x v="6"/>
    <x v="60"/>
    <x v="12"/>
    <x v="57"/>
    <x v="8"/>
    <n v="4.6982145859999997"/>
  </r>
  <r>
    <x v="0"/>
    <x v="6"/>
    <x v="60"/>
    <x v="13"/>
    <x v="57"/>
    <x v="8"/>
    <n v="44.802723780999997"/>
  </r>
  <r>
    <x v="0"/>
    <x v="6"/>
    <x v="60"/>
    <x v="14"/>
    <x v="57"/>
    <x v="8"/>
    <n v="5.8493768920000004"/>
  </r>
  <r>
    <x v="0"/>
    <x v="6"/>
    <x v="60"/>
    <x v="15"/>
    <x v="57"/>
    <x v="8"/>
    <n v="39.866617099000003"/>
  </r>
  <r>
    <x v="0"/>
    <x v="6"/>
    <x v="60"/>
    <x v="16"/>
    <x v="57"/>
    <x v="8"/>
    <n v="34.254305406999997"/>
  </r>
  <r>
    <x v="0"/>
    <x v="6"/>
    <x v="60"/>
    <x v="17"/>
    <x v="57"/>
    <x v="8"/>
    <n v="55.795796371000002"/>
  </r>
  <r>
    <x v="0"/>
    <x v="6"/>
    <x v="60"/>
    <x v="18"/>
    <x v="57"/>
    <x v="8"/>
    <n v="29.758995899999999"/>
  </r>
  <r>
    <x v="0"/>
    <x v="6"/>
    <x v="60"/>
    <x v="19"/>
    <x v="57"/>
    <x v="8"/>
    <n v="169.385540822"/>
  </r>
  <r>
    <x v="0"/>
    <x v="6"/>
    <x v="60"/>
    <x v="20"/>
    <x v="57"/>
    <x v="8"/>
    <n v="24.336810152999998"/>
  </r>
  <r>
    <x v="0"/>
    <x v="6"/>
    <x v="60"/>
    <x v="21"/>
    <x v="57"/>
    <x v="8"/>
    <n v="0.498636784"/>
  </r>
  <r>
    <x v="0"/>
    <x v="6"/>
    <x v="60"/>
    <x v="22"/>
    <x v="57"/>
    <x v="8"/>
    <n v="1.180003615"/>
  </r>
  <r>
    <x v="0"/>
    <x v="6"/>
    <x v="60"/>
    <x v="23"/>
    <x v="57"/>
    <x v="8"/>
    <n v="0"/>
  </r>
  <r>
    <x v="0"/>
    <x v="6"/>
    <x v="60"/>
    <x v="24"/>
    <x v="57"/>
    <x v="8"/>
    <n v="0.17194726699999999"/>
  </r>
  <r>
    <x v="0"/>
    <x v="6"/>
    <x v="60"/>
    <x v="25"/>
    <x v="57"/>
    <x v="8"/>
    <n v="5.5000000000000003E-8"/>
  </r>
  <r>
    <x v="0"/>
    <x v="6"/>
    <x v="60"/>
    <x v="26"/>
    <x v="57"/>
    <x v="8"/>
    <n v="0"/>
  </r>
  <r>
    <x v="0"/>
    <x v="6"/>
    <x v="60"/>
    <x v="27"/>
    <x v="57"/>
    <x v="8"/>
    <n v="3.0189202659999999"/>
  </r>
  <r>
    <x v="0"/>
    <x v="6"/>
    <x v="60"/>
    <x v="28"/>
    <x v="57"/>
    <x v="8"/>
    <n v="0"/>
  </r>
  <r>
    <x v="0"/>
    <x v="6"/>
    <x v="60"/>
    <x v="29"/>
    <x v="57"/>
    <x v="8"/>
    <n v="33.72211497"/>
  </r>
  <r>
    <x v="0"/>
    <x v="6"/>
    <x v="60"/>
    <x v="30"/>
    <x v="57"/>
    <x v="8"/>
    <n v="21.713276871000001"/>
  </r>
  <r>
    <x v="0"/>
    <x v="6"/>
    <x v="60"/>
    <x v="31"/>
    <x v="57"/>
    <x v="8"/>
    <n v="5.3169938170000002"/>
  </r>
  <r>
    <x v="0"/>
    <x v="6"/>
    <x v="60"/>
    <x v="32"/>
    <x v="57"/>
    <x v="8"/>
    <n v="3.2035095899999999"/>
  </r>
  <r>
    <x v="0"/>
    <x v="6"/>
    <x v="60"/>
    <x v="33"/>
    <x v="57"/>
    <x v="8"/>
    <n v="0"/>
  </r>
  <r>
    <x v="0"/>
    <x v="6"/>
    <x v="60"/>
    <x v="34"/>
    <x v="57"/>
    <x v="8"/>
    <n v="35.334107553000003"/>
  </r>
  <r>
    <x v="0"/>
    <x v="6"/>
    <x v="60"/>
    <x v="35"/>
    <x v="57"/>
    <x v="8"/>
    <n v="3.3659974419999998"/>
  </r>
  <r>
    <x v="0"/>
    <x v="6"/>
    <x v="60"/>
    <x v="36"/>
    <x v="57"/>
    <x v="8"/>
    <n v="6.6349739530000003"/>
  </r>
  <r>
    <x v="0"/>
    <x v="6"/>
    <x v="60"/>
    <x v="37"/>
    <x v="57"/>
    <x v="8"/>
    <n v="2.0502661949999998"/>
  </r>
  <r>
    <x v="0"/>
    <x v="6"/>
    <x v="60"/>
    <x v="38"/>
    <x v="57"/>
    <x v="8"/>
    <n v="8.2453920279999995"/>
  </r>
  <r>
    <x v="0"/>
    <x v="6"/>
    <x v="60"/>
    <x v="39"/>
    <x v="57"/>
    <x v="8"/>
    <n v="2.5313146290000001"/>
  </r>
  <r>
    <x v="0"/>
    <x v="6"/>
    <x v="60"/>
    <x v="40"/>
    <x v="57"/>
    <x v="8"/>
    <n v="20.320190596"/>
  </r>
  <r>
    <x v="0"/>
    <x v="6"/>
    <x v="60"/>
    <x v="41"/>
    <x v="57"/>
    <x v="8"/>
    <n v="6.1587906820000002"/>
  </r>
  <r>
    <x v="0"/>
    <x v="6"/>
    <x v="61"/>
    <x v="0"/>
    <x v="57"/>
    <x v="8"/>
    <n v="1.2205065799999999"/>
  </r>
  <r>
    <x v="0"/>
    <x v="6"/>
    <x v="61"/>
    <x v="1"/>
    <x v="57"/>
    <x v="8"/>
    <n v="0.42160682700000002"/>
  </r>
  <r>
    <x v="0"/>
    <x v="6"/>
    <x v="61"/>
    <x v="2"/>
    <x v="57"/>
    <x v="8"/>
    <n v="2.5490143619999999"/>
  </r>
  <r>
    <x v="0"/>
    <x v="6"/>
    <x v="61"/>
    <x v="3"/>
    <x v="57"/>
    <x v="8"/>
    <n v="0.38495101700000001"/>
  </r>
  <r>
    <x v="0"/>
    <x v="6"/>
    <x v="61"/>
    <x v="4"/>
    <x v="57"/>
    <x v="8"/>
    <n v="0.70923609399999998"/>
  </r>
  <r>
    <x v="0"/>
    <x v="6"/>
    <x v="61"/>
    <x v="5"/>
    <x v="57"/>
    <x v="8"/>
    <n v="8.0695122230000003"/>
  </r>
  <r>
    <x v="0"/>
    <x v="6"/>
    <x v="61"/>
    <x v="6"/>
    <x v="57"/>
    <x v="8"/>
    <n v="15.230228284000001"/>
  </r>
  <r>
    <x v="0"/>
    <x v="6"/>
    <x v="61"/>
    <x v="7"/>
    <x v="57"/>
    <x v="8"/>
    <n v="31.380717551"/>
  </r>
  <r>
    <x v="0"/>
    <x v="6"/>
    <x v="61"/>
    <x v="8"/>
    <x v="57"/>
    <x v="8"/>
    <n v="12.187758081"/>
  </r>
  <r>
    <x v="0"/>
    <x v="6"/>
    <x v="61"/>
    <x v="9"/>
    <x v="57"/>
    <x v="8"/>
    <n v="27.389948816"/>
  </r>
  <r>
    <x v="0"/>
    <x v="6"/>
    <x v="61"/>
    <x v="10"/>
    <x v="57"/>
    <x v="8"/>
    <n v="10.932646114000001"/>
  </r>
  <r>
    <x v="0"/>
    <x v="6"/>
    <x v="61"/>
    <x v="11"/>
    <x v="57"/>
    <x v="8"/>
    <n v="59.111742603000003"/>
  </r>
  <r>
    <x v="0"/>
    <x v="6"/>
    <x v="61"/>
    <x v="12"/>
    <x v="57"/>
    <x v="8"/>
    <n v="13.734365107"/>
  </r>
  <r>
    <x v="0"/>
    <x v="6"/>
    <x v="61"/>
    <x v="13"/>
    <x v="57"/>
    <x v="8"/>
    <n v="34.712336825999998"/>
  </r>
  <r>
    <x v="0"/>
    <x v="6"/>
    <x v="61"/>
    <x v="14"/>
    <x v="57"/>
    <x v="8"/>
    <n v="25.642365105"/>
  </r>
  <r>
    <x v="0"/>
    <x v="6"/>
    <x v="61"/>
    <x v="15"/>
    <x v="57"/>
    <x v="8"/>
    <n v="34.865830240999998"/>
  </r>
  <r>
    <x v="0"/>
    <x v="6"/>
    <x v="61"/>
    <x v="16"/>
    <x v="57"/>
    <x v="8"/>
    <n v="16.330460409000001"/>
  </r>
  <r>
    <x v="0"/>
    <x v="6"/>
    <x v="61"/>
    <x v="17"/>
    <x v="57"/>
    <x v="8"/>
    <n v="27.489437692999999"/>
  </r>
  <r>
    <x v="0"/>
    <x v="6"/>
    <x v="61"/>
    <x v="18"/>
    <x v="57"/>
    <x v="8"/>
    <n v="62.295945760999999"/>
  </r>
  <r>
    <x v="0"/>
    <x v="6"/>
    <x v="61"/>
    <x v="19"/>
    <x v="57"/>
    <x v="8"/>
    <n v="143.81135316000001"/>
  </r>
  <r>
    <x v="0"/>
    <x v="6"/>
    <x v="61"/>
    <x v="20"/>
    <x v="57"/>
    <x v="8"/>
    <n v="10.349402828000001"/>
  </r>
  <r>
    <x v="0"/>
    <x v="6"/>
    <x v="61"/>
    <x v="21"/>
    <x v="57"/>
    <x v="8"/>
    <n v="2.2130449639999998"/>
  </r>
  <r>
    <x v="0"/>
    <x v="6"/>
    <x v="61"/>
    <x v="22"/>
    <x v="57"/>
    <x v="8"/>
    <n v="4.8227570750000002"/>
  </r>
  <r>
    <x v="0"/>
    <x v="6"/>
    <x v="61"/>
    <x v="23"/>
    <x v="57"/>
    <x v="8"/>
    <n v="0"/>
  </r>
  <r>
    <x v="0"/>
    <x v="6"/>
    <x v="61"/>
    <x v="24"/>
    <x v="57"/>
    <x v="8"/>
    <n v="0.58602992700000001"/>
  </r>
  <r>
    <x v="0"/>
    <x v="6"/>
    <x v="61"/>
    <x v="25"/>
    <x v="57"/>
    <x v="8"/>
    <n v="0"/>
  </r>
  <r>
    <x v="0"/>
    <x v="6"/>
    <x v="61"/>
    <x v="26"/>
    <x v="57"/>
    <x v="8"/>
    <n v="0"/>
  </r>
  <r>
    <x v="0"/>
    <x v="6"/>
    <x v="61"/>
    <x v="27"/>
    <x v="57"/>
    <x v="8"/>
    <n v="2.7034651219999999"/>
  </r>
  <r>
    <x v="0"/>
    <x v="6"/>
    <x v="61"/>
    <x v="28"/>
    <x v="57"/>
    <x v="8"/>
    <n v="80.470208155999998"/>
  </r>
  <r>
    <x v="0"/>
    <x v="6"/>
    <x v="61"/>
    <x v="29"/>
    <x v="57"/>
    <x v="8"/>
    <n v="33.282764669000002"/>
  </r>
  <r>
    <x v="0"/>
    <x v="6"/>
    <x v="61"/>
    <x v="30"/>
    <x v="57"/>
    <x v="8"/>
    <n v="1.2719733609999999"/>
  </r>
  <r>
    <x v="0"/>
    <x v="6"/>
    <x v="61"/>
    <x v="31"/>
    <x v="57"/>
    <x v="8"/>
    <n v="8.8421551219999994"/>
  </r>
  <r>
    <x v="0"/>
    <x v="6"/>
    <x v="61"/>
    <x v="32"/>
    <x v="57"/>
    <x v="8"/>
    <n v="3.8479713260000001"/>
  </r>
  <r>
    <x v="0"/>
    <x v="6"/>
    <x v="61"/>
    <x v="33"/>
    <x v="57"/>
    <x v="8"/>
    <n v="0"/>
  </r>
  <r>
    <x v="0"/>
    <x v="6"/>
    <x v="61"/>
    <x v="34"/>
    <x v="57"/>
    <x v="8"/>
    <n v="21.915877407"/>
  </r>
  <r>
    <x v="0"/>
    <x v="6"/>
    <x v="61"/>
    <x v="35"/>
    <x v="57"/>
    <x v="8"/>
    <n v="0.13037334"/>
  </r>
  <r>
    <x v="0"/>
    <x v="6"/>
    <x v="61"/>
    <x v="36"/>
    <x v="57"/>
    <x v="8"/>
    <n v="0.48727542600000001"/>
  </r>
  <r>
    <x v="0"/>
    <x v="6"/>
    <x v="61"/>
    <x v="37"/>
    <x v="57"/>
    <x v="8"/>
    <n v="0.32861461400000003"/>
  </r>
  <r>
    <x v="0"/>
    <x v="6"/>
    <x v="61"/>
    <x v="38"/>
    <x v="57"/>
    <x v="8"/>
    <n v="8.4646573000000003E-2"/>
  </r>
  <r>
    <x v="0"/>
    <x v="6"/>
    <x v="61"/>
    <x v="39"/>
    <x v="57"/>
    <x v="8"/>
    <n v="0.10309308"/>
  </r>
  <r>
    <x v="0"/>
    <x v="6"/>
    <x v="61"/>
    <x v="40"/>
    <x v="57"/>
    <x v="8"/>
    <n v="2.0997119729999998"/>
  </r>
  <r>
    <x v="0"/>
    <x v="6"/>
    <x v="61"/>
    <x v="41"/>
    <x v="57"/>
    <x v="8"/>
    <n v="0.16371941000000001"/>
  </r>
  <r>
    <x v="0"/>
    <x v="6"/>
    <x v="62"/>
    <x v="0"/>
    <x v="57"/>
    <x v="9"/>
    <n v="3.8033399000000002E-2"/>
  </r>
  <r>
    <x v="0"/>
    <x v="6"/>
    <x v="62"/>
    <x v="1"/>
    <x v="57"/>
    <x v="9"/>
    <n v="3.8033399000000002E-2"/>
  </r>
  <r>
    <x v="0"/>
    <x v="6"/>
    <x v="62"/>
    <x v="2"/>
    <x v="57"/>
    <x v="9"/>
    <n v="3.8033399000000002E-2"/>
  </r>
  <r>
    <x v="0"/>
    <x v="6"/>
    <x v="62"/>
    <x v="3"/>
    <x v="57"/>
    <x v="9"/>
    <n v="3.8033399000000002E-2"/>
  </r>
  <r>
    <x v="0"/>
    <x v="6"/>
    <x v="62"/>
    <x v="4"/>
    <x v="57"/>
    <x v="9"/>
    <n v="3.8033399000000002E-2"/>
  </r>
  <r>
    <x v="0"/>
    <x v="6"/>
    <x v="62"/>
    <x v="5"/>
    <x v="57"/>
    <x v="9"/>
    <n v="3.8033399000000002E-2"/>
  </r>
  <r>
    <x v="0"/>
    <x v="6"/>
    <x v="62"/>
    <x v="6"/>
    <x v="57"/>
    <x v="9"/>
    <n v="3.8033399000000002E-2"/>
  </r>
  <r>
    <x v="0"/>
    <x v="6"/>
    <x v="62"/>
    <x v="7"/>
    <x v="57"/>
    <x v="9"/>
    <n v="3.8033399000000002E-2"/>
  </r>
  <r>
    <x v="0"/>
    <x v="6"/>
    <x v="62"/>
    <x v="8"/>
    <x v="57"/>
    <x v="9"/>
    <n v="3.8033399000000002E-2"/>
  </r>
  <r>
    <x v="0"/>
    <x v="6"/>
    <x v="62"/>
    <x v="9"/>
    <x v="57"/>
    <x v="9"/>
    <n v="3.8033399000000002E-2"/>
  </r>
  <r>
    <x v="0"/>
    <x v="6"/>
    <x v="62"/>
    <x v="10"/>
    <x v="57"/>
    <x v="9"/>
    <n v="3.8033399000000002E-2"/>
  </r>
  <r>
    <x v="0"/>
    <x v="6"/>
    <x v="62"/>
    <x v="11"/>
    <x v="57"/>
    <x v="9"/>
    <n v="3.8033399000000002E-2"/>
  </r>
  <r>
    <x v="0"/>
    <x v="6"/>
    <x v="62"/>
    <x v="12"/>
    <x v="57"/>
    <x v="9"/>
    <n v="3.8033399000000002E-2"/>
  </r>
  <r>
    <x v="0"/>
    <x v="6"/>
    <x v="62"/>
    <x v="13"/>
    <x v="57"/>
    <x v="9"/>
    <n v="3.8033399000000002E-2"/>
  </r>
  <r>
    <x v="0"/>
    <x v="6"/>
    <x v="62"/>
    <x v="14"/>
    <x v="57"/>
    <x v="9"/>
    <n v="3.8033399000000002E-2"/>
  </r>
  <r>
    <x v="0"/>
    <x v="6"/>
    <x v="62"/>
    <x v="15"/>
    <x v="57"/>
    <x v="9"/>
    <n v="3.8033399000000002E-2"/>
  </r>
  <r>
    <x v="0"/>
    <x v="6"/>
    <x v="62"/>
    <x v="16"/>
    <x v="57"/>
    <x v="9"/>
    <n v="3.8033399000000002E-2"/>
  </r>
  <r>
    <x v="0"/>
    <x v="6"/>
    <x v="62"/>
    <x v="17"/>
    <x v="57"/>
    <x v="9"/>
    <n v="3.8033399000000002E-2"/>
  </r>
  <r>
    <x v="0"/>
    <x v="6"/>
    <x v="62"/>
    <x v="18"/>
    <x v="57"/>
    <x v="9"/>
    <n v="3.8033399000000002E-2"/>
  </r>
  <r>
    <x v="0"/>
    <x v="6"/>
    <x v="62"/>
    <x v="19"/>
    <x v="57"/>
    <x v="9"/>
    <n v="3.8033399000000002E-2"/>
  </r>
  <r>
    <x v="0"/>
    <x v="6"/>
    <x v="62"/>
    <x v="20"/>
    <x v="57"/>
    <x v="9"/>
    <n v="3.8033399000000002E-2"/>
  </r>
  <r>
    <x v="0"/>
    <x v="6"/>
    <x v="62"/>
    <x v="21"/>
    <x v="57"/>
    <x v="9"/>
    <n v="3.8033399000000002E-2"/>
  </r>
  <r>
    <x v="0"/>
    <x v="6"/>
    <x v="62"/>
    <x v="22"/>
    <x v="57"/>
    <x v="9"/>
    <n v="3.8033399000000002E-2"/>
  </r>
  <r>
    <x v="0"/>
    <x v="6"/>
    <x v="62"/>
    <x v="23"/>
    <x v="57"/>
    <x v="9"/>
    <n v="1"/>
  </r>
  <r>
    <x v="0"/>
    <x v="6"/>
    <x v="62"/>
    <x v="24"/>
    <x v="57"/>
    <x v="9"/>
    <n v="3.8033399000000002E-2"/>
  </r>
  <r>
    <x v="0"/>
    <x v="6"/>
    <x v="62"/>
    <x v="25"/>
    <x v="57"/>
    <x v="9"/>
    <n v="3.8033399000000002E-2"/>
  </r>
  <r>
    <x v="0"/>
    <x v="6"/>
    <x v="62"/>
    <x v="26"/>
    <x v="57"/>
    <x v="9"/>
    <n v="1"/>
  </r>
  <r>
    <x v="0"/>
    <x v="6"/>
    <x v="62"/>
    <x v="27"/>
    <x v="57"/>
    <x v="9"/>
    <n v="3.8033399000000002E-2"/>
  </r>
  <r>
    <x v="0"/>
    <x v="6"/>
    <x v="62"/>
    <x v="28"/>
    <x v="57"/>
    <x v="9"/>
    <n v="1"/>
  </r>
  <r>
    <x v="0"/>
    <x v="6"/>
    <x v="62"/>
    <x v="29"/>
    <x v="57"/>
    <x v="9"/>
    <n v="3.8033399000000002E-2"/>
  </r>
  <r>
    <x v="0"/>
    <x v="6"/>
    <x v="62"/>
    <x v="30"/>
    <x v="57"/>
    <x v="9"/>
    <n v="3.8033399000000002E-2"/>
  </r>
  <r>
    <x v="0"/>
    <x v="6"/>
    <x v="62"/>
    <x v="31"/>
    <x v="57"/>
    <x v="9"/>
    <n v="3.8033399000000002E-2"/>
  </r>
  <r>
    <x v="0"/>
    <x v="6"/>
    <x v="62"/>
    <x v="32"/>
    <x v="57"/>
    <x v="9"/>
    <n v="3.8033399000000002E-2"/>
  </r>
  <r>
    <x v="0"/>
    <x v="6"/>
    <x v="62"/>
    <x v="33"/>
    <x v="57"/>
    <x v="9"/>
    <n v="1"/>
  </r>
  <r>
    <x v="0"/>
    <x v="6"/>
    <x v="62"/>
    <x v="34"/>
    <x v="57"/>
    <x v="9"/>
    <n v="3.8033399000000002E-2"/>
  </r>
  <r>
    <x v="0"/>
    <x v="6"/>
    <x v="62"/>
    <x v="35"/>
    <x v="57"/>
    <x v="9"/>
    <n v="3.8033399000000002E-2"/>
  </r>
  <r>
    <x v="0"/>
    <x v="6"/>
    <x v="62"/>
    <x v="36"/>
    <x v="57"/>
    <x v="9"/>
    <n v="3.8033399000000002E-2"/>
  </r>
  <r>
    <x v="0"/>
    <x v="6"/>
    <x v="62"/>
    <x v="37"/>
    <x v="57"/>
    <x v="9"/>
    <n v="3.8033399000000002E-2"/>
  </r>
  <r>
    <x v="0"/>
    <x v="6"/>
    <x v="62"/>
    <x v="38"/>
    <x v="57"/>
    <x v="9"/>
    <n v="3.8033399000000002E-2"/>
  </r>
  <r>
    <x v="0"/>
    <x v="6"/>
    <x v="62"/>
    <x v="39"/>
    <x v="57"/>
    <x v="9"/>
    <n v="3.8033399000000002E-2"/>
  </r>
  <r>
    <x v="0"/>
    <x v="6"/>
    <x v="62"/>
    <x v="40"/>
    <x v="57"/>
    <x v="9"/>
    <n v="3.8033399000000002E-2"/>
  </r>
  <r>
    <x v="0"/>
    <x v="6"/>
    <x v="62"/>
    <x v="41"/>
    <x v="57"/>
    <x v="9"/>
    <n v="3.8033399000000002E-2"/>
  </r>
  <r>
    <x v="0"/>
    <x v="6"/>
    <x v="63"/>
    <x v="0"/>
    <x v="57"/>
    <x v="9"/>
    <n v="5.0738228000000003E-2"/>
  </r>
  <r>
    <x v="0"/>
    <x v="6"/>
    <x v="63"/>
    <x v="1"/>
    <x v="57"/>
    <x v="9"/>
    <n v="3.3486514000000002E-2"/>
  </r>
  <r>
    <x v="0"/>
    <x v="6"/>
    <x v="63"/>
    <x v="2"/>
    <x v="57"/>
    <x v="9"/>
    <n v="2.9095797999999999E-2"/>
  </r>
  <r>
    <x v="0"/>
    <x v="6"/>
    <x v="63"/>
    <x v="3"/>
    <x v="57"/>
    <x v="9"/>
    <n v="3.2184369999999997E-2"/>
  </r>
  <r>
    <x v="0"/>
    <x v="6"/>
    <x v="63"/>
    <x v="4"/>
    <x v="57"/>
    <x v="9"/>
    <n v="3.0371776E-2"/>
  </r>
  <r>
    <x v="0"/>
    <x v="6"/>
    <x v="63"/>
    <x v="5"/>
    <x v="57"/>
    <x v="9"/>
    <n v="3.3168835000000001E-2"/>
  </r>
  <r>
    <x v="0"/>
    <x v="6"/>
    <x v="63"/>
    <x v="6"/>
    <x v="57"/>
    <x v="9"/>
    <n v="3.1940963000000003E-2"/>
  </r>
  <r>
    <x v="0"/>
    <x v="6"/>
    <x v="63"/>
    <x v="7"/>
    <x v="57"/>
    <x v="9"/>
    <n v="3.2626860000000001E-2"/>
  </r>
  <r>
    <x v="0"/>
    <x v="6"/>
    <x v="63"/>
    <x v="8"/>
    <x v="57"/>
    <x v="9"/>
    <n v="3.1184023000000002E-2"/>
  </r>
  <r>
    <x v="0"/>
    <x v="6"/>
    <x v="63"/>
    <x v="9"/>
    <x v="57"/>
    <x v="9"/>
    <n v="2.7957877999999999E-2"/>
  </r>
  <r>
    <x v="0"/>
    <x v="6"/>
    <x v="63"/>
    <x v="10"/>
    <x v="57"/>
    <x v="9"/>
    <n v="2.214035E-2"/>
  </r>
  <r>
    <x v="0"/>
    <x v="6"/>
    <x v="63"/>
    <x v="11"/>
    <x v="57"/>
    <x v="9"/>
    <n v="2.6039849E-2"/>
  </r>
  <r>
    <x v="0"/>
    <x v="6"/>
    <x v="63"/>
    <x v="12"/>
    <x v="57"/>
    <x v="9"/>
    <n v="2.7350531000000001E-2"/>
  </r>
  <r>
    <x v="0"/>
    <x v="6"/>
    <x v="63"/>
    <x v="13"/>
    <x v="57"/>
    <x v="9"/>
    <n v="2.3513270999999999E-2"/>
  </r>
  <r>
    <x v="0"/>
    <x v="6"/>
    <x v="63"/>
    <x v="14"/>
    <x v="57"/>
    <x v="9"/>
    <n v="2.5332856000000001E-2"/>
  </r>
  <r>
    <x v="0"/>
    <x v="6"/>
    <x v="63"/>
    <x v="15"/>
    <x v="57"/>
    <x v="9"/>
    <n v="2.8246388000000001E-2"/>
  </r>
  <r>
    <x v="0"/>
    <x v="6"/>
    <x v="63"/>
    <x v="16"/>
    <x v="57"/>
    <x v="9"/>
    <n v="2.9106908000000001E-2"/>
  </r>
  <r>
    <x v="0"/>
    <x v="6"/>
    <x v="63"/>
    <x v="17"/>
    <x v="57"/>
    <x v="9"/>
    <n v="2.8219596999999999E-2"/>
  </r>
  <r>
    <x v="0"/>
    <x v="6"/>
    <x v="63"/>
    <x v="18"/>
    <x v="57"/>
    <x v="9"/>
    <n v="2.5725543E-2"/>
  </r>
  <r>
    <x v="0"/>
    <x v="6"/>
    <x v="63"/>
    <x v="19"/>
    <x v="57"/>
    <x v="9"/>
    <n v="3.0300379999999998E-2"/>
  </r>
  <r>
    <x v="0"/>
    <x v="6"/>
    <x v="63"/>
    <x v="20"/>
    <x v="57"/>
    <x v="9"/>
    <n v="3.0184300000000001E-2"/>
  </r>
  <r>
    <x v="0"/>
    <x v="6"/>
    <x v="63"/>
    <x v="21"/>
    <x v="57"/>
    <x v="9"/>
    <n v="2.7881042000000002E-2"/>
  </r>
  <r>
    <x v="0"/>
    <x v="6"/>
    <x v="63"/>
    <x v="22"/>
    <x v="57"/>
    <x v="9"/>
    <n v="1.5359370000000001E-2"/>
  </r>
  <r>
    <x v="0"/>
    <x v="6"/>
    <x v="63"/>
    <x v="23"/>
    <x v="57"/>
    <x v="9"/>
    <n v="1"/>
  </r>
  <r>
    <x v="0"/>
    <x v="6"/>
    <x v="63"/>
    <x v="24"/>
    <x v="57"/>
    <x v="9"/>
    <n v="2.399921E-2"/>
  </r>
  <r>
    <x v="0"/>
    <x v="6"/>
    <x v="63"/>
    <x v="25"/>
    <x v="57"/>
    <x v="9"/>
    <n v="1"/>
  </r>
  <r>
    <x v="0"/>
    <x v="6"/>
    <x v="63"/>
    <x v="26"/>
    <x v="57"/>
    <x v="9"/>
    <n v="1"/>
  </r>
  <r>
    <x v="0"/>
    <x v="6"/>
    <x v="63"/>
    <x v="27"/>
    <x v="57"/>
    <x v="9"/>
    <n v="3.1145111E-2"/>
  </r>
  <r>
    <x v="0"/>
    <x v="6"/>
    <x v="63"/>
    <x v="28"/>
    <x v="57"/>
    <x v="9"/>
    <n v="3.2974682999999998E-2"/>
  </r>
  <r>
    <x v="0"/>
    <x v="6"/>
    <x v="63"/>
    <x v="29"/>
    <x v="57"/>
    <x v="9"/>
    <n v="2.8460503000000002E-2"/>
  </r>
  <r>
    <x v="0"/>
    <x v="6"/>
    <x v="63"/>
    <x v="30"/>
    <x v="57"/>
    <x v="9"/>
    <n v="4.0000083999999998E-2"/>
  </r>
  <r>
    <x v="0"/>
    <x v="6"/>
    <x v="63"/>
    <x v="31"/>
    <x v="57"/>
    <x v="9"/>
    <n v="2.6145213E-2"/>
  </r>
  <r>
    <x v="0"/>
    <x v="6"/>
    <x v="63"/>
    <x v="32"/>
    <x v="57"/>
    <x v="9"/>
    <n v="2.7840739999999999E-2"/>
  </r>
  <r>
    <x v="0"/>
    <x v="6"/>
    <x v="63"/>
    <x v="33"/>
    <x v="57"/>
    <x v="9"/>
    <n v="1"/>
  </r>
  <r>
    <x v="0"/>
    <x v="6"/>
    <x v="63"/>
    <x v="34"/>
    <x v="57"/>
    <x v="9"/>
    <n v="2.8945490000000001E-2"/>
  </r>
  <r>
    <x v="0"/>
    <x v="6"/>
    <x v="63"/>
    <x v="35"/>
    <x v="57"/>
    <x v="9"/>
    <n v="2.9642735999999999E-2"/>
  </r>
  <r>
    <x v="0"/>
    <x v="6"/>
    <x v="63"/>
    <x v="36"/>
    <x v="57"/>
    <x v="9"/>
    <n v="3.1635376E-2"/>
  </r>
  <r>
    <x v="0"/>
    <x v="6"/>
    <x v="63"/>
    <x v="37"/>
    <x v="57"/>
    <x v="9"/>
    <n v="3.9331926000000003E-2"/>
  </r>
  <r>
    <x v="0"/>
    <x v="6"/>
    <x v="63"/>
    <x v="38"/>
    <x v="57"/>
    <x v="9"/>
    <n v="5.1873687000000002E-2"/>
  </r>
  <r>
    <x v="0"/>
    <x v="6"/>
    <x v="63"/>
    <x v="39"/>
    <x v="57"/>
    <x v="9"/>
    <n v="3.9044726000000002E-2"/>
  </r>
  <r>
    <x v="0"/>
    <x v="6"/>
    <x v="63"/>
    <x v="40"/>
    <x v="57"/>
    <x v="9"/>
    <n v="3.6873721999999998E-2"/>
  </r>
  <r>
    <x v="0"/>
    <x v="6"/>
    <x v="63"/>
    <x v="41"/>
    <x v="57"/>
    <x v="9"/>
    <n v="4.2408163999999998E-2"/>
  </r>
  <r>
    <x v="0"/>
    <x v="6"/>
    <x v="64"/>
    <x v="0"/>
    <x v="57"/>
    <x v="10"/>
    <n v="0"/>
  </r>
  <r>
    <x v="0"/>
    <x v="6"/>
    <x v="64"/>
    <x v="1"/>
    <x v="57"/>
    <x v="10"/>
    <n v="0"/>
  </r>
  <r>
    <x v="0"/>
    <x v="6"/>
    <x v="64"/>
    <x v="2"/>
    <x v="57"/>
    <x v="10"/>
    <n v="0"/>
  </r>
  <r>
    <x v="0"/>
    <x v="6"/>
    <x v="64"/>
    <x v="3"/>
    <x v="57"/>
    <x v="10"/>
    <n v="0"/>
  </r>
  <r>
    <x v="0"/>
    <x v="6"/>
    <x v="64"/>
    <x v="4"/>
    <x v="57"/>
    <x v="10"/>
    <n v="0"/>
  </r>
  <r>
    <x v="0"/>
    <x v="6"/>
    <x v="64"/>
    <x v="5"/>
    <x v="57"/>
    <x v="10"/>
    <n v="0"/>
  </r>
  <r>
    <x v="0"/>
    <x v="6"/>
    <x v="64"/>
    <x v="6"/>
    <x v="57"/>
    <x v="10"/>
    <n v="0"/>
  </r>
  <r>
    <x v="0"/>
    <x v="6"/>
    <x v="64"/>
    <x v="7"/>
    <x v="57"/>
    <x v="10"/>
    <n v="0"/>
  </r>
  <r>
    <x v="0"/>
    <x v="6"/>
    <x v="64"/>
    <x v="8"/>
    <x v="57"/>
    <x v="10"/>
    <n v="0"/>
  </r>
  <r>
    <x v="0"/>
    <x v="6"/>
    <x v="64"/>
    <x v="9"/>
    <x v="57"/>
    <x v="10"/>
    <n v="0"/>
  </r>
  <r>
    <x v="0"/>
    <x v="6"/>
    <x v="64"/>
    <x v="10"/>
    <x v="57"/>
    <x v="10"/>
    <n v="0"/>
  </r>
  <r>
    <x v="0"/>
    <x v="6"/>
    <x v="64"/>
    <x v="11"/>
    <x v="57"/>
    <x v="10"/>
    <n v="0"/>
  </r>
  <r>
    <x v="0"/>
    <x v="6"/>
    <x v="64"/>
    <x v="12"/>
    <x v="57"/>
    <x v="10"/>
    <n v="0"/>
  </r>
  <r>
    <x v="0"/>
    <x v="6"/>
    <x v="64"/>
    <x v="13"/>
    <x v="57"/>
    <x v="10"/>
    <n v="0"/>
  </r>
  <r>
    <x v="0"/>
    <x v="6"/>
    <x v="64"/>
    <x v="14"/>
    <x v="57"/>
    <x v="10"/>
    <n v="0"/>
  </r>
  <r>
    <x v="0"/>
    <x v="6"/>
    <x v="64"/>
    <x v="15"/>
    <x v="57"/>
    <x v="10"/>
    <n v="0"/>
  </r>
  <r>
    <x v="0"/>
    <x v="6"/>
    <x v="64"/>
    <x v="16"/>
    <x v="57"/>
    <x v="10"/>
    <n v="0"/>
  </r>
  <r>
    <x v="0"/>
    <x v="6"/>
    <x v="64"/>
    <x v="17"/>
    <x v="57"/>
    <x v="10"/>
    <n v="0"/>
  </r>
  <r>
    <x v="0"/>
    <x v="6"/>
    <x v="64"/>
    <x v="18"/>
    <x v="57"/>
    <x v="10"/>
    <n v="0"/>
  </r>
  <r>
    <x v="0"/>
    <x v="6"/>
    <x v="64"/>
    <x v="19"/>
    <x v="57"/>
    <x v="10"/>
    <n v="0"/>
  </r>
  <r>
    <x v="0"/>
    <x v="6"/>
    <x v="64"/>
    <x v="20"/>
    <x v="57"/>
    <x v="10"/>
    <n v="0"/>
  </r>
  <r>
    <x v="0"/>
    <x v="6"/>
    <x v="64"/>
    <x v="21"/>
    <x v="57"/>
    <x v="10"/>
    <n v="0"/>
  </r>
  <r>
    <x v="0"/>
    <x v="6"/>
    <x v="64"/>
    <x v="22"/>
    <x v="57"/>
    <x v="10"/>
    <n v="0"/>
  </r>
  <r>
    <x v="0"/>
    <x v="6"/>
    <x v="64"/>
    <x v="23"/>
    <x v="57"/>
    <x v="10"/>
    <n v="0"/>
  </r>
  <r>
    <x v="0"/>
    <x v="6"/>
    <x v="64"/>
    <x v="24"/>
    <x v="57"/>
    <x v="10"/>
    <n v="0"/>
  </r>
  <r>
    <x v="0"/>
    <x v="6"/>
    <x v="64"/>
    <x v="25"/>
    <x v="57"/>
    <x v="10"/>
    <n v="0"/>
  </r>
  <r>
    <x v="0"/>
    <x v="6"/>
    <x v="64"/>
    <x v="26"/>
    <x v="57"/>
    <x v="10"/>
    <n v="0"/>
  </r>
  <r>
    <x v="0"/>
    <x v="6"/>
    <x v="64"/>
    <x v="27"/>
    <x v="57"/>
    <x v="10"/>
    <n v="0"/>
  </r>
  <r>
    <x v="0"/>
    <x v="6"/>
    <x v="64"/>
    <x v="28"/>
    <x v="57"/>
    <x v="10"/>
    <n v="0"/>
  </r>
  <r>
    <x v="0"/>
    <x v="6"/>
    <x v="64"/>
    <x v="29"/>
    <x v="57"/>
    <x v="10"/>
    <n v="0"/>
  </r>
  <r>
    <x v="0"/>
    <x v="6"/>
    <x v="64"/>
    <x v="30"/>
    <x v="57"/>
    <x v="10"/>
    <n v="0"/>
  </r>
  <r>
    <x v="0"/>
    <x v="6"/>
    <x v="64"/>
    <x v="31"/>
    <x v="57"/>
    <x v="10"/>
    <n v="0"/>
  </r>
  <r>
    <x v="0"/>
    <x v="6"/>
    <x v="64"/>
    <x v="32"/>
    <x v="57"/>
    <x v="10"/>
    <n v="0"/>
  </r>
  <r>
    <x v="0"/>
    <x v="6"/>
    <x v="64"/>
    <x v="33"/>
    <x v="57"/>
    <x v="10"/>
    <n v="0"/>
  </r>
  <r>
    <x v="0"/>
    <x v="6"/>
    <x v="64"/>
    <x v="34"/>
    <x v="57"/>
    <x v="10"/>
    <n v="0"/>
  </r>
  <r>
    <x v="0"/>
    <x v="6"/>
    <x v="64"/>
    <x v="35"/>
    <x v="57"/>
    <x v="10"/>
    <n v="0"/>
  </r>
  <r>
    <x v="0"/>
    <x v="6"/>
    <x v="64"/>
    <x v="36"/>
    <x v="57"/>
    <x v="10"/>
    <n v="0"/>
  </r>
  <r>
    <x v="0"/>
    <x v="6"/>
    <x v="64"/>
    <x v="37"/>
    <x v="57"/>
    <x v="10"/>
    <n v="0"/>
  </r>
  <r>
    <x v="0"/>
    <x v="6"/>
    <x v="64"/>
    <x v="38"/>
    <x v="57"/>
    <x v="10"/>
    <n v="0"/>
  </r>
  <r>
    <x v="0"/>
    <x v="6"/>
    <x v="64"/>
    <x v="39"/>
    <x v="57"/>
    <x v="10"/>
    <n v="0"/>
  </r>
  <r>
    <x v="0"/>
    <x v="6"/>
    <x v="64"/>
    <x v="40"/>
    <x v="57"/>
    <x v="10"/>
    <n v="0"/>
  </r>
  <r>
    <x v="0"/>
    <x v="6"/>
    <x v="64"/>
    <x v="41"/>
    <x v="57"/>
    <x v="10"/>
    <n v="0"/>
  </r>
  <r>
    <x v="0"/>
    <x v="6"/>
    <x v="65"/>
    <x v="48"/>
    <x v="58"/>
    <x v="11"/>
    <n v="1674.0514030229999"/>
  </r>
  <r>
    <x v="0"/>
    <x v="6"/>
    <x v="65"/>
    <x v="49"/>
    <x v="58"/>
    <x v="11"/>
    <n v="1617.021381888"/>
  </r>
  <r>
    <x v="0"/>
    <x v="6"/>
    <x v="66"/>
    <x v="48"/>
    <x v="58"/>
    <x v="12"/>
    <n v="6.4554574000000003E-2"/>
  </r>
  <r>
    <x v="0"/>
    <x v="6"/>
    <x v="66"/>
    <x v="49"/>
    <x v="58"/>
    <x v="12"/>
    <n v="6.2355388999999997E-2"/>
  </r>
  <r>
    <x v="0"/>
    <x v="7"/>
    <x v="0"/>
    <x v="0"/>
    <x v="0"/>
    <x v="0"/>
    <n v="644.12479022100001"/>
  </r>
  <r>
    <x v="0"/>
    <x v="7"/>
    <x v="1"/>
    <x v="0"/>
    <x v="0"/>
    <x v="1"/>
    <n v="0.10376680200000001"/>
  </r>
  <r>
    <x v="0"/>
    <x v="7"/>
    <x v="2"/>
    <x v="0"/>
    <x v="0"/>
    <x v="1"/>
    <n v="246.11294722900001"/>
  </r>
  <r>
    <x v="0"/>
    <x v="7"/>
    <x v="3"/>
    <x v="0"/>
    <x v="0"/>
    <x v="1"/>
    <n v="0.126540018"/>
  </r>
  <r>
    <x v="0"/>
    <x v="7"/>
    <x v="0"/>
    <x v="1"/>
    <x v="0"/>
    <x v="0"/>
    <n v="198.80233997799999"/>
  </r>
  <r>
    <x v="0"/>
    <x v="7"/>
    <x v="1"/>
    <x v="1"/>
    <x v="0"/>
    <x v="1"/>
    <n v="5.8015782000000002E-2"/>
  </r>
  <r>
    <x v="0"/>
    <x v="7"/>
    <x v="2"/>
    <x v="1"/>
    <x v="0"/>
    <x v="1"/>
    <n v="121.158052552"/>
  </r>
  <r>
    <x v="0"/>
    <x v="7"/>
    <x v="3"/>
    <x v="1"/>
    <x v="0"/>
    <x v="1"/>
    <n v="7.4032129000000002E-2"/>
  </r>
  <r>
    <x v="0"/>
    <x v="7"/>
    <x v="0"/>
    <x v="2"/>
    <x v="0"/>
    <x v="0"/>
    <n v="221.41235021899999"/>
  </r>
  <r>
    <x v="0"/>
    <x v="7"/>
    <x v="1"/>
    <x v="2"/>
    <x v="0"/>
    <x v="1"/>
    <n v="3.6747066000000002E-2"/>
  </r>
  <r>
    <x v="0"/>
    <x v="7"/>
    <x v="2"/>
    <x v="2"/>
    <x v="0"/>
    <x v="1"/>
    <n v="126.908576697"/>
  </r>
  <r>
    <x v="0"/>
    <x v="7"/>
    <x v="3"/>
    <x v="2"/>
    <x v="0"/>
    <x v="1"/>
    <n v="2.5978945E-2"/>
  </r>
  <r>
    <x v="0"/>
    <x v="7"/>
    <x v="0"/>
    <x v="3"/>
    <x v="0"/>
    <x v="0"/>
    <n v="110.02465931499999"/>
  </r>
  <r>
    <x v="0"/>
    <x v="7"/>
    <x v="1"/>
    <x v="3"/>
    <x v="0"/>
    <x v="1"/>
    <n v="4.7569821999999998E-2"/>
  </r>
  <r>
    <x v="0"/>
    <x v="7"/>
    <x v="2"/>
    <x v="3"/>
    <x v="0"/>
    <x v="1"/>
    <n v="74.937128172000001"/>
  </r>
  <r>
    <x v="0"/>
    <x v="7"/>
    <x v="3"/>
    <x v="3"/>
    <x v="0"/>
    <x v="1"/>
    <n v="5.5783406000000001E-2"/>
  </r>
  <r>
    <x v="0"/>
    <x v="7"/>
    <x v="0"/>
    <x v="4"/>
    <x v="0"/>
    <x v="0"/>
    <n v="53.750728946000002"/>
  </r>
  <r>
    <x v="0"/>
    <x v="7"/>
    <x v="1"/>
    <x v="4"/>
    <x v="0"/>
    <x v="1"/>
    <n v="5.1686084E-2"/>
  </r>
  <r>
    <x v="0"/>
    <x v="7"/>
    <x v="2"/>
    <x v="4"/>
    <x v="0"/>
    <x v="1"/>
    <n v="36.166480655000001"/>
  </r>
  <r>
    <x v="0"/>
    <x v="7"/>
    <x v="3"/>
    <x v="4"/>
    <x v="0"/>
    <x v="1"/>
    <n v="6.5364350000000002E-2"/>
  </r>
  <r>
    <x v="0"/>
    <x v="7"/>
    <x v="0"/>
    <x v="5"/>
    <x v="0"/>
    <x v="0"/>
    <n v="561.35513553400006"/>
  </r>
  <r>
    <x v="0"/>
    <x v="7"/>
    <x v="1"/>
    <x v="5"/>
    <x v="0"/>
    <x v="1"/>
    <n v="7.0353756000000003E-2"/>
  </r>
  <r>
    <x v="0"/>
    <x v="7"/>
    <x v="2"/>
    <x v="5"/>
    <x v="0"/>
    <x v="1"/>
    <n v="469.05483247400002"/>
  </r>
  <r>
    <x v="0"/>
    <x v="7"/>
    <x v="3"/>
    <x v="5"/>
    <x v="0"/>
    <x v="1"/>
    <n v="4.4876279999999998E-2"/>
  </r>
  <r>
    <x v="0"/>
    <x v="7"/>
    <x v="0"/>
    <x v="6"/>
    <x v="0"/>
    <x v="0"/>
    <n v="170.33403439099999"/>
  </r>
  <r>
    <x v="0"/>
    <x v="7"/>
    <x v="1"/>
    <x v="6"/>
    <x v="0"/>
    <x v="1"/>
    <n v="6.4198149999999995E-2"/>
  </r>
  <r>
    <x v="0"/>
    <x v="7"/>
    <x v="2"/>
    <x v="6"/>
    <x v="0"/>
    <x v="1"/>
    <n v="142.57197695299999"/>
  </r>
  <r>
    <x v="0"/>
    <x v="7"/>
    <x v="3"/>
    <x v="6"/>
    <x v="0"/>
    <x v="1"/>
    <n v="6.0612243000000003E-2"/>
  </r>
  <r>
    <x v="0"/>
    <x v="7"/>
    <x v="0"/>
    <x v="7"/>
    <x v="0"/>
    <x v="0"/>
    <n v="117.27157772"/>
  </r>
  <r>
    <x v="0"/>
    <x v="7"/>
    <x v="1"/>
    <x v="7"/>
    <x v="0"/>
    <x v="1"/>
    <n v="6.1990737999999997E-2"/>
  </r>
  <r>
    <x v="0"/>
    <x v="7"/>
    <x v="2"/>
    <x v="7"/>
    <x v="0"/>
    <x v="1"/>
    <n v="95.387009035000005"/>
  </r>
  <r>
    <x v="0"/>
    <x v="7"/>
    <x v="3"/>
    <x v="7"/>
    <x v="0"/>
    <x v="1"/>
    <n v="7.1562754000000006E-2"/>
  </r>
  <r>
    <x v="0"/>
    <x v="7"/>
    <x v="0"/>
    <x v="8"/>
    <x v="0"/>
    <x v="0"/>
    <n v="83.384384754999999"/>
  </r>
  <r>
    <x v="0"/>
    <x v="7"/>
    <x v="1"/>
    <x v="8"/>
    <x v="0"/>
    <x v="1"/>
    <n v="5.8802553E-2"/>
  </r>
  <r>
    <x v="0"/>
    <x v="7"/>
    <x v="2"/>
    <x v="8"/>
    <x v="0"/>
    <x v="1"/>
    <n v="68.086608710999997"/>
  </r>
  <r>
    <x v="0"/>
    <x v="7"/>
    <x v="3"/>
    <x v="8"/>
    <x v="0"/>
    <x v="1"/>
    <n v="5.8067189999999998E-2"/>
  </r>
  <r>
    <x v="0"/>
    <x v="7"/>
    <x v="0"/>
    <x v="9"/>
    <x v="0"/>
    <x v="0"/>
    <n v="202.838456605"/>
  </r>
  <r>
    <x v="0"/>
    <x v="7"/>
    <x v="1"/>
    <x v="9"/>
    <x v="0"/>
    <x v="1"/>
    <n v="5.2600537000000003E-2"/>
  </r>
  <r>
    <x v="0"/>
    <x v="7"/>
    <x v="2"/>
    <x v="9"/>
    <x v="0"/>
    <x v="1"/>
    <n v="162.42475440300001"/>
  </r>
  <r>
    <x v="0"/>
    <x v="7"/>
    <x v="3"/>
    <x v="9"/>
    <x v="0"/>
    <x v="1"/>
    <n v="6.2459999000000002E-2"/>
  </r>
  <r>
    <x v="0"/>
    <x v="7"/>
    <x v="0"/>
    <x v="10"/>
    <x v="0"/>
    <x v="0"/>
    <n v="312.20842508200002"/>
  </r>
  <r>
    <x v="0"/>
    <x v="7"/>
    <x v="1"/>
    <x v="10"/>
    <x v="0"/>
    <x v="1"/>
    <n v="3.7225612999999998E-2"/>
  </r>
  <r>
    <x v="0"/>
    <x v="7"/>
    <x v="2"/>
    <x v="10"/>
    <x v="0"/>
    <x v="1"/>
    <n v="285.99583895900003"/>
  </r>
  <r>
    <x v="0"/>
    <x v="7"/>
    <x v="3"/>
    <x v="10"/>
    <x v="0"/>
    <x v="1"/>
    <n v="4.4729432E-2"/>
  </r>
  <r>
    <x v="0"/>
    <x v="7"/>
    <x v="0"/>
    <x v="11"/>
    <x v="0"/>
    <x v="0"/>
    <n v="807.67183468200005"/>
  </r>
  <r>
    <x v="0"/>
    <x v="7"/>
    <x v="1"/>
    <x v="11"/>
    <x v="0"/>
    <x v="1"/>
    <n v="4.6414377E-2"/>
  </r>
  <r>
    <x v="0"/>
    <x v="7"/>
    <x v="2"/>
    <x v="11"/>
    <x v="0"/>
    <x v="1"/>
    <n v="678.65872870099997"/>
  </r>
  <r>
    <x v="0"/>
    <x v="7"/>
    <x v="3"/>
    <x v="11"/>
    <x v="0"/>
    <x v="1"/>
    <n v="4.0708767999999999E-2"/>
  </r>
  <r>
    <x v="0"/>
    <x v="7"/>
    <x v="0"/>
    <x v="12"/>
    <x v="0"/>
    <x v="0"/>
    <n v="231.90268789000001"/>
  </r>
  <r>
    <x v="0"/>
    <x v="7"/>
    <x v="1"/>
    <x v="12"/>
    <x v="0"/>
    <x v="1"/>
    <n v="4.7294386000000001E-2"/>
  </r>
  <r>
    <x v="0"/>
    <x v="7"/>
    <x v="2"/>
    <x v="12"/>
    <x v="0"/>
    <x v="1"/>
    <n v="185.786650678"/>
  </r>
  <r>
    <x v="0"/>
    <x v="7"/>
    <x v="3"/>
    <x v="12"/>
    <x v="0"/>
    <x v="1"/>
    <n v="5.3333212999999997E-2"/>
  </r>
  <r>
    <x v="0"/>
    <x v="7"/>
    <x v="0"/>
    <x v="13"/>
    <x v="0"/>
    <x v="0"/>
    <n v="633.57890455400002"/>
  </r>
  <r>
    <x v="0"/>
    <x v="7"/>
    <x v="1"/>
    <x v="13"/>
    <x v="0"/>
    <x v="1"/>
    <n v="3.8430508000000002E-2"/>
  </r>
  <r>
    <x v="0"/>
    <x v="7"/>
    <x v="2"/>
    <x v="13"/>
    <x v="0"/>
    <x v="1"/>
    <n v="537.69881286500004"/>
  </r>
  <r>
    <x v="0"/>
    <x v="7"/>
    <x v="3"/>
    <x v="13"/>
    <x v="0"/>
    <x v="1"/>
    <n v="3.5224366E-2"/>
  </r>
  <r>
    <x v="0"/>
    <x v="7"/>
    <x v="0"/>
    <x v="14"/>
    <x v="0"/>
    <x v="0"/>
    <n v="173.402544288"/>
  </r>
  <r>
    <x v="0"/>
    <x v="7"/>
    <x v="1"/>
    <x v="14"/>
    <x v="0"/>
    <x v="1"/>
    <n v="4.4082761999999998E-2"/>
  </r>
  <r>
    <x v="0"/>
    <x v="7"/>
    <x v="2"/>
    <x v="14"/>
    <x v="0"/>
    <x v="1"/>
    <n v="144.725573199"/>
  </r>
  <r>
    <x v="0"/>
    <x v="7"/>
    <x v="3"/>
    <x v="14"/>
    <x v="0"/>
    <x v="1"/>
    <n v="5.6823459999999999E-2"/>
  </r>
  <r>
    <x v="0"/>
    <x v="7"/>
    <x v="0"/>
    <x v="15"/>
    <x v="0"/>
    <x v="0"/>
    <n v="189.28156831000001"/>
  </r>
  <r>
    <x v="0"/>
    <x v="7"/>
    <x v="1"/>
    <x v="15"/>
    <x v="0"/>
    <x v="1"/>
    <n v="4.7136841999999998E-2"/>
  </r>
  <r>
    <x v="0"/>
    <x v="7"/>
    <x v="2"/>
    <x v="15"/>
    <x v="0"/>
    <x v="1"/>
    <n v="156.38220417900001"/>
  </r>
  <r>
    <x v="0"/>
    <x v="7"/>
    <x v="3"/>
    <x v="15"/>
    <x v="0"/>
    <x v="1"/>
    <n v="6.1927609000000002E-2"/>
  </r>
  <r>
    <x v="0"/>
    <x v="7"/>
    <x v="0"/>
    <x v="16"/>
    <x v="0"/>
    <x v="0"/>
    <n v="121.660093979"/>
  </r>
  <r>
    <x v="0"/>
    <x v="7"/>
    <x v="1"/>
    <x v="16"/>
    <x v="0"/>
    <x v="1"/>
    <n v="4.7770653000000003E-2"/>
  </r>
  <r>
    <x v="0"/>
    <x v="7"/>
    <x v="2"/>
    <x v="16"/>
    <x v="0"/>
    <x v="1"/>
    <n v="99.419533653000002"/>
  </r>
  <r>
    <x v="0"/>
    <x v="7"/>
    <x v="3"/>
    <x v="16"/>
    <x v="0"/>
    <x v="1"/>
    <n v="6.1136472999999997E-2"/>
  </r>
  <r>
    <x v="0"/>
    <x v="7"/>
    <x v="0"/>
    <x v="17"/>
    <x v="0"/>
    <x v="0"/>
    <n v="284.42027598800001"/>
  </r>
  <r>
    <x v="0"/>
    <x v="7"/>
    <x v="1"/>
    <x v="17"/>
    <x v="0"/>
    <x v="1"/>
    <n v="4.8248147999999998E-2"/>
  </r>
  <r>
    <x v="0"/>
    <x v="7"/>
    <x v="2"/>
    <x v="17"/>
    <x v="0"/>
    <x v="1"/>
    <n v="237.86704945400001"/>
  </r>
  <r>
    <x v="0"/>
    <x v="7"/>
    <x v="3"/>
    <x v="17"/>
    <x v="0"/>
    <x v="1"/>
    <n v="5.9231640000000002E-2"/>
  </r>
  <r>
    <x v="0"/>
    <x v="7"/>
    <x v="0"/>
    <x v="18"/>
    <x v="0"/>
    <x v="0"/>
    <n v="244.09349315700001"/>
  </r>
  <r>
    <x v="0"/>
    <x v="7"/>
    <x v="1"/>
    <x v="18"/>
    <x v="0"/>
    <x v="1"/>
    <n v="4.3793795000000003E-2"/>
  </r>
  <r>
    <x v="0"/>
    <x v="7"/>
    <x v="2"/>
    <x v="18"/>
    <x v="0"/>
    <x v="1"/>
    <n v="209.42727911700001"/>
  </r>
  <r>
    <x v="0"/>
    <x v="7"/>
    <x v="3"/>
    <x v="18"/>
    <x v="0"/>
    <x v="1"/>
    <n v="4.8986215E-2"/>
  </r>
  <r>
    <x v="0"/>
    <x v="7"/>
    <x v="0"/>
    <x v="19"/>
    <x v="0"/>
    <x v="0"/>
    <n v="281.46607458400001"/>
  </r>
  <r>
    <x v="0"/>
    <x v="7"/>
    <x v="1"/>
    <x v="19"/>
    <x v="0"/>
    <x v="1"/>
    <n v="4.7650594999999997E-2"/>
  </r>
  <r>
    <x v="0"/>
    <x v="7"/>
    <x v="2"/>
    <x v="19"/>
    <x v="0"/>
    <x v="1"/>
    <n v="238.58096547100001"/>
  </r>
  <r>
    <x v="0"/>
    <x v="7"/>
    <x v="3"/>
    <x v="19"/>
    <x v="0"/>
    <x v="1"/>
    <n v="6.6880840999999996E-2"/>
  </r>
  <r>
    <x v="0"/>
    <x v="7"/>
    <x v="0"/>
    <x v="20"/>
    <x v="0"/>
    <x v="0"/>
    <n v="35.247076933000002"/>
  </r>
  <r>
    <x v="0"/>
    <x v="7"/>
    <x v="1"/>
    <x v="20"/>
    <x v="0"/>
    <x v="1"/>
    <n v="4.6572600999999998E-2"/>
  </r>
  <r>
    <x v="0"/>
    <x v="7"/>
    <x v="2"/>
    <x v="20"/>
    <x v="0"/>
    <x v="1"/>
    <n v="28.259263352000001"/>
  </r>
  <r>
    <x v="0"/>
    <x v="7"/>
    <x v="3"/>
    <x v="20"/>
    <x v="0"/>
    <x v="1"/>
    <n v="5.5536810999999998E-2"/>
  </r>
  <r>
    <x v="0"/>
    <x v="7"/>
    <x v="0"/>
    <x v="21"/>
    <x v="0"/>
    <x v="0"/>
    <n v="15.271648021000001"/>
  </r>
  <r>
    <x v="0"/>
    <x v="7"/>
    <x v="1"/>
    <x v="21"/>
    <x v="0"/>
    <x v="1"/>
    <n v="5.3717794999999999E-2"/>
  </r>
  <r>
    <x v="0"/>
    <x v="7"/>
    <x v="2"/>
    <x v="21"/>
    <x v="0"/>
    <x v="1"/>
    <n v="12.507854438000001"/>
  </r>
  <r>
    <x v="0"/>
    <x v="7"/>
    <x v="3"/>
    <x v="21"/>
    <x v="0"/>
    <x v="1"/>
    <n v="6.3962748999999999E-2"/>
  </r>
  <r>
    <x v="0"/>
    <x v="7"/>
    <x v="0"/>
    <x v="22"/>
    <x v="0"/>
    <x v="0"/>
    <n v="69.562320356000001"/>
  </r>
  <r>
    <x v="0"/>
    <x v="7"/>
    <x v="1"/>
    <x v="22"/>
    <x v="0"/>
    <x v="1"/>
    <n v="1.1138151000000001E-2"/>
  </r>
  <r>
    <x v="0"/>
    <x v="7"/>
    <x v="2"/>
    <x v="22"/>
    <x v="0"/>
    <x v="1"/>
    <n v="16.717019750999999"/>
  </r>
  <r>
    <x v="0"/>
    <x v="7"/>
    <x v="3"/>
    <x v="22"/>
    <x v="0"/>
    <x v="1"/>
    <n v="2.4557099999999998E-3"/>
  </r>
  <r>
    <x v="0"/>
    <x v="7"/>
    <x v="0"/>
    <x v="23"/>
    <x v="0"/>
    <x v="0"/>
    <n v="6.7396986500000002"/>
  </r>
  <r>
    <x v="0"/>
    <x v="7"/>
    <x v="1"/>
    <x v="23"/>
    <x v="0"/>
    <x v="1"/>
    <n v="5.4079865999999997E-2"/>
  </r>
  <r>
    <x v="0"/>
    <x v="7"/>
    <x v="2"/>
    <x v="23"/>
    <x v="0"/>
    <x v="1"/>
    <n v="5.5579187540000001"/>
  </r>
  <r>
    <x v="0"/>
    <x v="7"/>
    <x v="3"/>
    <x v="23"/>
    <x v="0"/>
    <x v="1"/>
    <n v="9.9099455000000003E-2"/>
  </r>
  <r>
    <x v="0"/>
    <x v="7"/>
    <x v="0"/>
    <x v="24"/>
    <x v="0"/>
    <x v="0"/>
    <n v="358.28106887500002"/>
  </r>
  <r>
    <x v="0"/>
    <x v="7"/>
    <x v="1"/>
    <x v="24"/>
    <x v="0"/>
    <x v="1"/>
    <n v="4.1654701000000002E-2"/>
  </r>
  <r>
    <x v="0"/>
    <x v="7"/>
    <x v="2"/>
    <x v="24"/>
    <x v="0"/>
    <x v="1"/>
    <n v="280.99096854300001"/>
  </r>
  <r>
    <x v="0"/>
    <x v="7"/>
    <x v="3"/>
    <x v="24"/>
    <x v="0"/>
    <x v="1"/>
    <n v="3.1712943E-2"/>
  </r>
  <r>
    <x v="0"/>
    <x v="7"/>
    <x v="0"/>
    <x v="25"/>
    <x v="0"/>
    <x v="0"/>
    <n v="20.562516969000001"/>
  </r>
  <r>
    <x v="0"/>
    <x v="7"/>
    <x v="1"/>
    <x v="25"/>
    <x v="0"/>
    <x v="1"/>
    <n v="3.5470595000000001E-2"/>
  </r>
  <r>
    <x v="0"/>
    <x v="7"/>
    <x v="2"/>
    <x v="25"/>
    <x v="0"/>
    <x v="1"/>
    <n v="16.568450154000001"/>
  </r>
  <r>
    <x v="0"/>
    <x v="7"/>
    <x v="3"/>
    <x v="25"/>
    <x v="0"/>
    <x v="1"/>
    <n v="2.8558868000000001E-2"/>
  </r>
  <r>
    <x v="0"/>
    <x v="7"/>
    <x v="0"/>
    <x v="26"/>
    <x v="0"/>
    <x v="0"/>
    <n v="8.8684647860000005"/>
  </r>
  <r>
    <x v="0"/>
    <x v="7"/>
    <x v="1"/>
    <x v="26"/>
    <x v="0"/>
    <x v="1"/>
    <n v="5.2858510999999997E-2"/>
  </r>
  <r>
    <x v="0"/>
    <x v="7"/>
    <x v="2"/>
    <x v="26"/>
    <x v="0"/>
    <x v="1"/>
    <n v="5.2506161990000004"/>
  </r>
  <r>
    <x v="0"/>
    <x v="7"/>
    <x v="3"/>
    <x v="26"/>
    <x v="0"/>
    <x v="1"/>
    <n v="6.1470226000000003E-2"/>
  </r>
  <r>
    <x v="0"/>
    <x v="7"/>
    <x v="0"/>
    <x v="27"/>
    <x v="0"/>
    <x v="0"/>
    <n v="489.46456564900001"/>
  </r>
  <r>
    <x v="0"/>
    <x v="7"/>
    <x v="1"/>
    <x v="27"/>
    <x v="0"/>
    <x v="1"/>
    <n v="5.4424452999999998E-2"/>
  </r>
  <r>
    <x v="0"/>
    <x v="7"/>
    <x v="2"/>
    <x v="27"/>
    <x v="0"/>
    <x v="1"/>
    <n v="377.585482173"/>
  </r>
  <r>
    <x v="0"/>
    <x v="7"/>
    <x v="3"/>
    <x v="27"/>
    <x v="0"/>
    <x v="1"/>
    <n v="8.4339331000000003E-2"/>
  </r>
  <r>
    <x v="0"/>
    <x v="7"/>
    <x v="0"/>
    <x v="28"/>
    <x v="0"/>
    <x v="0"/>
    <n v="530.08327334600006"/>
  </r>
  <r>
    <x v="0"/>
    <x v="7"/>
    <x v="1"/>
    <x v="28"/>
    <x v="0"/>
    <x v="1"/>
    <n v="4.4118615E-2"/>
  </r>
  <r>
    <x v="0"/>
    <x v="7"/>
    <x v="2"/>
    <x v="28"/>
    <x v="0"/>
    <x v="1"/>
    <n v="283.80670692799998"/>
  </r>
  <r>
    <x v="0"/>
    <x v="7"/>
    <x v="3"/>
    <x v="28"/>
    <x v="0"/>
    <x v="1"/>
    <n v="4.4622817000000002E-2"/>
  </r>
  <r>
    <x v="0"/>
    <x v="7"/>
    <x v="0"/>
    <x v="29"/>
    <x v="0"/>
    <x v="0"/>
    <n v="448.786414423"/>
  </r>
  <r>
    <x v="0"/>
    <x v="7"/>
    <x v="1"/>
    <x v="29"/>
    <x v="0"/>
    <x v="1"/>
    <n v="4.8018133999999997E-2"/>
  </r>
  <r>
    <x v="0"/>
    <x v="7"/>
    <x v="2"/>
    <x v="29"/>
    <x v="0"/>
    <x v="1"/>
    <n v="288.04806702799999"/>
  </r>
  <r>
    <x v="0"/>
    <x v="7"/>
    <x v="3"/>
    <x v="29"/>
    <x v="0"/>
    <x v="1"/>
    <n v="5.2372217999999998E-2"/>
  </r>
  <r>
    <x v="0"/>
    <x v="7"/>
    <x v="0"/>
    <x v="30"/>
    <x v="0"/>
    <x v="0"/>
    <n v="105.82910786399999"/>
  </r>
  <r>
    <x v="0"/>
    <x v="7"/>
    <x v="1"/>
    <x v="30"/>
    <x v="0"/>
    <x v="1"/>
    <n v="7.4888758999999999E-2"/>
  </r>
  <r>
    <x v="0"/>
    <x v="7"/>
    <x v="2"/>
    <x v="30"/>
    <x v="0"/>
    <x v="1"/>
    <n v="66.471062584999999"/>
  </r>
  <r>
    <x v="0"/>
    <x v="7"/>
    <x v="3"/>
    <x v="30"/>
    <x v="0"/>
    <x v="1"/>
    <n v="8.8630218999999996E-2"/>
  </r>
  <r>
    <x v="0"/>
    <x v="7"/>
    <x v="0"/>
    <x v="31"/>
    <x v="0"/>
    <x v="0"/>
    <n v="173.906594875"/>
  </r>
  <r>
    <x v="0"/>
    <x v="7"/>
    <x v="1"/>
    <x v="31"/>
    <x v="0"/>
    <x v="1"/>
    <n v="3.7379179999999998E-2"/>
  </r>
  <r>
    <x v="0"/>
    <x v="7"/>
    <x v="2"/>
    <x v="31"/>
    <x v="0"/>
    <x v="1"/>
    <n v="95.623265606000004"/>
  </r>
  <r>
    <x v="0"/>
    <x v="7"/>
    <x v="3"/>
    <x v="31"/>
    <x v="0"/>
    <x v="1"/>
    <n v="2.9435709000000001E-2"/>
  </r>
  <r>
    <x v="0"/>
    <x v="7"/>
    <x v="0"/>
    <x v="32"/>
    <x v="0"/>
    <x v="0"/>
    <n v="550.20524879499999"/>
  </r>
  <r>
    <x v="0"/>
    <x v="7"/>
    <x v="1"/>
    <x v="32"/>
    <x v="0"/>
    <x v="1"/>
    <n v="3.9126685000000001E-2"/>
  </r>
  <r>
    <x v="0"/>
    <x v="7"/>
    <x v="2"/>
    <x v="32"/>
    <x v="0"/>
    <x v="1"/>
    <n v="258.79309036299998"/>
  </r>
  <r>
    <x v="0"/>
    <x v="7"/>
    <x v="3"/>
    <x v="32"/>
    <x v="0"/>
    <x v="1"/>
    <n v="3.3076500000000002E-2"/>
  </r>
  <r>
    <x v="0"/>
    <x v="7"/>
    <x v="0"/>
    <x v="33"/>
    <x v="0"/>
    <x v="0"/>
    <n v="557.70331710000005"/>
  </r>
  <r>
    <x v="0"/>
    <x v="7"/>
    <x v="1"/>
    <x v="33"/>
    <x v="0"/>
    <x v="1"/>
    <n v="2.3019656999999999E-2"/>
  </r>
  <r>
    <x v="0"/>
    <x v="7"/>
    <x v="2"/>
    <x v="33"/>
    <x v="0"/>
    <x v="1"/>
    <n v="214.87571530400001"/>
  </r>
  <r>
    <x v="0"/>
    <x v="7"/>
    <x v="3"/>
    <x v="33"/>
    <x v="0"/>
    <x v="1"/>
    <n v="1.0706096999999999E-2"/>
  </r>
  <r>
    <x v="0"/>
    <x v="7"/>
    <x v="0"/>
    <x v="34"/>
    <x v="0"/>
    <x v="0"/>
    <n v="267.600286724"/>
  </r>
  <r>
    <x v="0"/>
    <x v="7"/>
    <x v="1"/>
    <x v="34"/>
    <x v="0"/>
    <x v="1"/>
    <n v="5.1819572000000001E-2"/>
  </r>
  <r>
    <x v="0"/>
    <x v="7"/>
    <x v="2"/>
    <x v="34"/>
    <x v="0"/>
    <x v="1"/>
    <n v="189.15182224"/>
  </r>
  <r>
    <x v="0"/>
    <x v="7"/>
    <x v="3"/>
    <x v="34"/>
    <x v="0"/>
    <x v="1"/>
    <n v="5.9786935999999999E-2"/>
  </r>
  <r>
    <x v="0"/>
    <x v="7"/>
    <x v="0"/>
    <x v="35"/>
    <x v="0"/>
    <x v="0"/>
    <n v="198.294708937"/>
  </r>
  <r>
    <x v="0"/>
    <x v="7"/>
    <x v="1"/>
    <x v="35"/>
    <x v="0"/>
    <x v="1"/>
    <n v="5.4117274999999999E-2"/>
  </r>
  <r>
    <x v="0"/>
    <x v="7"/>
    <x v="2"/>
    <x v="35"/>
    <x v="0"/>
    <x v="1"/>
    <n v="130.1875388"/>
  </r>
  <r>
    <x v="0"/>
    <x v="7"/>
    <x v="3"/>
    <x v="35"/>
    <x v="0"/>
    <x v="1"/>
    <n v="6.4448161000000004E-2"/>
  </r>
  <r>
    <x v="0"/>
    <x v="7"/>
    <x v="0"/>
    <x v="36"/>
    <x v="0"/>
    <x v="0"/>
    <n v="60.351085275000003"/>
  </r>
  <r>
    <x v="0"/>
    <x v="7"/>
    <x v="1"/>
    <x v="36"/>
    <x v="0"/>
    <x v="1"/>
    <n v="5.9384113000000002E-2"/>
  </r>
  <r>
    <x v="0"/>
    <x v="7"/>
    <x v="2"/>
    <x v="36"/>
    <x v="0"/>
    <x v="1"/>
    <n v="35.65080743"/>
  </r>
  <r>
    <x v="0"/>
    <x v="7"/>
    <x v="3"/>
    <x v="36"/>
    <x v="0"/>
    <x v="1"/>
    <n v="6.6972540999999997E-2"/>
  </r>
  <r>
    <x v="0"/>
    <x v="7"/>
    <x v="0"/>
    <x v="37"/>
    <x v="0"/>
    <x v="0"/>
    <n v="75.975626625999993"/>
  </r>
  <r>
    <x v="0"/>
    <x v="7"/>
    <x v="1"/>
    <x v="37"/>
    <x v="0"/>
    <x v="1"/>
    <n v="6.6964539000000003E-2"/>
  </r>
  <r>
    <x v="0"/>
    <x v="7"/>
    <x v="2"/>
    <x v="37"/>
    <x v="0"/>
    <x v="1"/>
    <n v="39.929755020000002"/>
  </r>
  <r>
    <x v="0"/>
    <x v="7"/>
    <x v="3"/>
    <x v="37"/>
    <x v="0"/>
    <x v="1"/>
    <n v="8.9134290000000005E-2"/>
  </r>
  <r>
    <x v="0"/>
    <x v="7"/>
    <x v="0"/>
    <x v="38"/>
    <x v="0"/>
    <x v="0"/>
    <n v="195.280000368"/>
  </r>
  <r>
    <x v="0"/>
    <x v="7"/>
    <x v="1"/>
    <x v="38"/>
    <x v="0"/>
    <x v="1"/>
    <n v="9.4509041000000002E-2"/>
  </r>
  <r>
    <x v="0"/>
    <x v="7"/>
    <x v="2"/>
    <x v="38"/>
    <x v="0"/>
    <x v="1"/>
    <n v="52.739095220999999"/>
  </r>
  <r>
    <x v="0"/>
    <x v="7"/>
    <x v="3"/>
    <x v="38"/>
    <x v="0"/>
    <x v="1"/>
    <n v="0.109934789"/>
  </r>
  <r>
    <x v="0"/>
    <x v="7"/>
    <x v="0"/>
    <x v="39"/>
    <x v="0"/>
    <x v="0"/>
    <n v="104.48405223499999"/>
  </r>
  <r>
    <x v="0"/>
    <x v="7"/>
    <x v="1"/>
    <x v="39"/>
    <x v="0"/>
    <x v="1"/>
    <n v="7.2754506999999996E-2"/>
  </r>
  <r>
    <x v="0"/>
    <x v="7"/>
    <x v="2"/>
    <x v="39"/>
    <x v="0"/>
    <x v="1"/>
    <n v="59.799814699000002"/>
  </r>
  <r>
    <x v="0"/>
    <x v="7"/>
    <x v="3"/>
    <x v="39"/>
    <x v="0"/>
    <x v="1"/>
    <n v="0.10676023499999999"/>
  </r>
  <r>
    <x v="0"/>
    <x v="7"/>
    <x v="0"/>
    <x v="40"/>
    <x v="0"/>
    <x v="0"/>
    <n v="44.424858919000002"/>
  </r>
  <r>
    <x v="0"/>
    <x v="7"/>
    <x v="1"/>
    <x v="40"/>
    <x v="0"/>
    <x v="1"/>
    <n v="5.9415139999999998E-2"/>
  </r>
  <r>
    <x v="0"/>
    <x v="7"/>
    <x v="2"/>
    <x v="40"/>
    <x v="0"/>
    <x v="1"/>
    <n v="23.809810783"/>
  </r>
  <r>
    <x v="0"/>
    <x v="7"/>
    <x v="3"/>
    <x v="40"/>
    <x v="0"/>
    <x v="1"/>
    <n v="6.6094920000000001E-2"/>
  </r>
  <r>
    <x v="0"/>
    <x v="7"/>
    <x v="0"/>
    <x v="41"/>
    <x v="0"/>
    <x v="0"/>
    <n v="443.90914107499998"/>
  </r>
  <r>
    <x v="0"/>
    <x v="7"/>
    <x v="1"/>
    <x v="41"/>
    <x v="0"/>
    <x v="1"/>
    <n v="8.7800686000000003E-2"/>
  </r>
  <r>
    <x v="0"/>
    <x v="7"/>
    <x v="2"/>
    <x v="41"/>
    <x v="0"/>
    <x v="1"/>
    <n v="178.638213651"/>
  </r>
  <r>
    <x v="0"/>
    <x v="7"/>
    <x v="3"/>
    <x v="41"/>
    <x v="0"/>
    <x v="1"/>
    <n v="0.11137143200000001"/>
  </r>
  <r>
    <x v="0"/>
    <x v="7"/>
    <x v="4"/>
    <x v="0"/>
    <x v="1"/>
    <x v="0"/>
    <n v="179.30084233299999"/>
  </r>
  <r>
    <x v="0"/>
    <x v="7"/>
    <x v="5"/>
    <x v="0"/>
    <x v="1"/>
    <x v="1"/>
    <n v="7.8245999999999996E-5"/>
  </r>
  <r>
    <x v="0"/>
    <x v="7"/>
    <x v="6"/>
    <x v="0"/>
    <x v="1"/>
    <x v="1"/>
    <n v="0.479618461"/>
  </r>
  <r>
    <x v="0"/>
    <x v="7"/>
    <x v="4"/>
    <x v="1"/>
    <x v="1"/>
    <x v="0"/>
    <n v="262.18038354200002"/>
  </r>
  <r>
    <x v="0"/>
    <x v="7"/>
    <x v="5"/>
    <x v="1"/>
    <x v="1"/>
    <x v="1"/>
    <n v="9.1671999999999999E-5"/>
  </r>
  <r>
    <x v="0"/>
    <x v="7"/>
    <x v="6"/>
    <x v="1"/>
    <x v="1"/>
    <x v="1"/>
    <n v="0.479618461"/>
  </r>
  <r>
    <x v="0"/>
    <x v="7"/>
    <x v="4"/>
    <x v="2"/>
    <x v="1"/>
    <x v="0"/>
    <n v="399.56800673399999"/>
  </r>
  <r>
    <x v="0"/>
    <x v="7"/>
    <x v="5"/>
    <x v="2"/>
    <x v="1"/>
    <x v="1"/>
    <n v="2.13735E-4"/>
  </r>
  <r>
    <x v="0"/>
    <x v="7"/>
    <x v="6"/>
    <x v="2"/>
    <x v="1"/>
    <x v="1"/>
    <n v="0.479618461"/>
  </r>
  <r>
    <x v="0"/>
    <x v="7"/>
    <x v="4"/>
    <x v="3"/>
    <x v="1"/>
    <x v="0"/>
    <n v="153.34072896000001"/>
  </r>
  <r>
    <x v="0"/>
    <x v="7"/>
    <x v="5"/>
    <x v="3"/>
    <x v="1"/>
    <x v="1"/>
    <n v="8.1099000000000004E-5"/>
  </r>
  <r>
    <x v="0"/>
    <x v="7"/>
    <x v="6"/>
    <x v="3"/>
    <x v="1"/>
    <x v="1"/>
    <n v="0.479618461"/>
  </r>
  <r>
    <x v="0"/>
    <x v="7"/>
    <x v="4"/>
    <x v="4"/>
    <x v="1"/>
    <x v="0"/>
    <n v="68.998001344000002"/>
  </r>
  <r>
    <x v="0"/>
    <x v="7"/>
    <x v="5"/>
    <x v="4"/>
    <x v="1"/>
    <x v="1"/>
    <n v="8.0686999999999995E-5"/>
  </r>
  <r>
    <x v="0"/>
    <x v="7"/>
    <x v="6"/>
    <x v="4"/>
    <x v="1"/>
    <x v="1"/>
    <n v="0.479618461"/>
  </r>
  <r>
    <x v="0"/>
    <x v="7"/>
    <x v="4"/>
    <x v="5"/>
    <x v="1"/>
    <x v="0"/>
    <n v="526.45235362699998"/>
  </r>
  <r>
    <x v="0"/>
    <x v="7"/>
    <x v="5"/>
    <x v="5"/>
    <x v="1"/>
    <x v="1"/>
    <n v="4.1072999999999998E-5"/>
  </r>
  <r>
    <x v="0"/>
    <x v="7"/>
    <x v="6"/>
    <x v="5"/>
    <x v="1"/>
    <x v="1"/>
    <n v="0.479618461"/>
  </r>
  <r>
    <x v="0"/>
    <x v="7"/>
    <x v="4"/>
    <x v="6"/>
    <x v="1"/>
    <x v="0"/>
    <n v="151.980181018"/>
  </r>
  <r>
    <x v="0"/>
    <x v="7"/>
    <x v="5"/>
    <x v="6"/>
    <x v="1"/>
    <x v="1"/>
    <n v="2.6330999999999999E-5"/>
  </r>
  <r>
    <x v="0"/>
    <x v="7"/>
    <x v="6"/>
    <x v="6"/>
    <x v="1"/>
    <x v="1"/>
    <n v="0.479618461"/>
  </r>
  <r>
    <x v="0"/>
    <x v="7"/>
    <x v="4"/>
    <x v="7"/>
    <x v="1"/>
    <x v="0"/>
    <n v="110.311310995"/>
  </r>
  <r>
    <x v="0"/>
    <x v="7"/>
    <x v="5"/>
    <x v="7"/>
    <x v="1"/>
    <x v="1"/>
    <n v="2.0914E-5"/>
  </r>
  <r>
    <x v="0"/>
    <x v="7"/>
    <x v="6"/>
    <x v="7"/>
    <x v="1"/>
    <x v="1"/>
    <n v="0.479618461"/>
  </r>
  <r>
    <x v="0"/>
    <x v="7"/>
    <x v="4"/>
    <x v="8"/>
    <x v="1"/>
    <x v="0"/>
    <n v="88.338797099999994"/>
  </r>
  <r>
    <x v="0"/>
    <x v="7"/>
    <x v="5"/>
    <x v="8"/>
    <x v="1"/>
    <x v="1"/>
    <n v="2.3785999999999999E-5"/>
  </r>
  <r>
    <x v="0"/>
    <x v="7"/>
    <x v="6"/>
    <x v="8"/>
    <x v="1"/>
    <x v="1"/>
    <n v="0.479618461"/>
  </r>
  <r>
    <x v="0"/>
    <x v="7"/>
    <x v="4"/>
    <x v="9"/>
    <x v="1"/>
    <x v="0"/>
    <n v="180.78616325799999"/>
  </r>
  <r>
    <x v="0"/>
    <x v="7"/>
    <x v="5"/>
    <x v="9"/>
    <x v="1"/>
    <x v="1"/>
    <n v="5.4656E-5"/>
  </r>
  <r>
    <x v="0"/>
    <x v="7"/>
    <x v="6"/>
    <x v="9"/>
    <x v="1"/>
    <x v="1"/>
    <n v="0.479618461"/>
  </r>
  <r>
    <x v="0"/>
    <x v="7"/>
    <x v="4"/>
    <x v="10"/>
    <x v="1"/>
    <x v="0"/>
    <n v="136.83202685200001"/>
  </r>
  <r>
    <x v="0"/>
    <x v="7"/>
    <x v="5"/>
    <x v="10"/>
    <x v="1"/>
    <x v="1"/>
    <n v="5.91E-5"/>
  </r>
  <r>
    <x v="0"/>
    <x v="7"/>
    <x v="6"/>
    <x v="10"/>
    <x v="1"/>
    <x v="1"/>
    <n v="0.479618461"/>
  </r>
  <r>
    <x v="0"/>
    <x v="7"/>
    <x v="4"/>
    <x v="11"/>
    <x v="1"/>
    <x v="0"/>
    <n v="751.60000499299997"/>
  </r>
  <r>
    <x v="0"/>
    <x v="7"/>
    <x v="5"/>
    <x v="11"/>
    <x v="1"/>
    <x v="1"/>
    <n v="4.2707999999999998E-5"/>
  </r>
  <r>
    <x v="0"/>
    <x v="7"/>
    <x v="6"/>
    <x v="11"/>
    <x v="1"/>
    <x v="1"/>
    <n v="0.479618461"/>
  </r>
  <r>
    <x v="0"/>
    <x v="7"/>
    <x v="4"/>
    <x v="12"/>
    <x v="1"/>
    <x v="0"/>
    <n v="268.13873320499999"/>
  </r>
  <r>
    <x v="0"/>
    <x v="7"/>
    <x v="5"/>
    <x v="12"/>
    <x v="1"/>
    <x v="1"/>
    <n v="2.8136999999999998E-5"/>
  </r>
  <r>
    <x v="0"/>
    <x v="7"/>
    <x v="6"/>
    <x v="12"/>
    <x v="1"/>
    <x v="1"/>
    <n v="0.479618461"/>
  </r>
  <r>
    <x v="0"/>
    <x v="7"/>
    <x v="4"/>
    <x v="13"/>
    <x v="1"/>
    <x v="0"/>
    <n v="627.63718813800006"/>
  </r>
  <r>
    <x v="0"/>
    <x v="7"/>
    <x v="5"/>
    <x v="13"/>
    <x v="1"/>
    <x v="1"/>
    <n v="3.0626000000000001E-5"/>
  </r>
  <r>
    <x v="0"/>
    <x v="7"/>
    <x v="6"/>
    <x v="13"/>
    <x v="1"/>
    <x v="1"/>
    <n v="0.479618461"/>
  </r>
  <r>
    <x v="0"/>
    <x v="7"/>
    <x v="4"/>
    <x v="14"/>
    <x v="1"/>
    <x v="0"/>
    <n v="154.35740440399999"/>
  </r>
  <r>
    <x v="0"/>
    <x v="7"/>
    <x v="5"/>
    <x v="14"/>
    <x v="1"/>
    <x v="1"/>
    <n v="3.3322999999999999E-5"/>
  </r>
  <r>
    <x v="0"/>
    <x v="7"/>
    <x v="6"/>
    <x v="14"/>
    <x v="1"/>
    <x v="1"/>
    <n v="0.479618461"/>
  </r>
  <r>
    <x v="0"/>
    <x v="7"/>
    <x v="4"/>
    <x v="15"/>
    <x v="1"/>
    <x v="0"/>
    <n v="180.03734028700001"/>
  </r>
  <r>
    <x v="0"/>
    <x v="7"/>
    <x v="5"/>
    <x v="15"/>
    <x v="1"/>
    <x v="1"/>
    <n v="2.4805000000000001E-5"/>
  </r>
  <r>
    <x v="0"/>
    <x v="7"/>
    <x v="6"/>
    <x v="15"/>
    <x v="1"/>
    <x v="1"/>
    <n v="0.479618461"/>
  </r>
  <r>
    <x v="0"/>
    <x v="7"/>
    <x v="4"/>
    <x v="16"/>
    <x v="1"/>
    <x v="0"/>
    <n v="130.97769276099999"/>
  </r>
  <r>
    <x v="0"/>
    <x v="7"/>
    <x v="5"/>
    <x v="16"/>
    <x v="1"/>
    <x v="1"/>
    <n v="1.9148999999999999E-5"/>
  </r>
  <r>
    <x v="0"/>
    <x v="7"/>
    <x v="6"/>
    <x v="16"/>
    <x v="1"/>
    <x v="1"/>
    <n v="0.479618461"/>
  </r>
  <r>
    <x v="0"/>
    <x v="7"/>
    <x v="4"/>
    <x v="17"/>
    <x v="1"/>
    <x v="0"/>
    <n v="266.19098455599999"/>
  </r>
  <r>
    <x v="0"/>
    <x v="7"/>
    <x v="5"/>
    <x v="17"/>
    <x v="1"/>
    <x v="1"/>
    <n v="2.3513999999999999E-5"/>
  </r>
  <r>
    <x v="0"/>
    <x v="7"/>
    <x v="6"/>
    <x v="17"/>
    <x v="1"/>
    <x v="1"/>
    <n v="0.479618461"/>
  </r>
  <r>
    <x v="0"/>
    <x v="7"/>
    <x v="4"/>
    <x v="18"/>
    <x v="1"/>
    <x v="0"/>
    <n v="213.56761566099999"/>
  </r>
  <r>
    <x v="0"/>
    <x v="7"/>
    <x v="5"/>
    <x v="18"/>
    <x v="1"/>
    <x v="1"/>
    <n v="2.6202000000000001E-5"/>
  </r>
  <r>
    <x v="0"/>
    <x v="7"/>
    <x v="6"/>
    <x v="18"/>
    <x v="1"/>
    <x v="1"/>
    <n v="0.479618461"/>
  </r>
  <r>
    <x v="0"/>
    <x v="7"/>
    <x v="4"/>
    <x v="19"/>
    <x v="1"/>
    <x v="0"/>
    <n v="222.20165257799999"/>
  </r>
  <r>
    <x v="0"/>
    <x v="7"/>
    <x v="5"/>
    <x v="19"/>
    <x v="1"/>
    <x v="1"/>
    <n v="2.4182999999999999E-5"/>
  </r>
  <r>
    <x v="0"/>
    <x v="7"/>
    <x v="6"/>
    <x v="19"/>
    <x v="1"/>
    <x v="1"/>
    <n v="0.479618461"/>
  </r>
  <r>
    <x v="0"/>
    <x v="7"/>
    <x v="4"/>
    <x v="20"/>
    <x v="1"/>
    <x v="0"/>
    <n v="35.243194651000003"/>
  </r>
  <r>
    <x v="0"/>
    <x v="7"/>
    <x v="5"/>
    <x v="20"/>
    <x v="1"/>
    <x v="1"/>
    <n v="4.5760999999999998E-5"/>
  </r>
  <r>
    <x v="0"/>
    <x v="7"/>
    <x v="6"/>
    <x v="20"/>
    <x v="1"/>
    <x v="1"/>
    <n v="0.479618461"/>
  </r>
  <r>
    <x v="0"/>
    <x v="7"/>
    <x v="4"/>
    <x v="21"/>
    <x v="1"/>
    <x v="0"/>
    <n v="12.830979966999999"/>
  </r>
  <r>
    <x v="0"/>
    <x v="7"/>
    <x v="5"/>
    <x v="21"/>
    <x v="1"/>
    <x v="1"/>
    <n v="4.3702999999999998E-5"/>
  </r>
  <r>
    <x v="0"/>
    <x v="7"/>
    <x v="6"/>
    <x v="21"/>
    <x v="1"/>
    <x v="1"/>
    <n v="0.479618461"/>
  </r>
  <r>
    <x v="0"/>
    <x v="7"/>
    <x v="4"/>
    <x v="22"/>
    <x v="1"/>
    <x v="0"/>
    <n v="226.310295494"/>
  </r>
  <r>
    <x v="0"/>
    <x v="7"/>
    <x v="5"/>
    <x v="22"/>
    <x v="1"/>
    <x v="1"/>
    <n v="6.2148000000000002E-5"/>
  </r>
  <r>
    <x v="0"/>
    <x v="7"/>
    <x v="6"/>
    <x v="22"/>
    <x v="1"/>
    <x v="1"/>
    <n v="0.479618461"/>
  </r>
  <r>
    <x v="0"/>
    <x v="7"/>
    <x v="4"/>
    <x v="23"/>
    <x v="1"/>
    <x v="0"/>
    <n v="2.5620896540000002"/>
  </r>
  <r>
    <x v="0"/>
    <x v="7"/>
    <x v="5"/>
    <x v="23"/>
    <x v="1"/>
    <x v="1"/>
    <n v="7.0219E-5"/>
  </r>
  <r>
    <x v="0"/>
    <x v="7"/>
    <x v="6"/>
    <x v="23"/>
    <x v="1"/>
    <x v="1"/>
    <n v="0.479618461"/>
  </r>
  <r>
    <x v="0"/>
    <x v="7"/>
    <x v="4"/>
    <x v="24"/>
    <x v="1"/>
    <x v="0"/>
    <n v="466.43730487300002"/>
  </r>
  <r>
    <x v="0"/>
    <x v="7"/>
    <x v="5"/>
    <x v="24"/>
    <x v="1"/>
    <x v="1"/>
    <n v="4.5729000000000002E-5"/>
  </r>
  <r>
    <x v="0"/>
    <x v="7"/>
    <x v="6"/>
    <x v="24"/>
    <x v="1"/>
    <x v="1"/>
    <n v="0.479618461"/>
  </r>
  <r>
    <x v="0"/>
    <x v="7"/>
    <x v="4"/>
    <x v="25"/>
    <x v="1"/>
    <x v="0"/>
    <n v="25.960017656000002"/>
  </r>
  <r>
    <x v="0"/>
    <x v="7"/>
    <x v="5"/>
    <x v="25"/>
    <x v="1"/>
    <x v="1"/>
    <n v="3.5689999999999999E-5"/>
  </r>
  <r>
    <x v="0"/>
    <x v="7"/>
    <x v="6"/>
    <x v="25"/>
    <x v="1"/>
    <x v="1"/>
    <n v="0.479618461"/>
  </r>
  <r>
    <x v="0"/>
    <x v="7"/>
    <x v="4"/>
    <x v="26"/>
    <x v="1"/>
    <x v="0"/>
    <n v="18.611231476"/>
  </r>
  <r>
    <x v="0"/>
    <x v="7"/>
    <x v="5"/>
    <x v="26"/>
    <x v="1"/>
    <x v="1"/>
    <n v="3.2527000000000002E-5"/>
  </r>
  <r>
    <x v="0"/>
    <x v="7"/>
    <x v="6"/>
    <x v="26"/>
    <x v="1"/>
    <x v="1"/>
    <n v="0.479618461"/>
  </r>
  <r>
    <x v="0"/>
    <x v="7"/>
    <x v="4"/>
    <x v="27"/>
    <x v="1"/>
    <x v="0"/>
    <n v="473.23894671400001"/>
  </r>
  <r>
    <x v="0"/>
    <x v="7"/>
    <x v="5"/>
    <x v="27"/>
    <x v="1"/>
    <x v="1"/>
    <n v="1.8264999999999999E-5"/>
  </r>
  <r>
    <x v="0"/>
    <x v="7"/>
    <x v="6"/>
    <x v="27"/>
    <x v="1"/>
    <x v="1"/>
    <n v="0.479618461"/>
  </r>
  <r>
    <x v="0"/>
    <x v="7"/>
    <x v="4"/>
    <x v="28"/>
    <x v="1"/>
    <x v="0"/>
    <n v="1322.1707975270001"/>
  </r>
  <r>
    <x v="0"/>
    <x v="7"/>
    <x v="5"/>
    <x v="28"/>
    <x v="1"/>
    <x v="1"/>
    <n v="5.2914999999999997E-5"/>
  </r>
  <r>
    <x v="0"/>
    <x v="7"/>
    <x v="6"/>
    <x v="28"/>
    <x v="1"/>
    <x v="1"/>
    <n v="0.479618461"/>
  </r>
  <r>
    <x v="0"/>
    <x v="7"/>
    <x v="4"/>
    <x v="29"/>
    <x v="1"/>
    <x v="0"/>
    <n v="798.45783077800002"/>
  </r>
  <r>
    <x v="0"/>
    <x v="7"/>
    <x v="5"/>
    <x v="29"/>
    <x v="1"/>
    <x v="1"/>
    <n v="5.5234E-5"/>
  </r>
  <r>
    <x v="0"/>
    <x v="7"/>
    <x v="6"/>
    <x v="29"/>
    <x v="1"/>
    <x v="1"/>
    <n v="0.479618461"/>
  </r>
  <r>
    <x v="0"/>
    <x v="7"/>
    <x v="4"/>
    <x v="30"/>
    <x v="1"/>
    <x v="0"/>
    <n v="135.948918126"/>
  </r>
  <r>
    <x v="0"/>
    <x v="7"/>
    <x v="5"/>
    <x v="30"/>
    <x v="1"/>
    <x v="1"/>
    <n v="2.9373000000000002E-5"/>
  </r>
  <r>
    <x v="0"/>
    <x v="7"/>
    <x v="6"/>
    <x v="30"/>
    <x v="1"/>
    <x v="1"/>
    <n v="0.479618461"/>
  </r>
  <r>
    <x v="0"/>
    <x v="7"/>
    <x v="4"/>
    <x v="31"/>
    <x v="1"/>
    <x v="0"/>
    <n v="493.91266277800003"/>
  </r>
  <r>
    <x v="0"/>
    <x v="7"/>
    <x v="5"/>
    <x v="31"/>
    <x v="1"/>
    <x v="1"/>
    <n v="3.9718000000000002E-5"/>
  </r>
  <r>
    <x v="0"/>
    <x v="7"/>
    <x v="6"/>
    <x v="31"/>
    <x v="1"/>
    <x v="1"/>
    <n v="0.479618461"/>
  </r>
  <r>
    <x v="0"/>
    <x v="7"/>
    <x v="4"/>
    <x v="32"/>
    <x v="1"/>
    <x v="0"/>
    <n v="1564.4036278030001"/>
  </r>
  <r>
    <x v="0"/>
    <x v="7"/>
    <x v="5"/>
    <x v="32"/>
    <x v="1"/>
    <x v="1"/>
    <n v="7.1619999999999995E-5"/>
  </r>
  <r>
    <x v="0"/>
    <x v="7"/>
    <x v="6"/>
    <x v="32"/>
    <x v="1"/>
    <x v="1"/>
    <n v="0.479618461"/>
  </r>
  <r>
    <x v="0"/>
    <x v="7"/>
    <x v="4"/>
    <x v="33"/>
    <x v="1"/>
    <x v="0"/>
    <n v="1766.0909718590001"/>
  </r>
  <r>
    <x v="0"/>
    <x v="7"/>
    <x v="5"/>
    <x v="33"/>
    <x v="1"/>
    <x v="1"/>
    <n v="8.2606000000000002E-5"/>
  </r>
  <r>
    <x v="0"/>
    <x v="7"/>
    <x v="6"/>
    <x v="33"/>
    <x v="1"/>
    <x v="1"/>
    <n v="0.479618461"/>
  </r>
  <r>
    <x v="0"/>
    <x v="7"/>
    <x v="4"/>
    <x v="34"/>
    <x v="1"/>
    <x v="0"/>
    <n v="344.80111048700002"/>
  </r>
  <r>
    <x v="0"/>
    <x v="7"/>
    <x v="5"/>
    <x v="34"/>
    <x v="1"/>
    <x v="1"/>
    <n v="6.6525000000000004E-5"/>
  </r>
  <r>
    <x v="0"/>
    <x v="7"/>
    <x v="6"/>
    <x v="34"/>
    <x v="1"/>
    <x v="1"/>
    <n v="0.479618461"/>
  </r>
  <r>
    <x v="0"/>
    <x v="7"/>
    <x v="4"/>
    <x v="35"/>
    <x v="1"/>
    <x v="0"/>
    <n v="278.43700382999998"/>
  </r>
  <r>
    <x v="0"/>
    <x v="7"/>
    <x v="5"/>
    <x v="35"/>
    <x v="1"/>
    <x v="1"/>
    <n v="7.1499000000000001E-5"/>
  </r>
  <r>
    <x v="0"/>
    <x v="7"/>
    <x v="6"/>
    <x v="35"/>
    <x v="1"/>
    <x v="1"/>
    <n v="0.479618461"/>
  </r>
  <r>
    <x v="0"/>
    <x v="7"/>
    <x v="4"/>
    <x v="36"/>
    <x v="1"/>
    <x v="0"/>
    <n v="88.809070125000005"/>
  </r>
  <r>
    <x v="0"/>
    <x v="7"/>
    <x v="5"/>
    <x v="36"/>
    <x v="1"/>
    <x v="1"/>
    <n v="1.06081E-4"/>
  </r>
  <r>
    <x v="0"/>
    <x v="7"/>
    <x v="6"/>
    <x v="36"/>
    <x v="1"/>
    <x v="1"/>
    <n v="0.479618461"/>
  </r>
  <r>
    <x v="0"/>
    <x v="7"/>
    <x v="4"/>
    <x v="37"/>
    <x v="1"/>
    <x v="0"/>
    <n v="119.666596704"/>
  </r>
  <r>
    <x v="0"/>
    <x v="7"/>
    <x v="5"/>
    <x v="37"/>
    <x v="1"/>
    <x v="1"/>
    <n v="3.3039E-5"/>
  </r>
  <r>
    <x v="0"/>
    <x v="7"/>
    <x v="6"/>
    <x v="37"/>
    <x v="1"/>
    <x v="1"/>
    <n v="0.479618461"/>
  </r>
  <r>
    <x v="0"/>
    <x v="7"/>
    <x v="4"/>
    <x v="38"/>
    <x v="1"/>
    <x v="0"/>
    <n v="193.32113608399999"/>
  </r>
  <r>
    <x v="0"/>
    <x v="7"/>
    <x v="5"/>
    <x v="38"/>
    <x v="1"/>
    <x v="1"/>
    <n v="1.0817199999999999E-4"/>
  </r>
  <r>
    <x v="0"/>
    <x v="7"/>
    <x v="6"/>
    <x v="38"/>
    <x v="1"/>
    <x v="1"/>
    <n v="0.479618461"/>
  </r>
  <r>
    <x v="0"/>
    <x v="7"/>
    <x v="4"/>
    <x v="39"/>
    <x v="1"/>
    <x v="0"/>
    <n v="88.417624297000003"/>
  </r>
  <r>
    <x v="0"/>
    <x v="7"/>
    <x v="5"/>
    <x v="39"/>
    <x v="1"/>
    <x v="1"/>
    <n v="3.8182999999999997E-5"/>
  </r>
  <r>
    <x v="0"/>
    <x v="7"/>
    <x v="6"/>
    <x v="39"/>
    <x v="1"/>
    <x v="1"/>
    <n v="0.479618461"/>
  </r>
  <r>
    <x v="0"/>
    <x v="7"/>
    <x v="4"/>
    <x v="40"/>
    <x v="1"/>
    <x v="0"/>
    <n v="91.112003066"/>
  </r>
  <r>
    <x v="0"/>
    <x v="7"/>
    <x v="5"/>
    <x v="40"/>
    <x v="1"/>
    <x v="1"/>
    <n v="4.7899999999999999E-5"/>
  </r>
  <r>
    <x v="0"/>
    <x v="7"/>
    <x v="6"/>
    <x v="40"/>
    <x v="1"/>
    <x v="1"/>
    <n v="0.479618461"/>
  </r>
  <r>
    <x v="0"/>
    <x v="7"/>
    <x v="4"/>
    <x v="41"/>
    <x v="1"/>
    <x v="0"/>
    <n v="283.90357258799997"/>
  </r>
  <r>
    <x v="0"/>
    <x v="7"/>
    <x v="5"/>
    <x v="41"/>
    <x v="1"/>
    <x v="1"/>
    <n v="2.24133E-4"/>
  </r>
  <r>
    <x v="0"/>
    <x v="7"/>
    <x v="6"/>
    <x v="41"/>
    <x v="1"/>
    <x v="1"/>
    <n v="0.479618461"/>
  </r>
  <r>
    <x v="0"/>
    <x v="7"/>
    <x v="7"/>
    <x v="0"/>
    <x v="2"/>
    <x v="2"/>
    <n v="391.53675872600002"/>
  </r>
  <r>
    <x v="0"/>
    <x v="7"/>
    <x v="7"/>
    <x v="1"/>
    <x v="2"/>
    <x v="2"/>
    <n v="45.477091465000001"/>
  </r>
  <r>
    <x v="0"/>
    <x v="7"/>
    <x v="7"/>
    <x v="2"/>
    <x v="2"/>
    <x v="2"/>
    <n v="19.413650186000002"/>
  </r>
  <r>
    <x v="0"/>
    <x v="7"/>
    <x v="7"/>
    <x v="3"/>
    <x v="2"/>
    <x v="2"/>
    <n v="15.596502127000001"/>
  </r>
  <r>
    <x v="0"/>
    <x v="7"/>
    <x v="7"/>
    <x v="4"/>
    <x v="2"/>
    <x v="2"/>
    <n v="9.1258971179999993"/>
  </r>
  <r>
    <x v="0"/>
    <x v="7"/>
    <x v="7"/>
    <x v="5"/>
    <x v="2"/>
    <x v="2"/>
    <n v="33.264915072999997"/>
  </r>
  <r>
    <x v="0"/>
    <x v="7"/>
    <x v="7"/>
    <x v="6"/>
    <x v="2"/>
    <x v="2"/>
    <n v="13.4274305"/>
  </r>
  <r>
    <x v="0"/>
    <x v="7"/>
    <x v="7"/>
    <x v="7"/>
    <x v="2"/>
    <x v="2"/>
    <n v="12.439314191999999"/>
  </r>
  <r>
    <x v="0"/>
    <x v="7"/>
    <x v="7"/>
    <x v="8"/>
    <x v="2"/>
    <x v="2"/>
    <n v="7.0981619980000001"/>
  </r>
  <r>
    <x v="0"/>
    <x v="7"/>
    <x v="7"/>
    <x v="9"/>
    <x v="2"/>
    <x v="2"/>
    <n v="20.091173397999999"/>
  </r>
  <r>
    <x v="0"/>
    <x v="7"/>
    <x v="7"/>
    <x v="10"/>
    <x v="2"/>
    <x v="2"/>
    <n v="9.4007965870000003"/>
  </r>
  <r>
    <x v="0"/>
    <x v="7"/>
    <x v="7"/>
    <x v="11"/>
    <x v="2"/>
    <x v="2"/>
    <n v="42.260501142999999"/>
  </r>
  <r>
    <x v="0"/>
    <x v="7"/>
    <x v="7"/>
    <x v="12"/>
    <x v="2"/>
    <x v="2"/>
    <n v="19.692076520000001"/>
  </r>
  <r>
    <x v="0"/>
    <x v="7"/>
    <x v="7"/>
    <x v="13"/>
    <x v="2"/>
    <x v="2"/>
    <n v="27.300345002"/>
  </r>
  <r>
    <x v="0"/>
    <x v="7"/>
    <x v="7"/>
    <x v="14"/>
    <x v="2"/>
    <x v="2"/>
    <n v="13.019575924"/>
  </r>
  <r>
    <x v="0"/>
    <x v="7"/>
    <x v="7"/>
    <x v="15"/>
    <x v="2"/>
    <x v="2"/>
    <n v="16.249184700000001"/>
  </r>
  <r>
    <x v="0"/>
    <x v="7"/>
    <x v="7"/>
    <x v="16"/>
    <x v="2"/>
    <x v="2"/>
    <n v="10.852800305000001"/>
  </r>
  <r>
    <x v="0"/>
    <x v="7"/>
    <x v="7"/>
    <x v="17"/>
    <x v="2"/>
    <x v="2"/>
    <n v="22.021955184999999"/>
  </r>
  <r>
    <x v="0"/>
    <x v="7"/>
    <x v="7"/>
    <x v="18"/>
    <x v="2"/>
    <x v="2"/>
    <n v="13.628817732"/>
  </r>
  <r>
    <x v="0"/>
    <x v="7"/>
    <x v="7"/>
    <x v="19"/>
    <x v="2"/>
    <x v="2"/>
    <n v="22.824540305999999"/>
  </r>
  <r>
    <x v="0"/>
    <x v="7"/>
    <x v="7"/>
    <x v="20"/>
    <x v="2"/>
    <x v="2"/>
    <n v="3.0997701860000002"/>
  </r>
  <r>
    <x v="0"/>
    <x v="7"/>
    <x v="7"/>
    <x v="21"/>
    <x v="2"/>
    <x v="2"/>
    <n v="1.4070089939999999"/>
  </r>
  <r>
    <x v="0"/>
    <x v="7"/>
    <x v="7"/>
    <x v="22"/>
    <x v="2"/>
    <x v="2"/>
    <n v="1.000546057"/>
  </r>
  <r>
    <x v="0"/>
    <x v="7"/>
    <x v="7"/>
    <x v="23"/>
    <x v="2"/>
    <x v="2"/>
    <n v="0.91899555499999996"/>
  </r>
  <r>
    <x v="0"/>
    <x v="7"/>
    <x v="7"/>
    <x v="24"/>
    <x v="2"/>
    <x v="2"/>
    <n v="19.809874300000001"/>
  </r>
  <r>
    <x v="0"/>
    <x v="7"/>
    <x v="7"/>
    <x v="25"/>
    <x v="2"/>
    <x v="2"/>
    <n v="0.925078917"/>
  </r>
  <r>
    <x v="0"/>
    <x v="7"/>
    <x v="7"/>
    <x v="26"/>
    <x v="2"/>
    <x v="2"/>
    <n v="1.77314879"/>
  </r>
  <r>
    <x v="0"/>
    <x v="7"/>
    <x v="7"/>
    <x v="27"/>
    <x v="2"/>
    <x v="2"/>
    <n v="74.550806632999993"/>
  </r>
  <r>
    <x v="0"/>
    <x v="7"/>
    <x v="7"/>
    <x v="28"/>
    <x v="2"/>
    <x v="2"/>
    <n v="88.167587026000007"/>
  </r>
  <r>
    <x v="0"/>
    <x v="7"/>
    <x v="7"/>
    <x v="29"/>
    <x v="2"/>
    <x v="2"/>
    <n v="67.288816479999994"/>
  </r>
  <r>
    <x v="0"/>
    <x v="7"/>
    <x v="7"/>
    <x v="30"/>
    <x v="2"/>
    <x v="2"/>
    <n v="27.503115689000001"/>
  </r>
  <r>
    <x v="0"/>
    <x v="7"/>
    <x v="7"/>
    <x v="31"/>
    <x v="2"/>
    <x v="2"/>
    <n v="18.665316219000001"/>
  </r>
  <r>
    <x v="0"/>
    <x v="7"/>
    <x v="7"/>
    <x v="32"/>
    <x v="2"/>
    <x v="2"/>
    <n v="77.577077416999998"/>
  </r>
  <r>
    <x v="0"/>
    <x v="7"/>
    <x v="7"/>
    <x v="33"/>
    <x v="2"/>
    <x v="2"/>
    <n v="29.519260453000001"/>
  </r>
  <r>
    <x v="0"/>
    <x v="7"/>
    <x v="7"/>
    <x v="34"/>
    <x v="2"/>
    <x v="2"/>
    <n v="37.346493013"/>
  </r>
  <r>
    <x v="0"/>
    <x v="7"/>
    <x v="7"/>
    <x v="35"/>
    <x v="2"/>
    <x v="2"/>
    <n v="34.878227490999997"/>
  </r>
  <r>
    <x v="0"/>
    <x v="7"/>
    <x v="7"/>
    <x v="36"/>
    <x v="2"/>
    <x v="2"/>
    <n v="13.11230048"/>
  </r>
  <r>
    <x v="0"/>
    <x v="7"/>
    <x v="7"/>
    <x v="37"/>
    <x v="2"/>
    <x v="2"/>
    <n v="25.324202604"/>
  </r>
  <r>
    <x v="0"/>
    <x v="7"/>
    <x v="7"/>
    <x v="38"/>
    <x v="2"/>
    <x v="2"/>
    <n v="122.462648372"/>
  </r>
  <r>
    <x v="0"/>
    <x v="7"/>
    <x v="7"/>
    <x v="39"/>
    <x v="2"/>
    <x v="2"/>
    <n v="37.351333885999999"/>
  </r>
  <r>
    <x v="0"/>
    <x v="7"/>
    <x v="7"/>
    <x v="40"/>
    <x v="2"/>
    <x v="2"/>
    <n v="10.832524321999999"/>
  </r>
  <r>
    <x v="0"/>
    <x v="7"/>
    <x v="7"/>
    <x v="41"/>
    <x v="2"/>
    <x v="2"/>
    <n v="230.56414958299999"/>
  </r>
  <r>
    <x v="0"/>
    <x v="7"/>
    <x v="8"/>
    <x v="0"/>
    <x v="2"/>
    <x v="3"/>
    <n v="6.5245378000000007E-2"/>
  </r>
  <r>
    <x v="0"/>
    <x v="7"/>
    <x v="8"/>
    <x v="1"/>
    <x v="2"/>
    <x v="3"/>
    <n v="6.5245378000000007E-2"/>
  </r>
  <r>
    <x v="0"/>
    <x v="7"/>
    <x v="8"/>
    <x v="2"/>
    <x v="2"/>
    <x v="3"/>
    <n v="6.5245378000000007E-2"/>
  </r>
  <r>
    <x v="0"/>
    <x v="7"/>
    <x v="8"/>
    <x v="3"/>
    <x v="2"/>
    <x v="3"/>
    <n v="6.5245378000000007E-2"/>
  </r>
  <r>
    <x v="0"/>
    <x v="7"/>
    <x v="8"/>
    <x v="4"/>
    <x v="2"/>
    <x v="3"/>
    <n v="6.5245378000000007E-2"/>
  </r>
  <r>
    <x v="0"/>
    <x v="7"/>
    <x v="8"/>
    <x v="5"/>
    <x v="2"/>
    <x v="3"/>
    <n v="6.5245378000000007E-2"/>
  </r>
  <r>
    <x v="0"/>
    <x v="7"/>
    <x v="8"/>
    <x v="6"/>
    <x v="2"/>
    <x v="3"/>
    <n v="6.5245378000000007E-2"/>
  </r>
  <r>
    <x v="0"/>
    <x v="7"/>
    <x v="8"/>
    <x v="7"/>
    <x v="2"/>
    <x v="3"/>
    <n v="6.5245378000000007E-2"/>
  </r>
  <r>
    <x v="0"/>
    <x v="7"/>
    <x v="8"/>
    <x v="8"/>
    <x v="2"/>
    <x v="3"/>
    <n v="6.5245378000000007E-2"/>
  </r>
  <r>
    <x v="0"/>
    <x v="7"/>
    <x v="8"/>
    <x v="9"/>
    <x v="2"/>
    <x v="3"/>
    <n v="6.5245378000000007E-2"/>
  </r>
  <r>
    <x v="0"/>
    <x v="7"/>
    <x v="8"/>
    <x v="10"/>
    <x v="2"/>
    <x v="3"/>
    <n v="6.5245378000000007E-2"/>
  </r>
  <r>
    <x v="0"/>
    <x v="7"/>
    <x v="8"/>
    <x v="11"/>
    <x v="2"/>
    <x v="3"/>
    <n v="6.5245378000000007E-2"/>
  </r>
  <r>
    <x v="0"/>
    <x v="7"/>
    <x v="8"/>
    <x v="12"/>
    <x v="2"/>
    <x v="3"/>
    <n v="6.5245378000000007E-2"/>
  </r>
  <r>
    <x v="0"/>
    <x v="7"/>
    <x v="8"/>
    <x v="13"/>
    <x v="2"/>
    <x v="3"/>
    <n v="6.5245378000000007E-2"/>
  </r>
  <r>
    <x v="0"/>
    <x v="7"/>
    <x v="8"/>
    <x v="14"/>
    <x v="2"/>
    <x v="3"/>
    <n v="6.5245378000000007E-2"/>
  </r>
  <r>
    <x v="0"/>
    <x v="7"/>
    <x v="8"/>
    <x v="15"/>
    <x v="2"/>
    <x v="3"/>
    <n v="6.5245378000000007E-2"/>
  </r>
  <r>
    <x v="0"/>
    <x v="7"/>
    <x v="8"/>
    <x v="16"/>
    <x v="2"/>
    <x v="3"/>
    <n v="6.5245378000000007E-2"/>
  </r>
  <r>
    <x v="0"/>
    <x v="7"/>
    <x v="8"/>
    <x v="17"/>
    <x v="2"/>
    <x v="3"/>
    <n v="6.5245378000000007E-2"/>
  </r>
  <r>
    <x v="0"/>
    <x v="7"/>
    <x v="8"/>
    <x v="18"/>
    <x v="2"/>
    <x v="3"/>
    <n v="6.5245378000000007E-2"/>
  </r>
  <r>
    <x v="0"/>
    <x v="7"/>
    <x v="8"/>
    <x v="19"/>
    <x v="2"/>
    <x v="3"/>
    <n v="6.5245378000000007E-2"/>
  </r>
  <r>
    <x v="0"/>
    <x v="7"/>
    <x v="8"/>
    <x v="20"/>
    <x v="2"/>
    <x v="3"/>
    <n v="6.5245378000000007E-2"/>
  </r>
  <r>
    <x v="0"/>
    <x v="7"/>
    <x v="8"/>
    <x v="21"/>
    <x v="2"/>
    <x v="3"/>
    <n v="6.5245378000000007E-2"/>
  </r>
  <r>
    <x v="0"/>
    <x v="7"/>
    <x v="8"/>
    <x v="22"/>
    <x v="2"/>
    <x v="3"/>
    <n v="6.5245378000000007E-2"/>
  </r>
  <r>
    <x v="0"/>
    <x v="7"/>
    <x v="8"/>
    <x v="23"/>
    <x v="2"/>
    <x v="3"/>
    <n v="6.5245378000000007E-2"/>
  </r>
  <r>
    <x v="0"/>
    <x v="7"/>
    <x v="8"/>
    <x v="24"/>
    <x v="2"/>
    <x v="3"/>
    <n v="6.5245378000000007E-2"/>
  </r>
  <r>
    <x v="0"/>
    <x v="7"/>
    <x v="8"/>
    <x v="25"/>
    <x v="2"/>
    <x v="3"/>
    <n v="6.5245378000000007E-2"/>
  </r>
  <r>
    <x v="0"/>
    <x v="7"/>
    <x v="8"/>
    <x v="26"/>
    <x v="2"/>
    <x v="3"/>
    <n v="6.5245378000000007E-2"/>
  </r>
  <r>
    <x v="0"/>
    <x v="7"/>
    <x v="8"/>
    <x v="27"/>
    <x v="2"/>
    <x v="3"/>
    <n v="6.5245378000000007E-2"/>
  </r>
  <r>
    <x v="0"/>
    <x v="7"/>
    <x v="8"/>
    <x v="28"/>
    <x v="2"/>
    <x v="3"/>
    <n v="6.5245378000000007E-2"/>
  </r>
  <r>
    <x v="0"/>
    <x v="7"/>
    <x v="8"/>
    <x v="29"/>
    <x v="2"/>
    <x v="3"/>
    <n v="6.5245378000000007E-2"/>
  </r>
  <r>
    <x v="0"/>
    <x v="7"/>
    <x v="8"/>
    <x v="30"/>
    <x v="2"/>
    <x v="3"/>
    <n v="6.5245378000000007E-2"/>
  </r>
  <r>
    <x v="0"/>
    <x v="7"/>
    <x v="8"/>
    <x v="31"/>
    <x v="2"/>
    <x v="3"/>
    <n v="6.5245378000000007E-2"/>
  </r>
  <r>
    <x v="0"/>
    <x v="7"/>
    <x v="8"/>
    <x v="32"/>
    <x v="2"/>
    <x v="3"/>
    <n v="6.5245378000000007E-2"/>
  </r>
  <r>
    <x v="0"/>
    <x v="7"/>
    <x v="8"/>
    <x v="33"/>
    <x v="2"/>
    <x v="3"/>
    <n v="6.5245378000000007E-2"/>
  </r>
  <r>
    <x v="0"/>
    <x v="7"/>
    <x v="8"/>
    <x v="34"/>
    <x v="2"/>
    <x v="3"/>
    <n v="6.5245378000000007E-2"/>
  </r>
  <r>
    <x v="0"/>
    <x v="7"/>
    <x v="8"/>
    <x v="35"/>
    <x v="2"/>
    <x v="3"/>
    <n v="6.5245378000000007E-2"/>
  </r>
  <r>
    <x v="0"/>
    <x v="7"/>
    <x v="8"/>
    <x v="36"/>
    <x v="2"/>
    <x v="3"/>
    <n v="6.5245378000000007E-2"/>
  </r>
  <r>
    <x v="0"/>
    <x v="7"/>
    <x v="8"/>
    <x v="37"/>
    <x v="2"/>
    <x v="3"/>
    <n v="6.5245378000000007E-2"/>
  </r>
  <r>
    <x v="0"/>
    <x v="7"/>
    <x v="8"/>
    <x v="38"/>
    <x v="2"/>
    <x v="3"/>
    <n v="6.5245378000000007E-2"/>
  </r>
  <r>
    <x v="0"/>
    <x v="7"/>
    <x v="8"/>
    <x v="39"/>
    <x v="2"/>
    <x v="3"/>
    <n v="6.5245378000000007E-2"/>
  </r>
  <r>
    <x v="0"/>
    <x v="7"/>
    <x v="8"/>
    <x v="40"/>
    <x v="2"/>
    <x v="3"/>
    <n v="6.5245378000000007E-2"/>
  </r>
  <r>
    <x v="0"/>
    <x v="7"/>
    <x v="8"/>
    <x v="41"/>
    <x v="2"/>
    <x v="3"/>
    <n v="6.5245378000000007E-2"/>
  </r>
  <r>
    <x v="0"/>
    <x v="7"/>
    <x v="7"/>
    <x v="0"/>
    <x v="3"/>
    <x v="2"/>
    <n v="393.45525367599998"/>
  </r>
  <r>
    <x v="0"/>
    <x v="7"/>
    <x v="7"/>
    <x v="1"/>
    <x v="3"/>
    <x v="2"/>
    <n v="43.731833408"/>
  </r>
  <r>
    <x v="0"/>
    <x v="7"/>
    <x v="7"/>
    <x v="2"/>
    <x v="3"/>
    <x v="2"/>
    <n v="17.496998641000001"/>
  </r>
  <r>
    <x v="0"/>
    <x v="7"/>
    <x v="7"/>
    <x v="3"/>
    <x v="3"/>
    <x v="2"/>
    <n v="14.708577291999999"/>
  </r>
  <r>
    <x v="0"/>
    <x v="7"/>
    <x v="7"/>
    <x v="4"/>
    <x v="3"/>
    <x v="2"/>
    <n v="8.6987734250000006"/>
  </r>
  <r>
    <x v="0"/>
    <x v="7"/>
    <x v="7"/>
    <x v="5"/>
    <x v="3"/>
    <x v="2"/>
    <n v="30.932898175999998"/>
  </r>
  <r>
    <x v="0"/>
    <x v="7"/>
    <x v="7"/>
    <x v="6"/>
    <x v="3"/>
    <x v="2"/>
    <n v="12.731729852999999"/>
  </r>
  <r>
    <x v="0"/>
    <x v="7"/>
    <x v="7"/>
    <x v="7"/>
    <x v="3"/>
    <x v="2"/>
    <n v="11.931701442"/>
  </r>
  <r>
    <x v="0"/>
    <x v="7"/>
    <x v="7"/>
    <x v="8"/>
    <x v="3"/>
    <x v="2"/>
    <n v="6.7109465689999999"/>
  </r>
  <r>
    <x v="0"/>
    <x v="7"/>
    <x v="7"/>
    <x v="9"/>
    <x v="3"/>
    <x v="2"/>
    <n v="19.090314370000002"/>
  </r>
  <r>
    <x v="0"/>
    <x v="7"/>
    <x v="7"/>
    <x v="10"/>
    <x v="3"/>
    <x v="2"/>
    <n v="8.7405821449999994"/>
  </r>
  <r>
    <x v="0"/>
    <x v="7"/>
    <x v="7"/>
    <x v="11"/>
    <x v="3"/>
    <x v="2"/>
    <n v="39.061907277000003"/>
  </r>
  <r>
    <x v="0"/>
    <x v="7"/>
    <x v="7"/>
    <x v="12"/>
    <x v="3"/>
    <x v="2"/>
    <n v="18.513756270999998"/>
  </r>
  <r>
    <x v="0"/>
    <x v="7"/>
    <x v="7"/>
    <x v="13"/>
    <x v="3"/>
    <x v="2"/>
    <n v="25.012814639999998"/>
  </r>
  <r>
    <x v="0"/>
    <x v="7"/>
    <x v="7"/>
    <x v="14"/>
    <x v="3"/>
    <x v="2"/>
    <n v="12.291914949000001"/>
  </r>
  <r>
    <x v="0"/>
    <x v="7"/>
    <x v="7"/>
    <x v="15"/>
    <x v="3"/>
    <x v="2"/>
    <n v="15.429714832"/>
  </r>
  <r>
    <x v="0"/>
    <x v="7"/>
    <x v="7"/>
    <x v="16"/>
    <x v="3"/>
    <x v="2"/>
    <n v="10.296316879000001"/>
  </r>
  <r>
    <x v="0"/>
    <x v="7"/>
    <x v="7"/>
    <x v="17"/>
    <x v="3"/>
    <x v="2"/>
    <n v="20.848355828999999"/>
  </r>
  <r>
    <x v="0"/>
    <x v="7"/>
    <x v="7"/>
    <x v="18"/>
    <x v="3"/>
    <x v="2"/>
    <n v="12.743029507999999"/>
  </r>
  <r>
    <x v="0"/>
    <x v="7"/>
    <x v="7"/>
    <x v="19"/>
    <x v="3"/>
    <x v="2"/>
    <n v="21.788813212000001"/>
  </r>
  <r>
    <x v="0"/>
    <x v="7"/>
    <x v="7"/>
    <x v="20"/>
    <x v="3"/>
    <x v="2"/>
    <n v="2.9221910279999999"/>
  </r>
  <r>
    <x v="0"/>
    <x v="7"/>
    <x v="7"/>
    <x v="21"/>
    <x v="3"/>
    <x v="2"/>
    <n v="1.3390671789999999"/>
  </r>
  <r>
    <x v="0"/>
    <x v="7"/>
    <x v="7"/>
    <x v="22"/>
    <x v="3"/>
    <x v="2"/>
    <n v="0.79988746399999999"/>
  </r>
  <r>
    <x v="0"/>
    <x v="7"/>
    <x v="7"/>
    <x v="23"/>
    <x v="3"/>
    <x v="2"/>
    <n v="0.90373249700000002"/>
  </r>
  <r>
    <x v="0"/>
    <x v="7"/>
    <x v="7"/>
    <x v="24"/>
    <x v="3"/>
    <x v="2"/>
    <n v="18.039617317000001"/>
  </r>
  <r>
    <x v="0"/>
    <x v="7"/>
    <x v="7"/>
    <x v="25"/>
    <x v="3"/>
    <x v="2"/>
    <n v="0.83724995499999999"/>
  </r>
  <r>
    <x v="0"/>
    <x v="7"/>
    <x v="7"/>
    <x v="26"/>
    <x v="3"/>
    <x v="2"/>
    <n v="1.682907733"/>
  </r>
  <r>
    <x v="0"/>
    <x v="7"/>
    <x v="7"/>
    <x v="27"/>
    <x v="3"/>
    <x v="2"/>
    <n v="72.380735514999998"/>
  </r>
  <r>
    <x v="0"/>
    <x v="7"/>
    <x v="7"/>
    <x v="28"/>
    <x v="3"/>
    <x v="2"/>
    <n v="81.961489584999995"/>
  </r>
  <r>
    <x v="0"/>
    <x v="7"/>
    <x v="7"/>
    <x v="29"/>
    <x v="3"/>
    <x v="2"/>
    <n v="63.192804434999999"/>
  </r>
  <r>
    <x v="0"/>
    <x v="7"/>
    <x v="7"/>
    <x v="30"/>
    <x v="3"/>
    <x v="2"/>
    <n v="26.805182838"/>
  </r>
  <r>
    <x v="0"/>
    <x v="7"/>
    <x v="7"/>
    <x v="31"/>
    <x v="3"/>
    <x v="2"/>
    <n v="16.923204444"/>
  </r>
  <r>
    <x v="0"/>
    <x v="7"/>
    <x v="7"/>
    <x v="32"/>
    <x v="3"/>
    <x v="2"/>
    <n v="70.829997793000004"/>
  </r>
  <r>
    <x v="0"/>
    <x v="7"/>
    <x v="7"/>
    <x v="33"/>
    <x v="3"/>
    <x v="2"/>
    <n v="25.355250807000001"/>
  </r>
  <r>
    <x v="0"/>
    <x v="7"/>
    <x v="7"/>
    <x v="34"/>
    <x v="3"/>
    <x v="2"/>
    <n v="35.381953299000003"/>
  </r>
  <r>
    <x v="0"/>
    <x v="7"/>
    <x v="7"/>
    <x v="35"/>
    <x v="3"/>
    <x v="2"/>
    <n v="33.212965009999998"/>
  </r>
  <r>
    <x v="0"/>
    <x v="7"/>
    <x v="7"/>
    <x v="36"/>
    <x v="3"/>
    <x v="2"/>
    <n v="12.520148068999999"/>
  </r>
  <r>
    <x v="0"/>
    <x v="7"/>
    <x v="7"/>
    <x v="37"/>
    <x v="3"/>
    <x v="2"/>
    <n v="24.692556286999999"/>
  </r>
  <r>
    <x v="0"/>
    <x v="7"/>
    <x v="7"/>
    <x v="38"/>
    <x v="3"/>
    <x v="2"/>
    <n v="121.49203419200001"/>
  </r>
  <r>
    <x v="0"/>
    <x v="7"/>
    <x v="7"/>
    <x v="39"/>
    <x v="3"/>
    <x v="2"/>
    <n v="36.961080805000002"/>
  </r>
  <r>
    <x v="0"/>
    <x v="7"/>
    <x v="7"/>
    <x v="40"/>
    <x v="3"/>
    <x v="2"/>
    <n v="10.332913969"/>
  </r>
  <r>
    <x v="0"/>
    <x v="7"/>
    <x v="7"/>
    <x v="41"/>
    <x v="3"/>
    <x v="2"/>
    <n v="228.99961947599999"/>
  </r>
  <r>
    <x v="0"/>
    <x v="7"/>
    <x v="8"/>
    <x v="0"/>
    <x v="3"/>
    <x v="3"/>
    <n v="6.3042575000000003E-2"/>
  </r>
  <r>
    <x v="0"/>
    <x v="7"/>
    <x v="8"/>
    <x v="1"/>
    <x v="3"/>
    <x v="3"/>
    <n v="6.3042575000000003E-2"/>
  </r>
  <r>
    <x v="0"/>
    <x v="7"/>
    <x v="8"/>
    <x v="2"/>
    <x v="3"/>
    <x v="3"/>
    <n v="6.3042575000000003E-2"/>
  </r>
  <r>
    <x v="0"/>
    <x v="7"/>
    <x v="8"/>
    <x v="3"/>
    <x v="3"/>
    <x v="3"/>
    <n v="6.3042575000000003E-2"/>
  </r>
  <r>
    <x v="0"/>
    <x v="7"/>
    <x v="8"/>
    <x v="4"/>
    <x v="3"/>
    <x v="3"/>
    <n v="6.3042575000000003E-2"/>
  </r>
  <r>
    <x v="0"/>
    <x v="7"/>
    <x v="8"/>
    <x v="5"/>
    <x v="3"/>
    <x v="3"/>
    <n v="6.3042575000000003E-2"/>
  </r>
  <r>
    <x v="0"/>
    <x v="7"/>
    <x v="8"/>
    <x v="6"/>
    <x v="3"/>
    <x v="3"/>
    <n v="6.3042575000000003E-2"/>
  </r>
  <r>
    <x v="0"/>
    <x v="7"/>
    <x v="8"/>
    <x v="7"/>
    <x v="3"/>
    <x v="3"/>
    <n v="6.3042575000000003E-2"/>
  </r>
  <r>
    <x v="0"/>
    <x v="7"/>
    <x v="8"/>
    <x v="8"/>
    <x v="3"/>
    <x v="3"/>
    <n v="6.3042575000000003E-2"/>
  </r>
  <r>
    <x v="0"/>
    <x v="7"/>
    <x v="8"/>
    <x v="9"/>
    <x v="3"/>
    <x v="3"/>
    <n v="6.3042575000000003E-2"/>
  </r>
  <r>
    <x v="0"/>
    <x v="7"/>
    <x v="8"/>
    <x v="10"/>
    <x v="3"/>
    <x v="3"/>
    <n v="6.3042575000000003E-2"/>
  </r>
  <r>
    <x v="0"/>
    <x v="7"/>
    <x v="8"/>
    <x v="11"/>
    <x v="3"/>
    <x v="3"/>
    <n v="6.3042575000000003E-2"/>
  </r>
  <r>
    <x v="0"/>
    <x v="7"/>
    <x v="8"/>
    <x v="12"/>
    <x v="3"/>
    <x v="3"/>
    <n v="6.3042575000000003E-2"/>
  </r>
  <r>
    <x v="0"/>
    <x v="7"/>
    <x v="8"/>
    <x v="13"/>
    <x v="3"/>
    <x v="3"/>
    <n v="6.3042575000000003E-2"/>
  </r>
  <r>
    <x v="0"/>
    <x v="7"/>
    <x v="8"/>
    <x v="14"/>
    <x v="3"/>
    <x v="3"/>
    <n v="6.3042575000000003E-2"/>
  </r>
  <r>
    <x v="0"/>
    <x v="7"/>
    <x v="8"/>
    <x v="15"/>
    <x v="3"/>
    <x v="3"/>
    <n v="6.3042575000000003E-2"/>
  </r>
  <r>
    <x v="0"/>
    <x v="7"/>
    <x v="8"/>
    <x v="16"/>
    <x v="3"/>
    <x v="3"/>
    <n v="6.3042575000000003E-2"/>
  </r>
  <r>
    <x v="0"/>
    <x v="7"/>
    <x v="8"/>
    <x v="17"/>
    <x v="3"/>
    <x v="3"/>
    <n v="6.3042575000000003E-2"/>
  </r>
  <r>
    <x v="0"/>
    <x v="7"/>
    <x v="8"/>
    <x v="18"/>
    <x v="3"/>
    <x v="3"/>
    <n v="6.3042575000000003E-2"/>
  </r>
  <r>
    <x v="0"/>
    <x v="7"/>
    <x v="8"/>
    <x v="19"/>
    <x v="3"/>
    <x v="3"/>
    <n v="6.3042575000000003E-2"/>
  </r>
  <r>
    <x v="0"/>
    <x v="7"/>
    <x v="8"/>
    <x v="20"/>
    <x v="3"/>
    <x v="3"/>
    <n v="6.3042575000000003E-2"/>
  </r>
  <r>
    <x v="0"/>
    <x v="7"/>
    <x v="8"/>
    <x v="21"/>
    <x v="3"/>
    <x v="3"/>
    <n v="6.3042575000000003E-2"/>
  </r>
  <r>
    <x v="0"/>
    <x v="7"/>
    <x v="8"/>
    <x v="22"/>
    <x v="3"/>
    <x v="3"/>
    <n v="6.3042575000000003E-2"/>
  </r>
  <r>
    <x v="0"/>
    <x v="7"/>
    <x v="8"/>
    <x v="23"/>
    <x v="3"/>
    <x v="3"/>
    <n v="6.3042575000000003E-2"/>
  </r>
  <r>
    <x v="0"/>
    <x v="7"/>
    <x v="8"/>
    <x v="24"/>
    <x v="3"/>
    <x v="3"/>
    <n v="6.3042575000000003E-2"/>
  </r>
  <r>
    <x v="0"/>
    <x v="7"/>
    <x v="8"/>
    <x v="25"/>
    <x v="3"/>
    <x v="3"/>
    <n v="6.3042575000000003E-2"/>
  </r>
  <r>
    <x v="0"/>
    <x v="7"/>
    <x v="8"/>
    <x v="26"/>
    <x v="3"/>
    <x v="3"/>
    <n v="6.3042575000000003E-2"/>
  </r>
  <r>
    <x v="0"/>
    <x v="7"/>
    <x v="8"/>
    <x v="27"/>
    <x v="3"/>
    <x v="3"/>
    <n v="6.3042575000000003E-2"/>
  </r>
  <r>
    <x v="0"/>
    <x v="7"/>
    <x v="8"/>
    <x v="28"/>
    <x v="3"/>
    <x v="3"/>
    <n v="6.3042575000000003E-2"/>
  </r>
  <r>
    <x v="0"/>
    <x v="7"/>
    <x v="8"/>
    <x v="29"/>
    <x v="3"/>
    <x v="3"/>
    <n v="6.3042575000000003E-2"/>
  </r>
  <r>
    <x v="0"/>
    <x v="7"/>
    <x v="8"/>
    <x v="30"/>
    <x v="3"/>
    <x v="3"/>
    <n v="6.3042575000000003E-2"/>
  </r>
  <r>
    <x v="0"/>
    <x v="7"/>
    <x v="8"/>
    <x v="31"/>
    <x v="3"/>
    <x v="3"/>
    <n v="6.3042575000000003E-2"/>
  </r>
  <r>
    <x v="0"/>
    <x v="7"/>
    <x v="8"/>
    <x v="32"/>
    <x v="3"/>
    <x v="3"/>
    <n v="6.3042575000000003E-2"/>
  </r>
  <r>
    <x v="0"/>
    <x v="7"/>
    <x v="8"/>
    <x v="33"/>
    <x v="3"/>
    <x v="3"/>
    <n v="6.3042575000000003E-2"/>
  </r>
  <r>
    <x v="0"/>
    <x v="7"/>
    <x v="8"/>
    <x v="34"/>
    <x v="3"/>
    <x v="3"/>
    <n v="6.3042575000000003E-2"/>
  </r>
  <r>
    <x v="0"/>
    <x v="7"/>
    <x v="8"/>
    <x v="35"/>
    <x v="3"/>
    <x v="3"/>
    <n v="6.3042575000000003E-2"/>
  </r>
  <r>
    <x v="0"/>
    <x v="7"/>
    <x v="8"/>
    <x v="36"/>
    <x v="3"/>
    <x v="3"/>
    <n v="6.3042575000000003E-2"/>
  </r>
  <r>
    <x v="0"/>
    <x v="7"/>
    <x v="8"/>
    <x v="37"/>
    <x v="3"/>
    <x v="3"/>
    <n v="6.3042575000000003E-2"/>
  </r>
  <r>
    <x v="0"/>
    <x v="7"/>
    <x v="8"/>
    <x v="38"/>
    <x v="3"/>
    <x v="3"/>
    <n v="6.3042575000000003E-2"/>
  </r>
  <r>
    <x v="0"/>
    <x v="7"/>
    <x v="8"/>
    <x v="39"/>
    <x v="3"/>
    <x v="3"/>
    <n v="6.3042575000000003E-2"/>
  </r>
  <r>
    <x v="0"/>
    <x v="7"/>
    <x v="8"/>
    <x v="40"/>
    <x v="3"/>
    <x v="3"/>
    <n v="6.3042575000000003E-2"/>
  </r>
  <r>
    <x v="0"/>
    <x v="7"/>
    <x v="8"/>
    <x v="41"/>
    <x v="3"/>
    <x v="3"/>
    <n v="6.3042575000000003E-2"/>
  </r>
  <r>
    <x v="0"/>
    <x v="7"/>
    <x v="9"/>
    <x v="42"/>
    <x v="4"/>
    <x v="4"/>
    <n v="73.678368367999994"/>
  </r>
  <r>
    <x v="0"/>
    <x v="7"/>
    <x v="9"/>
    <x v="42"/>
    <x v="5"/>
    <x v="4"/>
    <n v="1.0630259310000001"/>
  </r>
  <r>
    <x v="0"/>
    <x v="7"/>
    <x v="9"/>
    <x v="42"/>
    <x v="6"/>
    <x v="4"/>
    <n v="0"/>
  </r>
  <r>
    <x v="0"/>
    <x v="7"/>
    <x v="9"/>
    <x v="42"/>
    <x v="7"/>
    <x v="4"/>
    <n v="0"/>
  </r>
  <r>
    <x v="0"/>
    <x v="7"/>
    <x v="9"/>
    <x v="42"/>
    <x v="8"/>
    <x v="4"/>
    <n v="0"/>
  </r>
  <r>
    <x v="0"/>
    <x v="7"/>
    <x v="9"/>
    <x v="42"/>
    <x v="9"/>
    <x v="4"/>
    <n v="81.326659968000001"/>
  </r>
  <r>
    <x v="0"/>
    <x v="7"/>
    <x v="9"/>
    <x v="42"/>
    <x v="10"/>
    <x v="4"/>
    <n v="2.2810111289999999"/>
  </r>
  <r>
    <x v="0"/>
    <x v="7"/>
    <x v="9"/>
    <x v="42"/>
    <x v="11"/>
    <x v="4"/>
    <n v="13.928787589000001"/>
  </r>
  <r>
    <x v="0"/>
    <x v="7"/>
    <x v="9"/>
    <x v="42"/>
    <x v="12"/>
    <x v="4"/>
    <n v="1.9685599009999999"/>
  </r>
  <r>
    <x v="0"/>
    <x v="7"/>
    <x v="9"/>
    <x v="42"/>
    <x v="13"/>
    <x v="4"/>
    <n v="3.1647884940000002"/>
  </r>
  <r>
    <x v="0"/>
    <x v="7"/>
    <x v="9"/>
    <x v="42"/>
    <x v="14"/>
    <x v="4"/>
    <n v="2.512019027"/>
  </r>
  <r>
    <x v="0"/>
    <x v="7"/>
    <x v="9"/>
    <x v="42"/>
    <x v="15"/>
    <x v="4"/>
    <n v="11.08631636"/>
  </r>
  <r>
    <x v="0"/>
    <x v="7"/>
    <x v="9"/>
    <x v="42"/>
    <x v="16"/>
    <x v="4"/>
    <n v="1.484760428"/>
  </r>
  <r>
    <x v="0"/>
    <x v="7"/>
    <x v="9"/>
    <x v="42"/>
    <x v="17"/>
    <x v="4"/>
    <n v="0"/>
  </r>
  <r>
    <x v="0"/>
    <x v="7"/>
    <x v="9"/>
    <x v="42"/>
    <x v="18"/>
    <x v="4"/>
    <n v="0.91449345299999996"/>
  </r>
  <r>
    <x v="0"/>
    <x v="7"/>
    <x v="9"/>
    <x v="42"/>
    <x v="19"/>
    <x v="4"/>
    <n v="0.47957408000000001"/>
  </r>
  <r>
    <x v="0"/>
    <x v="7"/>
    <x v="9"/>
    <x v="42"/>
    <x v="20"/>
    <x v="4"/>
    <n v="0.122384624"/>
  </r>
  <r>
    <x v="0"/>
    <x v="7"/>
    <x v="9"/>
    <x v="42"/>
    <x v="21"/>
    <x v="4"/>
    <n v="8.2727566530000001"/>
  </r>
  <r>
    <x v="0"/>
    <x v="7"/>
    <x v="9"/>
    <x v="42"/>
    <x v="22"/>
    <x v="4"/>
    <n v="8.8103599399999997"/>
  </r>
  <r>
    <x v="0"/>
    <x v="7"/>
    <x v="9"/>
    <x v="42"/>
    <x v="23"/>
    <x v="4"/>
    <n v="8.3436704349999999"/>
  </r>
  <r>
    <x v="0"/>
    <x v="7"/>
    <x v="9"/>
    <x v="42"/>
    <x v="24"/>
    <x v="4"/>
    <n v="0.59674076399999998"/>
  </r>
  <r>
    <x v="0"/>
    <x v="7"/>
    <x v="9"/>
    <x v="42"/>
    <x v="25"/>
    <x v="4"/>
    <n v="0.61266250200000005"/>
  </r>
  <r>
    <x v="0"/>
    <x v="7"/>
    <x v="9"/>
    <x v="42"/>
    <x v="26"/>
    <x v="4"/>
    <n v="0"/>
  </r>
  <r>
    <x v="0"/>
    <x v="7"/>
    <x v="9"/>
    <x v="42"/>
    <x v="27"/>
    <x v="4"/>
    <n v="0"/>
  </r>
  <r>
    <x v="0"/>
    <x v="7"/>
    <x v="9"/>
    <x v="42"/>
    <x v="28"/>
    <x v="4"/>
    <n v="7.7505259679999998"/>
  </r>
  <r>
    <x v="0"/>
    <x v="7"/>
    <x v="9"/>
    <x v="42"/>
    <x v="29"/>
    <x v="4"/>
    <n v="1.07796724"/>
  </r>
  <r>
    <x v="0"/>
    <x v="7"/>
    <x v="9"/>
    <x v="42"/>
    <x v="30"/>
    <x v="4"/>
    <n v="0.43167272000000001"/>
  </r>
  <r>
    <x v="0"/>
    <x v="7"/>
    <x v="9"/>
    <x v="42"/>
    <x v="31"/>
    <x v="4"/>
    <n v="0"/>
  </r>
  <r>
    <x v="0"/>
    <x v="7"/>
    <x v="9"/>
    <x v="42"/>
    <x v="32"/>
    <x v="4"/>
    <n v="32.066289087000001"/>
  </r>
  <r>
    <x v="0"/>
    <x v="7"/>
    <x v="9"/>
    <x v="42"/>
    <x v="33"/>
    <x v="4"/>
    <n v="10.53784821"/>
  </r>
  <r>
    <x v="0"/>
    <x v="7"/>
    <x v="9"/>
    <x v="42"/>
    <x v="34"/>
    <x v="4"/>
    <n v="2.6668859E-2"/>
  </r>
  <r>
    <x v="0"/>
    <x v="7"/>
    <x v="9"/>
    <x v="42"/>
    <x v="35"/>
    <x v="4"/>
    <n v="16.274869283000001"/>
  </r>
  <r>
    <x v="0"/>
    <x v="7"/>
    <x v="9"/>
    <x v="42"/>
    <x v="36"/>
    <x v="4"/>
    <n v="20.913021127"/>
  </r>
  <r>
    <x v="0"/>
    <x v="7"/>
    <x v="9"/>
    <x v="42"/>
    <x v="37"/>
    <x v="4"/>
    <n v="151.75886249000001"/>
  </r>
  <r>
    <x v="0"/>
    <x v="7"/>
    <x v="9"/>
    <x v="42"/>
    <x v="38"/>
    <x v="4"/>
    <n v="0.38532647199999998"/>
  </r>
  <r>
    <x v="0"/>
    <x v="7"/>
    <x v="9"/>
    <x v="42"/>
    <x v="39"/>
    <x v="4"/>
    <n v="0.16465682200000001"/>
  </r>
  <r>
    <x v="0"/>
    <x v="7"/>
    <x v="9"/>
    <x v="42"/>
    <x v="40"/>
    <x v="4"/>
    <n v="0.19913172800000001"/>
  </r>
  <r>
    <x v="0"/>
    <x v="7"/>
    <x v="9"/>
    <x v="42"/>
    <x v="41"/>
    <x v="4"/>
    <n v="1.6755384449999999"/>
  </r>
  <r>
    <x v="0"/>
    <x v="7"/>
    <x v="9"/>
    <x v="42"/>
    <x v="42"/>
    <x v="4"/>
    <n v="-6.0382169890000004"/>
  </r>
  <r>
    <x v="0"/>
    <x v="7"/>
    <x v="9"/>
    <x v="42"/>
    <x v="43"/>
    <x v="4"/>
    <n v="-2.7791054879999999"/>
  </r>
  <r>
    <x v="0"/>
    <x v="7"/>
    <x v="9"/>
    <x v="42"/>
    <x v="44"/>
    <x v="4"/>
    <n v="1.749431942"/>
  </r>
  <r>
    <x v="0"/>
    <x v="7"/>
    <x v="9"/>
    <x v="42"/>
    <x v="45"/>
    <x v="4"/>
    <n v="-0.13825726199999999"/>
  </r>
  <r>
    <x v="0"/>
    <x v="7"/>
    <x v="10"/>
    <x v="42"/>
    <x v="0"/>
    <x v="4"/>
    <n v="0.50374916999999997"/>
  </r>
  <r>
    <x v="0"/>
    <x v="7"/>
    <x v="11"/>
    <x v="42"/>
    <x v="0"/>
    <x v="4"/>
    <n v="12.403538165000001"/>
  </r>
  <r>
    <x v="0"/>
    <x v="7"/>
    <x v="9"/>
    <x v="43"/>
    <x v="4"/>
    <x v="4"/>
    <n v="133.569509458"/>
  </r>
  <r>
    <x v="0"/>
    <x v="7"/>
    <x v="9"/>
    <x v="43"/>
    <x v="5"/>
    <x v="4"/>
    <n v="0.68432020800000004"/>
  </r>
  <r>
    <x v="0"/>
    <x v="7"/>
    <x v="9"/>
    <x v="43"/>
    <x v="6"/>
    <x v="4"/>
    <n v="0"/>
  </r>
  <r>
    <x v="0"/>
    <x v="7"/>
    <x v="9"/>
    <x v="43"/>
    <x v="7"/>
    <x v="4"/>
    <n v="0"/>
  </r>
  <r>
    <x v="0"/>
    <x v="7"/>
    <x v="9"/>
    <x v="43"/>
    <x v="8"/>
    <x v="4"/>
    <n v="0"/>
  </r>
  <r>
    <x v="0"/>
    <x v="7"/>
    <x v="9"/>
    <x v="43"/>
    <x v="9"/>
    <x v="4"/>
    <n v="301.51092531500001"/>
  </r>
  <r>
    <x v="0"/>
    <x v="7"/>
    <x v="9"/>
    <x v="43"/>
    <x v="10"/>
    <x v="4"/>
    <n v="3.010179779"/>
  </r>
  <r>
    <x v="0"/>
    <x v="7"/>
    <x v="9"/>
    <x v="43"/>
    <x v="11"/>
    <x v="4"/>
    <n v="59.251822208999997"/>
  </r>
  <r>
    <x v="0"/>
    <x v="7"/>
    <x v="9"/>
    <x v="43"/>
    <x v="12"/>
    <x v="4"/>
    <n v="5.5360431889999999"/>
  </r>
  <r>
    <x v="0"/>
    <x v="7"/>
    <x v="9"/>
    <x v="43"/>
    <x v="13"/>
    <x v="4"/>
    <n v="10.424654689"/>
  </r>
  <r>
    <x v="0"/>
    <x v="7"/>
    <x v="9"/>
    <x v="43"/>
    <x v="14"/>
    <x v="4"/>
    <n v="20.449725931"/>
  </r>
  <r>
    <x v="0"/>
    <x v="7"/>
    <x v="9"/>
    <x v="43"/>
    <x v="15"/>
    <x v="4"/>
    <n v="40.810098533999998"/>
  </r>
  <r>
    <x v="0"/>
    <x v="7"/>
    <x v="9"/>
    <x v="43"/>
    <x v="16"/>
    <x v="4"/>
    <n v="2.7304909309999998"/>
  </r>
  <r>
    <x v="0"/>
    <x v="7"/>
    <x v="9"/>
    <x v="43"/>
    <x v="17"/>
    <x v="4"/>
    <n v="0"/>
  </r>
  <r>
    <x v="0"/>
    <x v="7"/>
    <x v="9"/>
    <x v="43"/>
    <x v="18"/>
    <x v="4"/>
    <n v="3.236958295"/>
  </r>
  <r>
    <x v="0"/>
    <x v="7"/>
    <x v="9"/>
    <x v="43"/>
    <x v="19"/>
    <x v="4"/>
    <n v="0.87364374099999997"/>
  </r>
  <r>
    <x v="0"/>
    <x v="7"/>
    <x v="9"/>
    <x v="43"/>
    <x v="20"/>
    <x v="4"/>
    <n v="0.86738800100000002"/>
  </r>
  <r>
    <x v="0"/>
    <x v="7"/>
    <x v="9"/>
    <x v="43"/>
    <x v="21"/>
    <x v="4"/>
    <n v="49.049443887999999"/>
  </r>
  <r>
    <x v="0"/>
    <x v="7"/>
    <x v="9"/>
    <x v="43"/>
    <x v="22"/>
    <x v="4"/>
    <n v="21.624916888000001"/>
  </r>
  <r>
    <x v="0"/>
    <x v="7"/>
    <x v="9"/>
    <x v="43"/>
    <x v="23"/>
    <x v="4"/>
    <n v="24.060224654999999"/>
  </r>
  <r>
    <x v="0"/>
    <x v="7"/>
    <x v="9"/>
    <x v="43"/>
    <x v="24"/>
    <x v="4"/>
    <n v="1.170327678"/>
  </r>
  <r>
    <x v="0"/>
    <x v="7"/>
    <x v="9"/>
    <x v="43"/>
    <x v="25"/>
    <x v="4"/>
    <n v="1.0829454679999999"/>
  </r>
  <r>
    <x v="0"/>
    <x v="7"/>
    <x v="9"/>
    <x v="43"/>
    <x v="26"/>
    <x v="4"/>
    <n v="0"/>
  </r>
  <r>
    <x v="0"/>
    <x v="7"/>
    <x v="9"/>
    <x v="43"/>
    <x v="27"/>
    <x v="4"/>
    <n v="0"/>
  </r>
  <r>
    <x v="0"/>
    <x v="7"/>
    <x v="9"/>
    <x v="43"/>
    <x v="28"/>
    <x v="4"/>
    <n v="12.412524097"/>
  </r>
  <r>
    <x v="0"/>
    <x v="7"/>
    <x v="9"/>
    <x v="43"/>
    <x v="29"/>
    <x v="4"/>
    <n v="10.364870238"/>
  </r>
  <r>
    <x v="0"/>
    <x v="7"/>
    <x v="9"/>
    <x v="43"/>
    <x v="30"/>
    <x v="4"/>
    <n v="0.45990175"/>
  </r>
  <r>
    <x v="0"/>
    <x v="7"/>
    <x v="9"/>
    <x v="43"/>
    <x v="31"/>
    <x v="4"/>
    <n v="0"/>
  </r>
  <r>
    <x v="0"/>
    <x v="7"/>
    <x v="9"/>
    <x v="43"/>
    <x v="32"/>
    <x v="4"/>
    <n v="53.199544003"/>
  </r>
  <r>
    <x v="0"/>
    <x v="7"/>
    <x v="9"/>
    <x v="43"/>
    <x v="33"/>
    <x v="4"/>
    <n v="17.51750676"/>
  </r>
  <r>
    <x v="0"/>
    <x v="7"/>
    <x v="9"/>
    <x v="43"/>
    <x v="34"/>
    <x v="4"/>
    <n v="-16.189311140000001"/>
  </r>
  <r>
    <x v="0"/>
    <x v="7"/>
    <x v="9"/>
    <x v="43"/>
    <x v="35"/>
    <x v="4"/>
    <n v="35.139425754999998"/>
  </r>
  <r>
    <x v="0"/>
    <x v="7"/>
    <x v="9"/>
    <x v="43"/>
    <x v="36"/>
    <x v="4"/>
    <n v="64.897509522999997"/>
  </r>
  <r>
    <x v="0"/>
    <x v="7"/>
    <x v="9"/>
    <x v="43"/>
    <x v="37"/>
    <x v="4"/>
    <n v="308.6312777"/>
  </r>
  <r>
    <x v="0"/>
    <x v="7"/>
    <x v="9"/>
    <x v="43"/>
    <x v="38"/>
    <x v="4"/>
    <n v="1.8501369729999999"/>
  </r>
  <r>
    <x v="0"/>
    <x v="7"/>
    <x v="9"/>
    <x v="43"/>
    <x v="39"/>
    <x v="4"/>
    <n v="6.7573457000000003E-2"/>
  </r>
  <r>
    <x v="0"/>
    <x v="7"/>
    <x v="9"/>
    <x v="43"/>
    <x v="40"/>
    <x v="4"/>
    <n v="-0.64849929699999997"/>
  </r>
  <r>
    <x v="0"/>
    <x v="7"/>
    <x v="9"/>
    <x v="43"/>
    <x v="41"/>
    <x v="4"/>
    <n v="-9.6999037900000005"/>
  </r>
  <r>
    <x v="0"/>
    <x v="7"/>
    <x v="9"/>
    <x v="43"/>
    <x v="42"/>
    <x v="4"/>
    <n v="-28.662843428999999"/>
  </r>
  <r>
    <x v="0"/>
    <x v="7"/>
    <x v="9"/>
    <x v="43"/>
    <x v="43"/>
    <x v="4"/>
    <n v="-24.065948178999999"/>
  </r>
  <r>
    <x v="0"/>
    <x v="7"/>
    <x v="9"/>
    <x v="43"/>
    <x v="44"/>
    <x v="4"/>
    <n v="0.73361167699999996"/>
  </r>
  <r>
    <x v="0"/>
    <x v="7"/>
    <x v="9"/>
    <x v="43"/>
    <x v="45"/>
    <x v="4"/>
    <n v="-1.8371848740000001"/>
  </r>
  <r>
    <x v="0"/>
    <x v="7"/>
    <x v="10"/>
    <x v="43"/>
    <x v="0"/>
    <x v="4"/>
    <n v="1.670360804"/>
  </r>
  <r>
    <x v="0"/>
    <x v="7"/>
    <x v="11"/>
    <x v="43"/>
    <x v="0"/>
    <x v="4"/>
    <n v="43.911440472999999"/>
  </r>
  <r>
    <x v="0"/>
    <x v="7"/>
    <x v="12"/>
    <x v="0"/>
    <x v="0"/>
    <x v="0"/>
    <n v="669.23185315700005"/>
  </r>
  <r>
    <x v="0"/>
    <x v="7"/>
    <x v="13"/>
    <x v="0"/>
    <x v="0"/>
    <x v="0"/>
    <n v="302.56071625700002"/>
  </r>
  <r>
    <x v="0"/>
    <x v="7"/>
    <x v="14"/>
    <x v="0"/>
    <x v="0"/>
    <x v="0"/>
    <n v="0.87179417400000003"/>
  </r>
  <r>
    <x v="0"/>
    <x v="7"/>
    <x v="15"/>
    <x v="0"/>
    <x v="0"/>
    <x v="1"/>
    <n v="9.2981285999999996E-2"/>
  </r>
  <r>
    <x v="0"/>
    <x v="7"/>
    <x v="16"/>
    <x v="0"/>
    <x v="0"/>
    <x v="1"/>
    <n v="9.9781756999999999E-2"/>
  </r>
  <r>
    <x v="0"/>
    <x v="7"/>
    <x v="12"/>
    <x v="1"/>
    <x v="0"/>
    <x v="0"/>
    <n v="211.883970089"/>
  </r>
  <r>
    <x v="0"/>
    <x v="7"/>
    <x v="13"/>
    <x v="1"/>
    <x v="0"/>
    <x v="0"/>
    <n v="37.140685458999997"/>
  </r>
  <r>
    <x v="0"/>
    <x v="7"/>
    <x v="14"/>
    <x v="1"/>
    <x v="0"/>
    <x v="0"/>
    <n v="0.28517785299999998"/>
  </r>
  <r>
    <x v="0"/>
    <x v="7"/>
    <x v="15"/>
    <x v="1"/>
    <x v="0"/>
    <x v="1"/>
    <n v="5.3107882000000002E-2"/>
  </r>
  <r>
    <x v="0"/>
    <x v="7"/>
    <x v="16"/>
    <x v="1"/>
    <x v="0"/>
    <x v="1"/>
    <n v="5.4367611000000003E-2"/>
  </r>
  <r>
    <x v="0"/>
    <x v="7"/>
    <x v="12"/>
    <x v="2"/>
    <x v="0"/>
    <x v="0"/>
    <n v="263.09800800300002"/>
  </r>
  <r>
    <x v="0"/>
    <x v="7"/>
    <x v="13"/>
    <x v="2"/>
    <x v="0"/>
    <x v="0"/>
    <n v="95.664533415999998"/>
  </r>
  <r>
    <x v="0"/>
    <x v="7"/>
    <x v="14"/>
    <x v="2"/>
    <x v="0"/>
    <x v="0"/>
    <n v="2.167040745"/>
  </r>
  <r>
    <x v="0"/>
    <x v="7"/>
    <x v="15"/>
    <x v="2"/>
    <x v="0"/>
    <x v="1"/>
    <n v="3.2677513999999998E-2"/>
  </r>
  <r>
    <x v="0"/>
    <x v="7"/>
    <x v="16"/>
    <x v="2"/>
    <x v="0"/>
    <x v="1"/>
    <n v="3.0642597000000001E-2"/>
  </r>
  <r>
    <x v="0"/>
    <x v="7"/>
    <x v="12"/>
    <x v="3"/>
    <x v="0"/>
    <x v="0"/>
    <n v="123.07012205300001"/>
  </r>
  <r>
    <x v="0"/>
    <x v="7"/>
    <x v="13"/>
    <x v="3"/>
    <x v="0"/>
    <x v="0"/>
    <n v="79.736700768000006"/>
  </r>
  <r>
    <x v="0"/>
    <x v="7"/>
    <x v="14"/>
    <x v="3"/>
    <x v="0"/>
    <x v="0"/>
    <n v="0.28007558199999999"/>
  </r>
  <r>
    <x v="0"/>
    <x v="7"/>
    <x v="15"/>
    <x v="3"/>
    <x v="0"/>
    <x v="1"/>
    <n v="4.1106792000000003E-2"/>
  </r>
  <r>
    <x v="0"/>
    <x v="7"/>
    <x v="16"/>
    <x v="3"/>
    <x v="0"/>
    <x v="1"/>
    <n v="4.2427299000000002E-2"/>
  </r>
  <r>
    <x v="0"/>
    <x v="7"/>
    <x v="12"/>
    <x v="4"/>
    <x v="0"/>
    <x v="0"/>
    <n v="56.424648443000002"/>
  </r>
  <r>
    <x v="0"/>
    <x v="7"/>
    <x v="13"/>
    <x v="4"/>
    <x v="0"/>
    <x v="0"/>
    <n v="6.7230535549999999"/>
  </r>
  <r>
    <x v="0"/>
    <x v="7"/>
    <x v="14"/>
    <x v="4"/>
    <x v="0"/>
    <x v="0"/>
    <n v="0.46216964999999999"/>
  </r>
  <r>
    <x v="0"/>
    <x v="7"/>
    <x v="15"/>
    <x v="4"/>
    <x v="0"/>
    <x v="1"/>
    <n v="4.8235113000000003E-2"/>
  </r>
  <r>
    <x v="0"/>
    <x v="7"/>
    <x v="16"/>
    <x v="4"/>
    <x v="0"/>
    <x v="1"/>
    <n v="4.8856754000000002E-2"/>
  </r>
  <r>
    <x v="0"/>
    <x v="7"/>
    <x v="12"/>
    <x v="5"/>
    <x v="0"/>
    <x v="0"/>
    <n v="540.65586195799995"/>
  </r>
  <r>
    <x v="0"/>
    <x v="7"/>
    <x v="13"/>
    <x v="5"/>
    <x v="0"/>
    <x v="0"/>
    <n v="154.473531116"/>
  </r>
  <r>
    <x v="0"/>
    <x v="7"/>
    <x v="14"/>
    <x v="5"/>
    <x v="0"/>
    <x v="0"/>
    <n v="4.6310686619999997"/>
  </r>
  <r>
    <x v="0"/>
    <x v="7"/>
    <x v="15"/>
    <x v="5"/>
    <x v="0"/>
    <x v="1"/>
    <n v="6.9812187999999997E-2"/>
  </r>
  <r>
    <x v="0"/>
    <x v="7"/>
    <x v="16"/>
    <x v="5"/>
    <x v="0"/>
    <x v="1"/>
    <n v="7.2553800000000002E-2"/>
  </r>
  <r>
    <x v="0"/>
    <x v="7"/>
    <x v="12"/>
    <x v="6"/>
    <x v="0"/>
    <x v="0"/>
    <n v="161.926621971"/>
  </r>
  <r>
    <x v="0"/>
    <x v="7"/>
    <x v="13"/>
    <x v="6"/>
    <x v="0"/>
    <x v="0"/>
    <n v="23.072239019000001"/>
  </r>
  <r>
    <x v="0"/>
    <x v="7"/>
    <x v="14"/>
    <x v="6"/>
    <x v="0"/>
    <x v="0"/>
    <n v="8.4802915510000005"/>
  </r>
  <r>
    <x v="0"/>
    <x v="7"/>
    <x v="15"/>
    <x v="6"/>
    <x v="0"/>
    <x v="1"/>
    <n v="6.3348165999999997E-2"/>
  </r>
  <r>
    <x v="0"/>
    <x v="7"/>
    <x v="16"/>
    <x v="6"/>
    <x v="0"/>
    <x v="1"/>
    <n v="6.4536093000000003E-2"/>
  </r>
  <r>
    <x v="0"/>
    <x v="7"/>
    <x v="12"/>
    <x v="7"/>
    <x v="0"/>
    <x v="0"/>
    <n v="91.167823924999993"/>
  </r>
  <r>
    <x v="0"/>
    <x v="7"/>
    <x v="13"/>
    <x v="7"/>
    <x v="0"/>
    <x v="0"/>
    <n v="37.659157833999998"/>
  </r>
  <r>
    <x v="0"/>
    <x v="7"/>
    <x v="14"/>
    <x v="7"/>
    <x v="0"/>
    <x v="0"/>
    <n v="17.764780256000002"/>
  </r>
  <r>
    <x v="0"/>
    <x v="7"/>
    <x v="15"/>
    <x v="7"/>
    <x v="0"/>
    <x v="1"/>
    <n v="6.5034562000000004E-2"/>
  </r>
  <r>
    <x v="0"/>
    <x v="7"/>
    <x v="16"/>
    <x v="7"/>
    <x v="0"/>
    <x v="1"/>
    <n v="6.8555821000000003E-2"/>
  </r>
  <r>
    <x v="0"/>
    <x v="7"/>
    <x v="12"/>
    <x v="8"/>
    <x v="0"/>
    <x v="0"/>
    <n v="75.424014335999999"/>
  </r>
  <r>
    <x v="0"/>
    <x v="7"/>
    <x v="13"/>
    <x v="8"/>
    <x v="0"/>
    <x v="0"/>
    <n v="10.678616047"/>
  </r>
  <r>
    <x v="0"/>
    <x v="7"/>
    <x v="14"/>
    <x v="8"/>
    <x v="0"/>
    <x v="0"/>
    <n v="6.8989925359999997"/>
  </r>
  <r>
    <x v="0"/>
    <x v="7"/>
    <x v="15"/>
    <x v="8"/>
    <x v="0"/>
    <x v="1"/>
    <n v="5.8929671000000003E-2"/>
  </r>
  <r>
    <x v="0"/>
    <x v="7"/>
    <x v="16"/>
    <x v="8"/>
    <x v="0"/>
    <x v="1"/>
    <n v="6.0000418E-2"/>
  </r>
  <r>
    <x v="0"/>
    <x v="7"/>
    <x v="12"/>
    <x v="9"/>
    <x v="0"/>
    <x v="0"/>
    <n v="186.81381500200001"/>
  </r>
  <r>
    <x v="0"/>
    <x v="7"/>
    <x v="13"/>
    <x v="9"/>
    <x v="0"/>
    <x v="0"/>
    <n v="35.278162979999998"/>
  </r>
  <r>
    <x v="0"/>
    <x v="7"/>
    <x v="14"/>
    <x v="9"/>
    <x v="0"/>
    <x v="0"/>
    <n v="15.838358573000001"/>
  </r>
  <r>
    <x v="0"/>
    <x v="7"/>
    <x v="15"/>
    <x v="9"/>
    <x v="0"/>
    <x v="1"/>
    <n v="5.1930260999999998E-2"/>
  </r>
  <r>
    <x v="0"/>
    <x v="7"/>
    <x v="16"/>
    <x v="9"/>
    <x v="0"/>
    <x v="1"/>
    <n v="5.3022674999999998E-2"/>
  </r>
  <r>
    <x v="0"/>
    <x v="7"/>
    <x v="12"/>
    <x v="10"/>
    <x v="0"/>
    <x v="0"/>
    <n v="311.488299993"/>
  </r>
  <r>
    <x v="0"/>
    <x v="7"/>
    <x v="13"/>
    <x v="10"/>
    <x v="0"/>
    <x v="0"/>
    <n v="33.925161093"/>
  </r>
  <r>
    <x v="0"/>
    <x v="7"/>
    <x v="14"/>
    <x v="10"/>
    <x v="0"/>
    <x v="0"/>
    <n v="6.2180321709999999"/>
  </r>
  <r>
    <x v="0"/>
    <x v="7"/>
    <x v="15"/>
    <x v="10"/>
    <x v="0"/>
    <x v="1"/>
    <n v="3.6623625E-2"/>
  </r>
  <r>
    <x v="0"/>
    <x v="7"/>
    <x v="16"/>
    <x v="10"/>
    <x v="0"/>
    <x v="1"/>
    <n v="3.6534918E-2"/>
  </r>
  <r>
    <x v="0"/>
    <x v="7"/>
    <x v="12"/>
    <x v="11"/>
    <x v="0"/>
    <x v="0"/>
    <n v="788.37551997399999"/>
  </r>
  <r>
    <x v="0"/>
    <x v="7"/>
    <x v="13"/>
    <x v="11"/>
    <x v="0"/>
    <x v="0"/>
    <n v="191.06351898099999"/>
  </r>
  <r>
    <x v="0"/>
    <x v="7"/>
    <x v="14"/>
    <x v="11"/>
    <x v="0"/>
    <x v="0"/>
    <n v="34.030449031000003"/>
  </r>
  <r>
    <x v="0"/>
    <x v="7"/>
    <x v="15"/>
    <x v="11"/>
    <x v="0"/>
    <x v="1"/>
    <n v="4.4809081000000001E-2"/>
  </r>
  <r>
    <x v="0"/>
    <x v="7"/>
    <x v="16"/>
    <x v="11"/>
    <x v="0"/>
    <x v="1"/>
    <n v="4.5602121000000002E-2"/>
  </r>
  <r>
    <x v="0"/>
    <x v="7"/>
    <x v="12"/>
    <x v="12"/>
    <x v="0"/>
    <x v="0"/>
    <n v="229.45599988000001"/>
  </r>
  <r>
    <x v="0"/>
    <x v="7"/>
    <x v="13"/>
    <x v="12"/>
    <x v="0"/>
    <x v="0"/>
    <n v="8.1404210890000002"/>
  </r>
  <r>
    <x v="0"/>
    <x v="7"/>
    <x v="14"/>
    <x v="12"/>
    <x v="0"/>
    <x v="0"/>
    <n v="7.8461770189999998"/>
  </r>
  <r>
    <x v="0"/>
    <x v="7"/>
    <x v="15"/>
    <x v="12"/>
    <x v="0"/>
    <x v="1"/>
    <n v="4.6036685000000001E-2"/>
  </r>
  <r>
    <x v="0"/>
    <x v="7"/>
    <x v="16"/>
    <x v="12"/>
    <x v="0"/>
    <x v="1"/>
    <n v="4.6171816999999997E-2"/>
  </r>
  <r>
    <x v="0"/>
    <x v="7"/>
    <x v="12"/>
    <x v="13"/>
    <x v="0"/>
    <x v="0"/>
    <n v="629.482702539"/>
  </r>
  <r>
    <x v="0"/>
    <x v="7"/>
    <x v="13"/>
    <x v="13"/>
    <x v="0"/>
    <x v="0"/>
    <n v="78.563937828999997"/>
  </r>
  <r>
    <x v="0"/>
    <x v="7"/>
    <x v="14"/>
    <x v="13"/>
    <x v="0"/>
    <x v="0"/>
    <n v="19.623902462"/>
  </r>
  <r>
    <x v="0"/>
    <x v="7"/>
    <x v="15"/>
    <x v="13"/>
    <x v="0"/>
    <x v="1"/>
    <n v="3.7431434E-2"/>
  </r>
  <r>
    <x v="0"/>
    <x v="7"/>
    <x v="16"/>
    <x v="13"/>
    <x v="0"/>
    <x v="1"/>
    <n v="3.7390320999999997E-2"/>
  </r>
  <r>
    <x v="0"/>
    <x v="7"/>
    <x v="12"/>
    <x v="14"/>
    <x v="0"/>
    <x v="0"/>
    <n v="158.825949399"/>
  </r>
  <r>
    <x v="0"/>
    <x v="7"/>
    <x v="13"/>
    <x v="14"/>
    <x v="0"/>
    <x v="0"/>
    <n v="10.444272940999999"/>
  </r>
  <r>
    <x v="0"/>
    <x v="7"/>
    <x v="14"/>
    <x v="14"/>
    <x v="0"/>
    <x v="0"/>
    <n v="14.304675142000001"/>
  </r>
  <r>
    <x v="0"/>
    <x v="7"/>
    <x v="15"/>
    <x v="14"/>
    <x v="0"/>
    <x v="1"/>
    <n v="4.3871238999999999E-2"/>
  </r>
  <r>
    <x v="0"/>
    <x v="7"/>
    <x v="16"/>
    <x v="14"/>
    <x v="0"/>
    <x v="1"/>
    <n v="4.4058068999999998E-2"/>
  </r>
  <r>
    <x v="0"/>
    <x v="7"/>
    <x v="12"/>
    <x v="15"/>
    <x v="0"/>
    <x v="0"/>
    <n v="165.17259434900001"/>
  </r>
  <r>
    <x v="0"/>
    <x v="7"/>
    <x v="13"/>
    <x v="15"/>
    <x v="0"/>
    <x v="0"/>
    <n v="67.742800342999999"/>
  </r>
  <r>
    <x v="0"/>
    <x v="7"/>
    <x v="14"/>
    <x v="15"/>
    <x v="0"/>
    <x v="0"/>
    <n v="20.307789753000002"/>
  </r>
  <r>
    <x v="0"/>
    <x v="7"/>
    <x v="15"/>
    <x v="15"/>
    <x v="0"/>
    <x v="1"/>
    <n v="4.6478213999999997E-2"/>
  </r>
  <r>
    <x v="0"/>
    <x v="7"/>
    <x v="16"/>
    <x v="15"/>
    <x v="0"/>
    <x v="1"/>
    <n v="4.8091144000000002E-2"/>
  </r>
  <r>
    <x v="0"/>
    <x v="7"/>
    <x v="12"/>
    <x v="16"/>
    <x v="0"/>
    <x v="0"/>
    <n v="105.02739291"/>
  </r>
  <r>
    <x v="0"/>
    <x v="7"/>
    <x v="13"/>
    <x v="16"/>
    <x v="0"/>
    <x v="0"/>
    <n v="58.091091945999999"/>
  </r>
  <r>
    <x v="0"/>
    <x v="7"/>
    <x v="14"/>
    <x v="16"/>
    <x v="0"/>
    <x v="0"/>
    <n v="9.5352692220000002"/>
  </r>
  <r>
    <x v="0"/>
    <x v="7"/>
    <x v="15"/>
    <x v="16"/>
    <x v="0"/>
    <x v="1"/>
    <n v="4.8325567E-2"/>
  </r>
  <r>
    <x v="0"/>
    <x v="7"/>
    <x v="16"/>
    <x v="16"/>
    <x v="0"/>
    <x v="1"/>
    <n v="5.0837842000000001E-2"/>
  </r>
  <r>
    <x v="0"/>
    <x v="7"/>
    <x v="12"/>
    <x v="17"/>
    <x v="0"/>
    <x v="0"/>
    <n v="256.726097788"/>
  </r>
  <r>
    <x v="0"/>
    <x v="7"/>
    <x v="13"/>
    <x v="17"/>
    <x v="0"/>
    <x v="0"/>
    <n v="96.671320429000005"/>
  </r>
  <r>
    <x v="0"/>
    <x v="7"/>
    <x v="14"/>
    <x v="17"/>
    <x v="0"/>
    <x v="0"/>
    <n v="15.749853172"/>
  </r>
  <r>
    <x v="0"/>
    <x v="7"/>
    <x v="15"/>
    <x v="17"/>
    <x v="0"/>
    <x v="1"/>
    <n v="4.8697393999999998E-2"/>
  </r>
  <r>
    <x v="0"/>
    <x v="7"/>
    <x v="16"/>
    <x v="17"/>
    <x v="0"/>
    <x v="1"/>
    <n v="5.0448184E-2"/>
  </r>
  <r>
    <x v="0"/>
    <x v="7"/>
    <x v="12"/>
    <x v="18"/>
    <x v="0"/>
    <x v="0"/>
    <n v="202.962382846"/>
  </r>
  <r>
    <x v="0"/>
    <x v="7"/>
    <x v="13"/>
    <x v="18"/>
    <x v="0"/>
    <x v="0"/>
    <n v="52.62549353"/>
  </r>
  <r>
    <x v="0"/>
    <x v="7"/>
    <x v="14"/>
    <x v="18"/>
    <x v="0"/>
    <x v="0"/>
    <n v="34.904217267"/>
  </r>
  <r>
    <x v="0"/>
    <x v="7"/>
    <x v="15"/>
    <x v="18"/>
    <x v="0"/>
    <x v="1"/>
    <n v="4.4064792999999998E-2"/>
  </r>
  <r>
    <x v="0"/>
    <x v="7"/>
    <x v="16"/>
    <x v="18"/>
    <x v="0"/>
    <x v="1"/>
    <n v="4.4817105000000003E-2"/>
  </r>
  <r>
    <x v="0"/>
    <x v="7"/>
    <x v="12"/>
    <x v="19"/>
    <x v="0"/>
    <x v="0"/>
    <n v="189.56535177500001"/>
  </r>
  <r>
    <x v="0"/>
    <x v="7"/>
    <x v="13"/>
    <x v="19"/>
    <x v="0"/>
    <x v="0"/>
    <n v="271.33097768099998"/>
  </r>
  <r>
    <x v="0"/>
    <x v="7"/>
    <x v="14"/>
    <x v="19"/>
    <x v="0"/>
    <x v="0"/>
    <n v="88.950321275999997"/>
  </r>
  <r>
    <x v="0"/>
    <x v="7"/>
    <x v="15"/>
    <x v="19"/>
    <x v="0"/>
    <x v="1"/>
    <n v="4.3793618999999999E-2"/>
  </r>
  <r>
    <x v="0"/>
    <x v="7"/>
    <x v="16"/>
    <x v="19"/>
    <x v="0"/>
    <x v="1"/>
    <n v="4.7891380999999997E-2"/>
  </r>
  <r>
    <x v="0"/>
    <x v="7"/>
    <x v="12"/>
    <x v="20"/>
    <x v="0"/>
    <x v="0"/>
    <n v="29.196264511999999"/>
  </r>
  <r>
    <x v="0"/>
    <x v="7"/>
    <x v="13"/>
    <x v="20"/>
    <x v="0"/>
    <x v="0"/>
    <n v="37.039432376999997"/>
  </r>
  <r>
    <x v="0"/>
    <x v="7"/>
    <x v="14"/>
    <x v="20"/>
    <x v="0"/>
    <x v="0"/>
    <n v="6.8552066199999997"/>
  </r>
  <r>
    <x v="0"/>
    <x v="7"/>
    <x v="15"/>
    <x v="20"/>
    <x v="0"/>
    <x v="1"/>
    <n v="4.2435661E-2"/>
  </r>
  <r>
    <x v="0"/>
    <x v="7"/>
    <x v="16"/>
    <x v="20"/>
    <x v="0"/>
    <x v="1"/>
    <n v="4.5552241E-2"/>
  </r>
  <r>
    <x v="0"/>
    <x v="7"/>
    <x v="12"/>
    <x v="21"/>
    <x v="0"/>
    <x v="0"/>
    <n v="13.706755951"/>
  </r>
  <r>
    <x v="0"/>
    <x v="7"/>
    <x v="13"/>
    <x v="21"/>
    <x v="0"/>
    <x v="0"/>
    <n v="0.89480344499999998"/>
  </r>
  <r>
    <x v="0"/>
    <x v="7"/>
    <x v="14"/>
    <x v="21"/>
    <x v="0"/>
    <x v="0"/>
    <n v="1.2354154580000001"/>
  </r>
  <r>
    <x v="0"/>
    <x v="7"/>
    <x v="15"/>
    <x v="21"/>
    <x v="0"/>
    <x v="1"/>
    <n v="5.4942706000000001E-2"/>
  </r>
  <r>
    <x v="0"/>
    <x v="7"/>
    <x v="16"/>
    <x v="21"/>
    <x v="0"/>
    <x v="1"/>
    <n v="5.5368678999999997E-2"/>
  </r>
  <r>
    <x v="0"/>
    <x v="7"/>
    <x v="12"/>
    <x v="22"/>
    <x v="0"/>
    <x v="0"/>
    <n v="74.647157676000006"/>
  </r>
  <r>
    <x v="0"/>
    <x v="7"/>
    <x v="13"/>
    <x v="22"/>
    <x v="0"/>
    <x v="0"/>
    <n v="1.3337239380000001"/>
  </r>
  <r>
    <x v="0"/>
    <x v="7"/>
    <x v="14"/>
    <x v="22"/>
    <x v="0"/>
    <x v="0"/>
    <n v="4.2405621680000003"/>
  </r>
  <r>
    <x v="0"/>
    <x v="7"/>
    <x v="15"/>
    <x v="22"/>
    <x v="0"/>
    <x v="1"/>
    <n v="1.108138E-2"/>
  </r>
  <r>
    <x v="0"/>
    <x v="7"/>
    <x v="16"/>
    <x v="22"/>
    <x v="0"/>
    <x v="1"/>
    <n v="9.3825409999999995E-3"/>
  </r>
  <r>
    <x v="0"/>
    <x v="7"/>
    <x v="12"/>
    <x v="23"/>
    <x v="0"/>
    <x v="0"/>
    <n v="6.9197802780000002"/>
  </r>
  <r>
    <x v="0"/>
    <x v="7"/>
    <x v="13"/>
    <x v="23"/>
    <x v="0"/>
    <x v="0"/>
    <n v="0"/>
  </r>
  <r>
    <x v="0"/>
    <x v="7"/>
    <x v="14"/>
    <x v="23"/>
    <x v="0"/>
    <x v="0"/>
    <n v="0"/>
  </r>
  <r>
    <x v="0"/>
    <x v="7"/>
    <x v="15"/>
    <x v="23"/>
    <x v="0"/>
    <x v="1"/>
    <n v="5.2672482E-2"/>
  </r>
  <r>
    <x v="0"/>
    <x v="7"/>
    <x v="16"/>
    <x v="23"/>
    <x v="0"/>
    <x v="1"/>
    <n v="5.2672482E-2"/>
  </r>
  <r>
    <x v="0"/>
    <x v="7"/>
    <x v="12"/>
    <x v="24"/>
    <x v="0"/>
    <x v="0"/>
    <n v="365.85774313100001"/>
  </r>
  <r>
    <x v="0"/>
    <x v="7"/>
    <x v="13"/>
    <x v="24"/>
    <x v="0"/>
    <x v="0"/>
    <n v="0.29965396"/>
  </r>
  <r>
    <x v="0"/>
    <x v="7"/>
    <x v="14"/>
    <x v="24"/>
    <x v="0"/>
    <x v="0"/>
    <n v="0.33464480800000002"/>
  </r>
  <r>
    <x v="0"/>
    <x v="7"/>
    <x v="15"/>
    <x v="24"/>
    <x v="0"/>
    <x v="1"/>
    <n v="4.0752579999999997E-2"/>
  </r>
  <r>
    <x v="0"/>
    <x v="7"/>
    <x v="16"/>
    <x v="24"/>
    <x v="0"/>
    <x v="1"/>
    <n v="4.0753786E-2"/>
  </r>
  <r>
    <x v="0"/>
    <x v="7"/>
    <x v="12"/>
    <x v="25"/>
    <x v="0"/>
    <x v="0"/>
    <n v="19.93439322"/>
  </r>
  <r>
    <x v="0"/>
    <x v="7"/>
    <x v="13"/>
    <x v="25"/>
    <x v="0"/>
    <x v="0"/>
    <n v="1.8300000000000001E-7"/>
  </r>
  <r>
    <x v="0"/>
    <x v="7"/>
    <x v="14"/>
    <x v="25"/>
    <x v="0"/>
    <x v="0"/>
    <n v="0"/>
  </r>
  <r>
    <x v="0"/>
    <x v="7"/>
    <x v="15"/>
    <x v="25"/>
    <x v="0"/>
    <x v="1"/>
    <n v="3.6588257999999999E-2"/>
  </r>
  <r>
    <x v="0"/>
    <x v="7"/>
    <x v="16"/>
    <x v="25"/>
    <x v="0"/>
    <x v="1"/>
    <n v="3.6588257999999999E-2"/>
  </r>
  <r>
    <x v="0"/>
    <x v="7"/>
    <x v="12"/>
    <x v="26"/>
    <x v="0"/>
    <x v="0"/>
    <n v="8.9031775470000003"/>
  </r>
  <r>
    <x v="0"/>
    <x v="7"/>
    <x v="13"/>
    <x v="26"/>
    <x v="0"/>
    <x v="0"/>
    <n v="0"/>
  </r>
  <r>
    <x v="0"/>
    <x v="7"/>
    <x v="14"/>
    <x v="26"/>
    <x v="0"/>
    <x v="0"/>
    <n v="0"/>
  </r>
  <r>
    <x v="0"/>
    <x v="7"/>
    <x v="15"/>
    <x v="26"/>
    <x v="0"/>
    <x v="1"/>
    <n v="5.2652419999999998E-2"/>
  </r>
  <r>
    <x v="0"/>
    <x v="7"/>
    <x v="16"/>
    <x v="26"/>
    <x v="0"/>
    <x v="1"/>
    <n v="5.2652419999999998E-2"/>
  </r>
  <r>
    <x v="0"/>
    <x v="7"/>
    <x v="12"/>
    <x v="27"/>
    <x v="0"/>
    <x v="0"/>
    <n v="441.84624201100002"/>
  </r>
  <r>
    <x v="0"/>
    <x v="7"/>
    <x v="13"/>
    <x v="27"/>
    <x v="0"/>
    <x v="0"/>
    <n v="5.2005800500000001"/>
  </r>
  <r>
    <x v="0"/>
    <x v="7"/>
    <x v="14"/>
    <x v="27"/>
    <x v="0"/>
    <x v="0"/>
    <n v="1.5422544929999999"/>
  </r>
  <r>
    <x v="0"/>
    <x v="7"/>
    <x v="15"/>
    <x v="27"/>
    <x v="0"/>
    <x v="1"/>
    <n v="6.0006385000000002E-2"/>
  </r>
  <r>
    <x v="0"/>
    <x v="7"/>
    <x v="16"/>
    <x v="27"/>
    <x v="0"/>
    <x v="1"/>
    <n v="6.0100868000000002E-2"/>
  </r>
  <r>
    <x v="0"/>
    <x v="7"/>
    <x v="12"/>
    <x v="28"/>
    <x v="0"/>
    <x v="0"/>
    <n v="489.84245456100001"/>
  </r>
  <r>
    <x v="0"/>
    <x v="7"/>
    <x v="13"/>
    <x v="28"/>
    <x v="0"/>
    <x v="0"/>
    <n v="0"/>
  </r>
  <r>
    <x v="0"/>
    <x v="7"/>
    <x v="14"/>
    <x v="28"/>
    <x v="0"/>
    <x v="0"/>
    <n v="60.995557574000003"/>
  </r>
  <r>
    <x v="0"/>
    <x v="7"/>
    <x v="15"/>
    <x v="28"/>
    <x v="0"/>
    <x v="1"/>
    <n v="4.235763E-2"/>
  </r>
  <r>
    <x v="0"/>
    <x v="7"/>
    <x v="16"/>
    <x v="28"/>
    <x v="0"/>
    <x v="1"/>
    <n v="4.235763E-2"/>
  </r>
  <r>
    <x v="0"/>
    <x v="7"/>
    <x v="12"/>
    <x v="29"/>
    <x v="0"/>
    <x v="0"/>
    <n v="436.51251006699999"/>
  </r>
  <r>
    <x v="0"/>
    <x v="7"/>
    <x v="13"/>
    <x v="29"/>
    <x v="0"/>
    <x v="0"/>
    <n v="54.477994815000002"/>
  </r>
  <r>
    <x v="0"/>
    <x v="7"/>
    <x v="14"/>
    <x v="29"/>
    <x v="0"/>
    <x v="0"/>
    <n v="20.775889961000001"/>
  </r>
  <r>
    <x v="0"/>
    <x v="7"/>
    <x v="15"/>
    <x v="29"/>
    <x v="0"/>
    <x v="1"/>
    <n v="4.6659166000000002E-2"/>
  </r>
  <r>
    <x v="0"/>
    <x v="7"/>
    <x v="16"/>
    <x v="29"/>
    <x v="0"/>
    <x v="1"/>
    <n v="4.7203406000000003E-2"/>
  </r>
  <r>
    <x v="0"/>
    <x v="7"/>
    <x v="12"/>
    <x v="30"/>
    <x v="0"/>
    <x v="0"/>
    <n v="103.96277354"/>
  </r>
  <r>
    <x v="0"/>
    <x v="7"/>
    <x v="13"/>
    <x v="30"/>
    <x v="0"/>
    <x v="0"/>
    <n v="33.989866399"/>
  </r>
  <r>
    <x v="0"/>
    <x v="7"/>
    <x v="14"/>
    <x v="30"/>
    <x v="0"/>
    <x v="0"/>
    <n v="0.80558331800000005"/>
  </r>
  <r>
    <x v="0"/>
    <x v="7"/>
    <x v="15"/>
    <x v="30"/>
    <x v="0"/>
    <x v="1"/>
    <n v="7.2163438999999996E-2"/>
  </r>
  <r>
    <x v="0"/>
    <x v="7"/>
    <x v="16"/>
    <x v="30"/>
    <x v="0"/>
    <x v="1"/>
    <n v="7.5747377000000005E-2"/>
  </r>
  <r>
    <x v="0"/>
    <x v="7"/>
    <x v="12"/>
    <x v="31"/>
    <x v="0"/>
    <x v="0"/>
    <n v="166.003550346"/>
  </r>
  <r>
    <x v="0"/>
    <x v="7"/>
    <x v="13"/>
    <x v="31"/>
    <x v="0"/>
    <x v="0"/>
    <n v="7.9957492200000004"/>
  </r>
  <r>
    <x v="0"/>
    <x v="7"/>
    <x v="14"/>
    <x v="31"/>
    <x v="0"/>
    <x v="0"/>
    <n v="5.7924311980000001"/>
  </r>
  <r>
    <x v="0"/>
    <x v="7"/>
    <x v="15"/>
    <x v="31"/>
    <x v="0"/>
    <x v="1"/>
    <n v="3.7781623E-2"/>
  </r>
  <r>
    <x v="0"/>
    <x v="7"/>
    <x v="16"/>
    <x v="31"/>
    <x v="0"/>
    <x v="1"/>
    <n v="3.7774596000000001E-2"/>
  </r>
  <r>
    <x v="0"/>
    <x v="7"/>
    <x v="12"/>
    <x v="32"/>
    <x v="0"/>
    <x v="0"/>
    <n v="577.10269759599998"/>
  </r>
  <r>
    <x v="0"/>
    <x v="7"/>
    <x v="13"/>
    <x v="32"/>
    <x v="0"/>
    <x v="0"/>
    <n v="4.4741981470000001"/>
  </r>
  <r>
    <x v="0"/>
    <x v="7"/>
    <x v="14"/>
    <x v="32"/>
    <x v="0"/>
    <x v="0"/>
    <n v="2.7334839870000001"/>
  </r>
  <r>
    <x v="0"/>
    <x v="7"/>
    <x v="15"/>
    <x v="32"/>
    <x v="0"/>
    <x v="1"/>
    <n v="3.7123191E-2"/>
  </r>
  <r>
    <x v="0"/>
    <x v="7"/>
    <x v="16"/>
    <x v="32"/>
    <x v="0"/>
    <x v="1"/>
    <n v="3.7118215000000003E-2"/>
  </r>
  <r>
    <x v="0"/>
    <x v="7"/>
    <x v="12"/>
    <x v="33"/>
    <x v="0"/>
    <x v="0"/>
    <n v="559.95272947800004"/>
  </r>
  <r>
    <x v="0"/>
    <x v="7"/>
    <x v="13"/>
    <x v="33"/>
    <x v="0"/>
    <x v="0"/>
    <n v="0"/>
  </r>
  <r>
    <x v="0"/>
    <x v="7"/>
    <x v="14"/>
    <x v="33"/>
    <x v="0"/>
    <x v="0"/>
    <n v="0"/>
  </r>
  <r>
    <x v="0"/>
    <x v="7"/>
    <x v="15"/>
    <x v="33"/>
    <x v="0"/>
    <x v="1"/>
    <n v="2.2927177999999999E-2"/>
  </r>
  <r>
    <x v="0"/>
    <x v="7"/>
    <x v="16"/>
    <x v="33"/>
    <x v="0"/>
    <x v="1"/>
    <n v="2.2927177999999999E-2"/>
  </r>
  <r>
    <x v="0"/>
    <x v="7"/>
    <x v="12"/>
    <x v="34"/>
    <x v="0"/>
    <x v="0"/>
    <n v="260.98392738299998"/>
  </r>
  <r>
    <x v="0"/>
    <x v="7"/>
    <x v="13"/>
    <x v="34"/>
    <x v="0"/>
    <x v="0"/>
    <n v="57.657452036999999"/>
  </r>
  <r>
    <x v="0"/>
    <x v="7"/>
    <x v="14"/>
    <x v="34"/>
    <x v="0"/>
    <x v="0"/>
    <n v="13.432611743000001"/>
  </r>
  <r>
    <x v="0"/>
    <x v="7"/>
    <x v="15"/>
    <x v="34"/>
    <x v="0"/>
    <x v="1"/>
    <n v="4.9536451000000002E-2"/>
  </r>
  <r>
    <x v="0"/>
    <x v="7"/>
    <x v="16"/>
    <x v="34"/>
    <x v="0"/>
    <x v="1"/>
    <n v="5.0712781999999998E-2"/>
  </r>
  <r>
    <x v="0"/>
    <x v="7"/>
    <x v="12"/>
    <x v="35"/>
    <x v="0"/>
    <x v="0"/>
    <n v="199.50858763900001"/>
  </r>
  <r>
    <x v="0"/>
    <x v="7"/>
    <x v="13"/>
    <x v="35"/>
    <x v="0"/>
    <x v="0"/>
    <n v="5.6661637010000003"/>
  </r>
  <r>
    <x v="0"/>
    <x v="7"/>
    <x v="14"/>
    <x v="35"/>
    <x v="0"/>
    <x v="0"/>
    <n v="8.0727957000000003E-2"/>
  </r>
  <r>
    <x v="0"/>
    <x v="7"/>
    <x v="15"/>
    <x v="35"/>
    <x v="0"/>
    <x v="1"/>
    <n v="5.3576331999999997E-2"/>
  </r>
  <r>
    <x v="0"/>
    <x v="7"/>
    <x v="16"/>
    <x v="35"/>
    <x v="0"/>
    <x v="1"/>
    <n v="5.3768561999999999E-2"/>
  </r>
  <r>
    <x v="0"/>
    <x v="7"/>
    <x v="12"/>
    <x v="36"/>
    <x v="0"/>
    <x v="0"/>
    <n v="57.195214131999997"/>
  </r>
  <r>
    <x v="0"/>
    <x v="7"/>
    <x v="13"/>
    <x v="36"/>
    <x v="0"/>
    <x v="0"/>
    <n v="11.033390816000001"/>
  </r>
  <r>
    <x v="0"/>
    <x v="7"/>
    <x v="14"/>
    <x v="36"/>
    <x v="0"/>
    <x v="0"/>
    <n v="0.31676250299999997"/>
  </r>
  <r>
    <x v="0"/>
    <x v="7"/>
    <x v="15"/>
    <x v="36"/>
    <x v="0"/>
    <x v="1"/>
    <n v="6.0685466E-2"/>
  </r>
  <r>
    <x v="0"/>
    <x v="7"/>
    <x v="16"/>
    <x v="36"/>
    <x v="0"/>
    <x v="1"/>
    <n v="6.2388333999999997E-2"/>
  </r>
  <r>
    <x v="0"/>
    <x v="7"/>
    <x v="12"/>
    <x v="37"/>
    <x v="0"/>
    <x v="0"/>
    <n v="75.827342931000004"/>
  </r>
  <r>
    <x v="0"/>
    <x v="7"/>
    <x v="13"/>
    <x v="37"/>
    <x v="0"/>
    <x v="0"/>
    <n v="3.013557445"/>
  </r>
  <r>
    <x v="0"/>
    <x v="7"/>
    <x v="14"/>
    <x v="37"/>
    <x v="0"/>
    <x v="0"/>
    <n v="0.219818975"/>
  </r>
  <r>
    <x v="0"/>
    <x v="7"/>
    <x v="15"/>
    <x v="37"/>
    <x v="0"/>
    <x v="1"/>
    <n v="6.6491281999999999E-2"/>
  </r>
  <r>
    <x v="0"/>
    <x v="7"/>
    <x v="16"/>
    <x v="37"/>
    <x v="0"/>
    <x v="1"/>
    <n v="6.6926542000000006E-2"/>
  </r>
  <r>
    <x v="0"/>
    <x v="7"/>
    <x v="12"/>
    <x v="38"/>
    <x v="0"/>
    <x v="0"/>
    <n v="188.49086372599999"/>
  </r>
  <r>
    <x v="0"/>
    <x v="7"/>
    <x v="13"/>
    <x v="38"/>
    <x v="0"/>
    <x v="0"/>
    <n v="11.261787197"/>
  </r>
  <r>
    <x v="0"/>
    <x v="7"/>
    <x v="14"/>
    <x v="38"/>
    <x v="0"/>
    <x v="0"/>
    <n v="6.8381602E-2"/>
  </r>
  <r>
    <x v="0"/>
    <x v="7"/>
    <x v="15"/>
    <x v="38"/>
    <x v="0"/>
    <x v="1"/>
    <n v="9.6810644000000001E-2"/>
  </r>
  <r>
    <x v="0"/>
    <x v="7"/>
    <x v="16"/>
    <x v="38"/>
    <x v="0"/>
    <x v="1"/>
    <n v="9.7889498000000005E-2"/>
  </r>
  <r>
    <x v="0"/>
    <x v="7"/>
    <x v="12"/>
    <x v="39"/>
    <x v="0"/>
    <x v="0"/>
    <n v="95.845796359999994"/>
  </r>
  <r>
    <x v="0"/>
    <x v="7"/>
    <x v="13"/>
    <x v="39"/>
    <x v="0"/>
    <x v="0"/>
    <n v="4.2127198659999996"/>
  </r>
  <r>
    <x v="0"/>
    <x v="7"/>
    <x v="14"/>
    <x v="39"/>
    <x v="0"/>
    <x v="0"/>
    <n v="6.6885354999999994E-2"/>
  </r>
  <r>
    <x v="0"/>
    <x v="7"/>
    <x v="15"/>
    <x v="39"/>
    <x v="0"/>
    <x v="1"/>
    <n v="7.8721162999999997E-2"/>
  </r>
  <r>
    <x v="0"/>
    <x v="7"/>
    <x v="16"/>
    <x v="39"/>
    <x v="0"/>
    <x v="1"/>
    <n v="7.9269223999999999E-2"/>
  </r>
  <r>
    <x v="0"/>
    <x v="7"/>
    <x v="12"/>
    <x v="40"/>
    <x v="0"/>
    <x v="0"/>
    <n v="42.569273088999999"/>
  </r>
  <r>
    <x v="0"/>
    <x v="7"/>
    <x v="13"/>
    <x v="40"/>
    <x v="0"/>
    <x v="0"/>
    <n v="29.565555573000001"/>
  </r>
  <r>
    <x v="0"/>
    <x v="7"/>
    <x v="14"/>
    <x v="40"/>
    <x v="0"/>
    <x v="0"/>
    <n v="1.47824512"/>
  </r>
  <r>
    <x v="0"/>
    <x v="7"/>
    <x v="15"/>
    <x v="40"/>
    <x v="0"/>
    <x v="1"/>
    <n v="5.4956072000000002E-2"/>
  </r>
  <r>
    <x v="0"/>
    <x v="7"/>
    <x v="16"/>
    <x v="40"/>
    <x v="0"/>
    <x v="1"/>
    <n v="6.0186987999999997E-2"/>
  </r>
  <r>
    <x v="0"/>
    <x v="7"/>
    <x v="12"/>
    <x v="41"/>
    <x v="0"/>
    <x v="0"/>
    <n v="417.61731575599998"/>
  </r>
  <r>
    <x v="0"/>
    <x v="7"/>
    <x v="13"/>
    <x v="41"/>
    <x v="0"/>
    <x v="0"/>
    <n v="9.3417764689999991"/>
  </r>
  <r>
    <x v="0"/>
    <x v="7"/>
    <x v="14"/>
    <x v="41"/>
    <x v="0"/>
    <x v="0"/>
    <n v="0.11949839299999999"/>
  </r>
  <r>
    <x v="0"/>
    <x v="7"/>
    <x v="15"/>
    <x v="41"/>
    <x v="0"/>
    <x v="1"/>
    <n v="9.2954299000000004E-2"/>
  </r>
  <r>
    <x v="0"/>
    <x v="7"/>
    <x v="16"/>
    <x v="41"/>
    <x v="0"/>
    <x v="1"/>
    <n v="9.3311465999999996E-2"/>
  </r>
  <r>
    <x v="0"/>
    <x v="7"/>
    <x v="17"/>
    <x v="0"/>
    <x v="46"/>
    <x v="1"/>
    <n v="66.838769279999994"/>
  </r>
  <r>
    <x v="0"/>
    <x v="7"/>
    <x v="17"/>
    <x v="0"/>
    <x v="47"/>
    <x v="1"/>
    <n v="66.838769279999994"/>
  </r>
  <r>
    <x v="0"/>
    <x v="7"/>
    <x v="17"/>
    <x v="0"/>
    <x v="48"/>
    <x v="1"/>
    <n v="66.838769279999994"/>
  </r>
  <r>
    <x v="0"/>
    <x v="7"/>
    <x v="17"/>
    <x v="0"/>
    <x v="49"/>
    <x v="1"/>
    <n v="0"/>
  </r>
  <r>
    <x v="0"/>
    <x v="7"/>
    <x v="17"/>
    <x v="0"/>
    <x v="50"/>
    <x v="1"/>
    <n v="0"/>
  </r>
  <r>
    <x v="0"/>
    <x v="7"/>
    <x v="17"/>
    <x v="0"/>
    <x v="51"/>
    <x v="1"/>
    <n v="0"/>
  </r>
  <r>
    <x v="0"/>
    <x v="7"/>
    <x v="17"/>
    <x v="0"/>
    <x v="52"/>
    <x v="1"/>
    <n v="0"/>
  </r>
  <r>
    <x v="0"/>
    <x v="7"/>
    <x v="17"/>
    <x v="0"/>
    <x v="53"/>
    <x v="1"/>
    <n v="0"/>
  </r>
  <r>
    <x v="0"/>
    <x v="7"/>
    <x v="17"/>
    <x v="0"/>
    <x v="54"/>
    <x v="1"/>
    <n v="0"/>
  </r>
  <r>
    <x v="0"/>
    <x v="7"/>
    <x v="17"/>
    <x v="0"/>
    <x v="55"/>
    <x v="1"/>
    <n v="0"/>
  </r>
  <r>
    <x v="0"/>
    <x v="7"/>
    <x v="17"/>
    <x v="1"/>
    <x v="46"/>
    <x v="1"/>
    <n v="11.533673279"/>
  </r>
  <r>
    <x v="0"/>
    <x v="7"/>
    <x v="17"/>
    <x v="1"/>
    <x v="47"/>
    <x v="1"/>
    <n v="11.533673279"/>
  </r>
  <r>
    <x v="0"/>
    <x v="7"/>
    <x v="17"/>
    <x v="1"/>
    <x v="48"/>
    <x v="1"/>
    <n v="11.533673279"/>
  </r>
  <r>
    <x v="0"/>
    <x v="7"/>
    <x v="17"/>
    <x v="1"/>
    <x v="49"/>
    <x v="1"/>
    <n v="0"/>
  </r>
  <r>
    <x v="0"/>
    <x v="7"/>
    <x v="17"/>
    <x v="1"/>
    <x v="50"/>
    <x v="1"/>
    <n v="0"/>
  </r>
  <r>
    <x v="0"/>
    <x v="7"/>
    <x v="17"/>
    <x v="1"/>
    <x v="51"/>
    <x v="1"/>
    <n v="0"/>
  </r>
  <r>
    <x v="0"/>
    <x v="7"/>
    <x v="17"/>
    <x v="1"/>
    <x v="52"/>
    <x v="1"/>
    <n v="0"/>
  </r>
  <r>
    <x v="0"/>
    <x v="7"/>
    <x v="17"/>
    <x v="1"/>
    <x v="53"/>
    <x v="1"/>
    <n v="0"/>
  </r>
  <r>
    <x v="0"/>
    <x v="7"/>
    <x v="17"/>
    <x v="1"/>
    <x v="54"/>
    <x v="1"/>
    <n v="0"/>
  </r>
  <r>
    <x v="0"/>
    <x v="7"/>
    <x v="17"/>
    <x v="1"/>
    <x v="55"/>
    <x v="1"/>
    <n v="0"/>
  </r>
  <r>
    <x v="0"/>
    <x v="7"/>
    <x v="17"/>
    <x v="2"/>
    <x v="46"/>
    <x v="1"/>
    <n v="8.1362543570000003"/>
  </r>
  <r>
    <x v="0"/>
    <x v="7"/>
    <x v="17"/>
    <x v="2"/>
    <x v="47"/>
    <x v="1"/>
    <n v="8.1362543570000003"/>
  </r>
  <r>
    <x v="0"/>
    <x v="7"/>
    <x v="17"/>
    <x v="2"/>
    <x v="48"/>
    <x v="1"/>
    <n v="8.1362543570000003"/>
  </r>
  <r>
    <x v="0"/>
    <x v="7"/>
    <x v="17"/>
    <x v="2"/>
    <x v="49"/>
    <x v="1"/>
    <n v="0"/>
  </r>
  <r>
    <x v="0"/>
    <x v="7"/>
    <x v="17"/>
    <x v="2"/>
    <x v="50"/>
    <x v="1"/>
    <n v="0"/>
  </r>
  <r>
    <x v="0"/>
    <x v="7"/>
    <x v="17"/>
    <x v="2"/>
    <x v="51"/>
    <x v="1"/>
    <n v="0"/>
  </r>
  <r>
    <x v="0"/>
    <x v="7"/>
    <x v="17"/>
    <x v="2"/>
    <x v="52"/>
    <x v="1"/>
    <n v="0"/>
  </r>
  <r>
    <x v="0"/>
    <x v="7"/>
    <x v="17"/>
    <x v="2"/>
    <x v="53"/>
    <x v="1"/>
    <n v="0"/>
  </r>
  <r>
    <x v="0"/>
    <x v="7"/>
    <x v="17"/>
    <x v="2"/>
    <x v="54"/>
    <x v="1"/>
    <n v="0"/>
  </r>
  <r>
    <x v="0"/>
    <x v="7"/>
    <x v="17"/>
    <x v="2"/>
    <x v="55"/>
    <x v="1"/>
    <n v="0"/>
  </r>
  <r>
    <x v="0"/>
    <x v="7"/>
    <x v="17"/>
    <x v="3"/>
    <x v="46"/>
    <x v="1"/>
    <n v="5.2338534240000003"/>
  </r>
  <r>
    <x v="0"/>
    <x v="7"/>
    <x v="17"/>
    <x v="3"/>
    <x v="47"/>
    <x v="1"/>
    <n v="5.2338534240000003"/>
  </r>
  <r>
    <x v="0"/>
    <x v="7"/>
    <x v="17"/>
    <x v="3"/>
    <x v="48"/>
    <x v="1"/>
    <n v="5.2338534240000003"/>
  </r>
  <r>
    <x v="0"/>
    <x v="7"/>
    <x v="17"/>
    <x v="3"/>
    <x v="49"/>
    <x v="1"/>
    <n v="0"/>
  </r>
  <r>
    <x v="0"/>
    <x v="7"/>
    <x v="17"/>
    <x v="3"/>
    <x v="50"/>
    <x v="1"/>
    <n v="0"/>
  </r>
  <r>
    <x v="0"/>
    <x v="7"/>
    <x v="17"/>
    <x v="3"/>
    <x v="51"/>
    <x v="1"/>
    <n v="0"/>
  </r>
  <r>
    <x v="0"/>
    <x v="7"/>
    <x v="17"/>
    <x v="3"/>
    <x v="52"/>
    <x v="1"/>
    <n v="0"/>
  </r>
  <r>
    <x v="0"/>
    <x v="7"/>
    <x v="17"/>
    <x v="3"/>
    <x v="53"/>
    <x v="1"/>
    <n v="0"/>
  </r>
  <r>
    <x v="0"/>
    <x v="7"/>
    <x v="17"/>
    <x v="3"/>
    <x v="54"/>
    <x v="1"/>
    <n v="0"/>
  </r>
  <r>
    <x v="0"/>
    <x v="7"/>
    <x v="17"/>
    <x v="3"/>
    <x v="55"/>
    <x v="1"/>
    <n v="0"/>
  </r>
  <r>
    <x v="0"/>
    <x v="7"/>
    <x v="17"/>
    <x v="4"/>
    <x v="46"/>
    <x v="1"/>
    <n v="2.7781646769999999"/>
  </r>
  <r>
    <x v="0"/>
    <x v="7"/>
    <x v="17"/>
    <x v="4"/>
    <x v="47"/>
    <x v="1"/>
    <n v="2.7781646769999999"/>
  </r>
  <r>
    <x v="0"/>
    <x v="7"/>
    <x v="17"/>
    <x v="4"/>
    <x v="48"/>
    <x v="1"/>
    <n v="2.7781646769999999"/>
  </r>
  <r>
    <x v="0"/>
    <x v="7"/>
    <x v="17"/>
    <x v="4"/>
    <x v="49"/>
    <x v="1"/>
    <n v="0"/>
  </r>
  <r>
    <x v="0"/>
    <x v="7"/>
    <x v="17"/>
    <x v="4"/>
    <x v="50"/>
    <x v="1"/>
    <n v="0"/>
  </r>
  <r>
    <x v="0"/>
    <x v="7"/>
    <x v="17"/>
    <x v="4"/>
    <x v="51"/>
    <x v="1"/>
    <n v="0"/>
  </r>
  <r>
    <x v="0"/>
    <x v="7"/>
    <x v="17"/>
    <x v="4"/>
    <x v="52"/>
    <x v="1"/>
    <n v="0"/>
  </r>
  <r>
    <x v="0"/>
    <x v="7"/>
    <x v="17"/>
    <x v="4"/>
    <x v="53"/>
    <x v="1"/>
    <n v="0"/>
  </r>
  <r>
    <x v="0"/>
    <x v="7"/>
    <x v="17"/>
    <x v="4"/>
    <x v="54"/>
    <x v="1"/>
    <n v="0"/>
  </r>
  <r>
    <x v="0"/>
    <x v="7"/>
    <x v="17"/>
    <x v="4"/>
    <x v="55"/>
    <x v="1"/>
    <n v="0"/>
  </r>
  <r>
    <x v="0"/>
    <x v="7"/>
    <x v="17"/>
    <x v="5"/>
    <x v="46"/>
    <x v="1"/>
    <n v="39.493442340000001"/>
  </r>
  <r>
    <x v="0"/>
    <x v="7"/>
    <x v="17"/>
    <x v="5"/>
    <x v="47"/>
    <x v="1"/>
    <n v="39.493442340000001"/>
  </r>
  <r>
    <x v="0"/>
    <x v="7"/>
    <x v="17"/>
    <x v="5"/>
    <x v="48"/>
    <x v="1"/>
    <n v="39.493442340000001"/>
  </r>
  <r>
    <x v="0"/>
    <x v="7"/>
    <x v="17"/>
    <x v="5"/>
    <x v="49"/>
    <x v="1"/>
    <n v="0"/>
  </r>
  <r>
    <x v="0"/>
    <x v="7"/>
    <x v="17"/>
    <x v="5"/>
    <x v="50"/>
    <x v="1"/>
    <n v="0"/>
  </r>
  <r>
    <x v="0"/>
    <x v="7"/>
    <x v="17"/>
    <x v="5"/>
    <x v="51"/>
    <x v="1"/>
    <n v="0"/>
  </r>
  <r>
    <x v="0"/>
    <x v="7"/>
    <x v="17"/>
    <x v="5"/>
    <x v="52"/>
    <x v="1"/>
    <n v="0"/>
  </r>
  <r>
    <x v="0"/>
    <x v="7"/>
    <x v="17"/>
    <x v="5"/>
    <x v="53"/>
    <x v="1"/>
    <n v="0"/>
  </r>
  <r>
    <x v="0"/>
    <x v="7"/>
    <x v="17"/>
    <x v="5"/>
    <x v="54"/>
    <x v="1"/>
    <n v="0"/>
  </r>
  <r>
    <x v="0"/>
    <x v="7"/>
    <x v="17"/>
    <x v="5"/>
    <x v="55"/>
    <x v="1"/>
    <n v="0"/>
  </r>
  <r>
    <x v="0"/>
    <x v="7"/>
    <x v="17"/>
    <x v="6"/>
    <x v="46"/>
    <x v="1"/>
    <n v="10.935129925"/>
  </r>
  <r>
    <x v="0"/>
    <x v="7"/>
    <x v="17"/>
    <x v="6"/>
    <x v="47"/>
    <x v="1"/>
    <n v="10.935129925"/>
  </r>
  <r>
    <x v="0"/>
    <x v="7"/>
    <x v="17"/>
    <x v="6"/>
    <x v="48"/>
    <x v="1"/>
    <n v="10.935129925"/>
  </r>
  <r>
    <x v="0"/>
    <x v="7"/>
    <x v="17"/>
    <x v="6"/>
    <x v="49"/>
    <x v="1"/>
    <n v="0"/>
  </r>
  <r>
    <x v="0"/>
    <x v="7"/>
    <x v="17"/>
    <x v="6"/>
    <x v="50"/>
    <x v="1"/>
    <n v="0"/>
  </r>
  <r>
    <x v="0"/>
    <x v="7"/>
    <x v="17"/>
    <x v="6"/>
    <x v="51"/>
    <x v="1"/>
    <n v="0"/>
  </r>
  <r>
    <x v="0"/>
    <x v="7"/>
    <x v="17"/>
    <x v="6"/>
    <x v="52"/>
    <x v="1"/>
    <n v="0"/>
  </r>
  <r>
    <x v="0"/>
    <x v="7"/>
    <x v="17"/>
    <x v="6"/>
    <x v="53"/>
    <x v="1"/>
    <n v="0"/>
  </r>
  <r>
    <x v="0"/>
    <x v="7"/>
    <x v="17"/>
    <x v="6"/>
    <x v="54"/>
    <x v="1"/>
    <n v="0"/>
  </r>
  <r>
    <x v="0"/>
    <x v="7"/>
    <x v="17"/>
    <x v="6"/>
    <x v="55"/>
    <x v="1"/>
    <n v="0"/>
  </r>
  <r>
    <x v="0"/>
    <x v="7"/>
    <x v="17"/>
    <x v="7"/>
    <x v="46"/>
    <x v="1"/>
    <n v="7.2697516520000001"/>
  </r>
  <r>
    <x v="0"/>
    <x v="7"/>
    <x v="17"/>
    <x v="7"/>
    <x v="47"/>
    <x v="1"/>
    <n v="7.2697516520000001"/>
  </r>
  <r>
    <x v="0"/>
    <x v="7"/>
    <x v="17"/>
    <x v="7"/>
    <x v="48"/>
    <x v="1"/>
    <n v="7.2697516520000001"/>
  </r>
  <r>
    <x v="0"/>
    <x v="7"/>
    <x v="17"/>
    <x v="7"/>
    <x v="49"/>
    <x v="1"/>
    <n v="0"/>
  </r>
  <r>
    <x v="0"/>
    <x v="7"/>
    <x v="17"/>
    <x v="7"/>
    <x v="50"/>
    <x v="1"/>
    <n v="0"/>
  </r>
  <r>
    <x v="0"/>
    <x v="7"/>
    <x v="17"/>
    <x v="7"/>
    <x v="51"/>
    <x v="1"/>
    <n v="0"/>
  </r>
  <r>
    <x v="0"/>
    <x v="7"/>
    <x v="17"/>
    <x v="7"/>
    <x v="52"/>
    <x v="1"/>
    <n v="0"/>
  </r>
  <r>
    <x v="0"/>
    <x v="7"/>
    <x v="17"/>
    <x v="7"/>
    <x v="53"/>
    <x v="1"/>
    <n v="0"/>
  </r>
  <r>
    <x v="0"/>
    <x v="7"/>
    <x v="17"/>
    <x v="7"/>
    <x v="54"/>
    <x v="1"/>
    <n v="0"/>
  </r>
  <r>
    <x v="0"/>
    <x v="7"/>
    <x v="17"/>
    <x v="7"/>
    <x v="55"/>
    <x v="1"/>
    <n v="0"/>
  </r>
  <r>
    <x v="0"/>
    <x v="7"/>
    <x v="17"/>
    <x v="8"/>
    <x v="46"/>
    <x v="1"/>
    <n v="4.9032146829999999"/>
  </r>
  <r>
    <x v="0"/>
    <x v="7"/>
    <x v="17"/>
    <x v="8"/>
    <x v="47"/>
    <x v="1"/>
    <n v="4.9032146829999999"/>
  </r>
  <r>
    <x v="0"/>
    <x v="7"/>
    <x v="17"/>
    <x v="8"/>
    <x v="48"/>
    <x v="1"/>
    <n v="4.9032146829999999"/>
  </r>
  <r>
    <x v="0"/>
    <x v="7"/>
    <x v="17"/>
    <x v="8"/>
    <x v="49"/>
    <x v="1"/>
    <n v="0"/>
  </r>
  <r>
    <x v="0"/>
    <x v="7"/>
    <x v="17"/>
    <x v="8"/>
    <x v="50"/>
    <x v="1"/>
    <n v="0"/>
  </r>
  <r>
    <x v="0"/>
    <x v="7"/>
    <x v="17"/>
    <x v="8"/>
    <x v="51"/>
    <x v="1"/>
    <n v="0"/>
  </r>
  <r>
    <x v="0"/>
    <x v="7"/>
    <x v="17"/>
    <x v="8"/>
    <x v="52"/>
    <x v="1"/>
    <n v="0"/>
  </r>
  <r>
    <x v="0"/>
    <x v="7"/>
    <x v="17"/>
    <x v="8"/>
    <x v="53"/>
    <x v="1"/>
    <n v="0"/>
  </r>
  <r>
    <x v="0"/>
    <x v="7"/>
    <x v="17"/>
    <x v="8"/>
    <x v="54"/>
    <x v="1"/>
    <n v="0"/>
  </r>
  <r>
    <x v="0"/>
    <x v="7"/>
    <x v="17"/>
    <x v="8"/>
    <x v="55"/>
    <x v="1"/>
    <n v="0"/>
  </r>
  <r>
    <x v="0"/>
    <x v="7"/>
    <x v="17"/>
    <x v="9"/>
    <x v="46"/>
    <x v="1"/>
    <n v="10.669411800000001"/>
  </r>
  <r>
    <x v="0"/>
    <x v="7"/>
    <x v="17"/>
    <x v="9"/>
    <x v="47"/>
    <x v="1"/>
    <n v="10.669411800000001"/>
  </r>
  <r>
    <x v="0"/>
    <x v="7"/>
    <x v="17"/>
    <x v="9"/>
    <x v="48"/>
    <x v="1"/>
    <n v="10.669411800000001"/>
  </r>
  <r>
    <x v="0"/>
    <x v="7"/>
    <x v="17"/>
    <x v="9"/>
    <x v="49"/>
    <x v="1"/>
    <n v="0"/>
  </r>
  <r>
    <x v="0"/>
    <x v="7"/>
    <x v="17"/>
    <x v="9"/>
    <x v="50"/>
    <x v="1"/>
    <n v="0"/>
  </r>
  <r>
    <x v="0"/>
    <x v="7"/>
    <x v="17"/>
    <x v="9"/>
    <x v="51"/>
    <x v="1"/>
    <n v="0"/>
  </r>
  <r>
    <x v="0"/>
    <x v="7"/>
    <x v="17"/>
    <x v="9"/>
    <x v="52"/>
    <x v="1"/>
    <n v="0"/>
  </r>
  <r>
    <x v="0"/>
    <x v="7"/>
    <x v="17"/>
    <x v="9"/>
    <x v="53"/>
    <x v="1"/>
    <n v="0"/>
  </r>
  <r>
    <x v="0"/>
    <x v="7"/>
    <x v="17"/>
    <x v="9"/>
    <x v="54"/>
    <x v="1"/>
    <n v="0"/>
  </r>
  <r>
    <x v="0"/>
    <x v="7"/>
    <x v="17"/>
    <x v="9"/>
    <x v="55"/>
    <x v="1"/>
    <n v="0"/>
  </r>
  <r>
    <x v="0"/>
    <x v="7"/>
    <x v="17"/>
    <x v="10"/>
    <x v="46"/>
    <x v="1"/>
    <n v="11.622150089"/>
  </r>
  <r>
    <x v="0"/>
    <x v="7"/>
    <x v="17"/>
    <x v="10"/>
    <x v="47"/>
    <x v="1"/>
    <n v="11.622150089"/>
  </r>
  <r>
    <x v="0"/>
    <x v="7"/>
    <x v="17"/>
    <x v="10"/>
    <x v="48"/>
    <x v="1"/>
    <n v="11.622150089"/>
  </r>
  <r>
    <x v="0"/>
    <x v="7"/>
    <x v="17"/>
    <x v="10"/>
    <x v="49"/>
    <x v="1"/>
    <n v="0"/>
  </r>
  <r>
    <x v="0"/>
    <x v="7"/>
    <x v="17"/>
    <x v="10"/>
    <x v="50"/>
    <x v="1"/>
    <n v="0"/>
  </r>
  <r>
    <x v="0"/>
    <x v="7"/>
    <x v="17"/>
    <x v="10"/>
    <x v="51"/>
    <x v="1"/>
    <n v="0"/>
  </r>
  <r>
    <x v="0"/>
    <x v="7"/>
    <x v="17"/>
    <x v="10"/>
    <x v="52"/>
    <x v="1"/>
    <n v="0"/>
  </r>
  <r>
    <x v="0"/>
    <x v="7"/>
    <x v="17"/>
    <x v="10"/>
    <x v="53"/>
    <x v="1"/>
    <n v="0"/>
  </r>
  <r>
    <x v="0"/>
    <x v="7"/>
    <x v="17"/>
    <x v="10"/>
    <x v="54"/>
    <x v="1"/>
    <n v="0"/>
  </r>
  <r>
    <x v="0"/>
    <x v="7"/>
    <x v="17"/>
    <x v="10"/>
    <x v="55"/>
    <x v="1"/>
    <n v="0"/>
  </r>
  <r>
    <x v="0"/>
    <x v="7"/>
    <x v="17"/>
    <x v="11"/>
    <x v="46"/>
    <x v="1"/>
    <n v="37.487584886999997"/>
  </r>
  <r>
    <x v="0"/>
    <x v="7"/>
    <x v="17"/>
    <x v="11"/>
    <x v="47"/>
    <x v="1"/>
    <n v="37.487584886999997"/>
  </r>
  <r>
    <x v="0"/>
    <x v="7"/>
    <x v="17"/>
    <x v="11"/>
    <x v="48"/>
    <x v="1"/>
    <n v="37.487584886999997"/>
  </r>
  <r>
    <x v="0"/>
    <x v="7"/>
    <x v="17"/>
    <x v="11"/>
    <x v="49"/>
    <x v="1"/>
    <n v="0"/>
  </r>
  <r>
    <x v="0"/>
    <x v="7"/>
    <x v="17"/>
    <x v="11"/>
    <x v="50"/>
    <x v="1"/>
    <n v="0"/>
  </r>
  <r>
    <x v="0"/>
    <x v="7"/>
    <x v="17"/>
    <x v="11"/>
    <x v="51"/>
    <x v="1"/>
    <n v="0"/>
  </r>
  <r>
    <x v="0"/>
    <x v="7"/>
    <x v="17"/>
    <x v="11"/>
    <x v="52"/>
    <x v="1"/>
    <n v="0"/>
  </r>
  <r>
    <x v="0"/>
    <x v="7"/>
    <x v="17"/>
    <x v="11"/>
    <x v="53"/>
    <x v="1"/>
    <n v="0"/>
  </r>
  <r>
    <x v="0"/>
    <x v="7"/>
    <x v="17"/>
    <x v="11"/>
    <x v="54"/>
    <x v="1"/>
    <n v="0"/>
  </r>
  <r>
    <x v="0"/>
    <x v="7"/>
    <x v="17"/>
    <x v="11"/>
    <x v="55"/>
    <x v="1"/>
    <n v="0"/>
  </r>
  <r>
    <x v="0"/>
    <x v="7"/>
    <x v="17"/>
    <x v="12"/>
    <x v="46"/>
    <x v="1"/>
    <n v="10.967695161"/>
  </r>
  <r>
    <x v="0"/>
    <x v="7"/>
    <x v="17"/>
    <x v="12"/>
    <x v="47"/>
    <x v="1"/>
    <n v="10.967695161"/>
  </r>
  <r>
    <x v="0"/>
    <x v="7"/>
    <x v="17"/>
    <x v="12"/>
    <x v="48"/>
    <x v="1"/>
    <n v="10.967695161"/>
  </r>
  <r>
    <x v="0"/>
    <x v="7"/>
    <x v="17"/>
    <x v="12"/>
    <x v="49"/>
    <x v="1"/>
    <n v="0"/>
  </r>
  <r>
    <x v="0"/>
    <x v="7"/>
    <x v="17"/>
    <x v="12"/>
    <x v="50"/>
    <x v="1"/>
    <n v="0"/>
  </r>
  <r>
    <x v="0"/>
    <x v="7"/>
    <x v="17"/>
    <x v="12"/>
    <x v="51"/>
    <x v="1"/>
    <n v="0"/>
  </r>
  <r>
    <x v="0"/>
    <x v="7"/>
    <x v="17"/>
    <x v="12"/>
    <x v="52"/>
    <x v="1"/>
    <n v="0"/>
  </r>
  <r>
    <x v="0"/>
    <x v="7"/>
    <x v="17"/>
    <x v="12"/>
    <x v="53"/>
    <x v="1"/>
    <n v="0"/>
  </r>
  <r>
    <x v="0"/>
    <x v="7"/>
    <x v="17"/>
    <x v="12"/>
    <x v="54"/>
    <x v="1"/>
    <n v="0"/>
  </r>
  <r>
    <x v="0"/>
    <x v="7"/>
    <x v="17"/>
    <x v="12"/>
    <x v="55"/>
    <x v="1"/>
    <n v="0"/>
  </r>
  <r>
    <x v="0"/>
    <x v="7"/>
    <x v="17"/>
    <x v="13"/>
    <x v="46"/>
    <x v="1"/>
    <n v="24.348758963000002"/>
  </r>
  <r>
    <x v="0"/>
    <x v="7"/>
    <x v="17"/>
    <x v="13"/>
    <x v="47"/>
    <x v="1"/>
    <n v="24.348758963000002"/>
  </r>
  <r>
    <x v="0"/>
    <x v="7"/>
    <x v="17"/>
    <x v="13"/>
    <x v="48"/>
    <x v="1"/>
    <n v="24.348758963000002"/>
  </r>
  <r>
    <x v="0"/>
    <x v="7"/>
    <x v="17"/>
    <x v="13"/>
    <x v="49"/>
    <x v="1"/>
    <n v="0"/>
  </r>
  <r>
    <x v="0"/>
    <x v="7"/>
    <x v="17"/>
    <x v="13"/>
    <x v="50"/>
    <x v="1"/>
    <n v="0"/>
  </r>
  <r>
    <x v="0"/>
    <x v="7"/>
    <x v="17"/>
    <x v="13"/>
    <x v="51"/>
    <x v="1"/>
    <n v="0"/>
  </r>
  <r>
    <x v="0"/>
    <x v="7"/>
    <x v="17"/>
    <x v="13"/>
    <x v="52"/>
    <x v="1"/>
    <n v="0"/>
  </r>
  <r>
    <x v="0"/>
    <x v="7"/>
    <x v="17"/>
    <x v="13"/>
    <x v="53"/>
    <x v="1"/>
    <n v="0"/>
  </r>
  <r>
    <x v="0"/>
    <x v="7"/>
    <x v="17"/>
    <x v="13"/>
    <x v="54"/>
    <x v="1"/>
    <n v="0"/>
  </r>
  <r>
    <x v="0"/>
    <x v="7"/>
    <x v="17"/>
    <x v="13"/>
    <x v="55"/>
    <x v="1"/>
    <n v="0"/>
  </r>
  <r>
    <x v="0"/>
    <x v="7"/>
    <x v="17"/>
    <x v="14"/>
    <x v="46"/>
    <x v="1"/>
    <n v="7.6440631459999997"/>
  </r>
  <r>
    <x v="0"/>
    <x v="7"/>
    <x v="17"/>
    <x v="14"/>
    <x v="47"/>
    <x v="1"/>
    <n v="7.6440631459999997"/>
  </r>
  <r>
    <x v="0"/>
    <x v="7"/>
    <x v="17"/>
    <x v="14"/>
    <x v="48"/>
    <x v="1"/>
    <n v="7.6440631459999997"/>
  </r>
  <r>
    <x v="0"/>
    <x v="7"/>
    <x v="17"/>
    <x v="14"/>
    <x v="49"/>
    <x v="1"/>
    <n v="0"/>
  </r>
  <r>
    <x v="0"/>
    <x v="7"/>
    <x v="17"/>
    <x v="14"/>
    <x v="50"/>
    <x v="1"/>
    <n v="0"/>
  </r>
  <r>
    <x v="0"/>
    <x v="7"/>
    <x v="17"/>
    <x v="14"/>
    <x v="51"/>
    <x v="1"/>
    <n v="0"/>
  </r>
  <r>
    <x v="0"/>
    <x v="7"/>
    <x v="17"/>
    <x v="14"/>
    <x v="52"/>
    <x v="1"/>
    <n v="0"/>
  </r>
  <r>
    <x v="0"/>
    <x v="7"/>
    <x v="17"/>
    <x v="14"/>
    <x v="53"/>
    <x v="1"/>
    <n v="0"/>
  </r>
  <r>
    <x v="0"/>
    <x v="7"/>
    <x v="17"/>
    <x v="14"/>
    <x v="54"/>
    <x v="1"/>
    <n v="0"/>
  </r>
  <r>
    <x v="0"/>
    <x v="7"/>
    <x v="17"/>
    <x v="14"/>
    <x v="55"/>
    <x v="1"/>
    <n v="0"/>
  </r>
  <r>
    <x v="0"/>
    <x v="7"/>
    <x v="17"/>
    <x v="15"/>
    <x v="46"/>
    <x v="1"/>
    <n v="8.9221353990000001"/>
  </r>
  <r>
    <x v="0"/>
    <x v="7"/>
    <x v="17"/>
    <x v="15"/>
    <x v="47"/>
    <x v="1"/>
    <n v="8.9221353990000001"/>
  </r>
  <r>
    <x v="0"/>
    <x v="7"/>
    <x v="17"/>
    <x v="15"/>
    <x v="48"/>
    <x v="1"/>
    <n v="8.9221353990000001"/>
  </r>
  <r>
    <x v="0"/>
    <x v="7"/>
    <x v="17"/>
    <x v="15"/>
    <x v="49"/>
    <x v="1"/>
    <n v="0"/>
  </r>
  <r>
    <x v="0"/>
    <x v="7"/>
    <x v="17"/>
    <x v="15"/>
    <x v="50"/>
    <x v="1"/>
    <n v="0"/>
  </r>
  <r>
    <x v="0"/>
    <x v="7"/>
    <x v="17"/>
    <x v="15"/>
    <x v="51"/>
    <x v="1"/>
    <n v="0"/>
  </r>
  <r>
    <x v="0"/>
    <x v="7"/>
    <x v="17"/>
    <x v="15"/>
    <x v="52"/>
    <x v="1"/>
    <n v="0"/>
  </r>
  <r>
    <x v="0"/>
    <x v="7"/>
    <x v="17"/>
    <x v="15"/>
    <x v="53"/>
    <x v="1"/>
    <n v="0"/>
  </r>
  <r>
    <x v="0"/>
    <x v="7"/>
    <x v="17"/>
    <x v="15"/>
    <x v="54"/>
    <x v="1"/>
    <n v="0"/>
  </r>
  <r>
    <x v="0"/>
    <x v="7"/>
    <x v="17"/>
    <x v="15"/>
    <x v="55"/>
    <x v="1"/>
    <n v="0"/>
  </r>
  <r>
    <x v="0"/>
    <x v="7"/>
    <x v="17"/>
    <x v="16"/>
    <x v="46"/>
    <x v="1"/>
    <n v="5.8117821740000002"/>
  </r>
  <r>
    <x v="0"/>
    <x v="7"/>
    <x v="17"/>
    <x v="16"/>
    <x v="47"/>
    <x v="1"/>
    <n v="5.8117821740000002"/>
  </r>
  <r>
    <x v="0"/>
    <x v="7"/>
    <x v="17"/>
    <x v="16"/>
    <x v="48"/>
    <x v="1"/>
    <n v="5.8117821740000002"/>
  </r>
  <r>
    <x v="0"/>
    <x v="7"/>
    <x v="17"/>
    <x v="16"/>
    <x v="49"/>
    <x v="1"/>
    <n v="0"/>
  </r>
  <r>
    <x v="0"/>
    <x v="7"/>
    <x v="17"/>
    <x v="16"/>
    <x v="50"/>
    <x v="1"/>
    <n v="0"/>
  </r>
  <r>
    <x v="0"/>
    <x v="7"/>
    <x v="17"/>
    <x v="16"/>
    <x v="51"/>
    <x v="1"/>
    <n v="0"/>
  </r>
  <r>
    <x v="0"/>
    <x v="7"/>
    <x v="17"/>
    <x v="16"/>
    <x v="52"/>
    <x v="1"/>
    <n v="0"/>
  </r>
  <r>
    <x v="0"/>
    <x v="7"/>
    <x v="17"/>
    <x v="16"/>
    <x v="53"/>
    <x v="1"/>
    <n v="0"/>
  </r>
  <r>
    <x v="0"/>
    <x v="7"/>
    <x v="17"/>
    <x v="16"/>
    <x v="54"/>
    <x v="1"/>
    <n v="0"/>
  </r>
  <r>
    <x v="0"/>
    <x v="7"/>
    <x v="17"/>
    <x v="16"/>
    <x v="55"/>
    <x v="1"/>
    <n v="0"/>
  </r>
  <r>
    <x v="0"/>
    <x v="7"/>
    <x v="17"/>
    <x v="17"/>
    <x v="46"/>
    <x v="1"/>
    <n v="13.722751647999999"/>
  </r>
  <r>
    <x v="0"/>
    <x v="7"/>
    <x v="17"/>
    <x v="17"/>
    <x v="47"/>
    <x v="1"/>
    <n v="13.722751647999999"/>
  </r>
  <r>
    <x v="0"/>
    <x v="7"/>
    <x v="17"/>
    <x v="17"/>
    <x v="48"/>
    <x v="1"/>
    <n v="13.722751647999999"/>
  </r>
  <r>
    <x v="0"/>
    <x v="7"/>
    <x v="17"/>
    <x v="17"/>
    <x v="49"/>
    <x v="1"/>
    <n v="0"/>
  </r>
  <r>
    <x v="0"/>
    <x v="7"/>
    <x v="17"/>
    <x v="17"/>
    <x v="50"/>
    <x v="1"/>
    <n v="0"/>
  </r>
  <r>
    <x v="0"/>
    <x v="7"/>
    <x v="17"/>
    <x v="17"/>
    <x v="51"/>
    <x v="1"/>
    <n v="0"/>
  </r>
  <r>
    <x v="0"/>
    <x v="7"/>
    <x v="17"/>
    <x v="17"/>
    <x v="52"/>
    <x v="1"/>
    <n v="0"/>
  </r>
  <r>
    <x v="0"/>
    <x v="7"/>
    <x v="17"/>
    <x v="17"/>
    <x v="53"/>
    <x v="1"/>
    <n v="0"/>
  </r>
  <r>
    <x v="0"/>
    <x v="7"/>
    <x v="17"/>
    <x v="17"/>
    <x v="54"/>
    <x v="1"/>
    <n v="0"/>
  </r>
  <r>
    <x v="0"/>
    <x v="7"/>
    <x v="17"/>
    <x v="17"/>
    <x v="55"/>
    <x v="1"/>
    <n v="0"/>
  </r>
  <r>
    <x v="0"/>
    <x v="7"/>
    <x v="17"/>
    <x v="18"/>
    <x v="46"/>
    <x v="1"/>
    <n v="10.689780407000001"/>
  </r>
  <r>
    <x v="0"/>
    <x v="7"/>
    <x v="17"/>
    <x v="18"/>
    <x v="47"/>
    <x v="1"/>
    <n v="10.689780407000001"/>
  </r>
  <r>
    <x v="0"/>
    <x v="7"/>
    <x v="17"/>
    <x v="18"/>
    <x v="48"/>
    <x v="1"/>
    <n v="10.689780407000001"/>
  </r>
  <r>
    <x v="0"/>
    <x v="7"/>
    <x v="17"/>
    <x v="18"/>
    <x v="49"/>
    <x v="1"/>
    <n v="0"/>
  </r>
  <r>
    <x v="0"/>
    <x v="7"/>
    <x v="17"/>
    <x v="18"/>
    <x v="50"/>
    <x v="1"/>
    <n v="0"/>
  </r>
  <r>
    <x v="0"/>
    <x v="7"/>
    <x v="17"/>
    <x v="18"/>
    <x v="51"/>
    <x v="1"/>
    <n v="0"/>
  </r>
  <r>
    <x v="0"/>
    <x v="7"/>
    <x v="17"/>
    <x v="18"/>
    <x v="52"/>
    <x v="1"/>
    <n v="0"/>
  </r>
  <r>
    <x v="0"/>
    <x v="7"/>
    <x v="17"/>
    <x v="18"/>
    <x v="53"/>
    <x v="1"/>
    <n v="0"/>
  </r>
  <r>
    <x v="0"/>
    <x v="7"/>
    <x v="17"/>
    <x v="18"/>
    <x v="54"/>
    <x v="1"/>
    <n v="0"/>
  </r>
  <r>
    <x v="0"/>
    <x v="7"/>
    <x v="17"/>
    <x v="18"/>
    <x v="55"/>
    <x v="1"/>
    <n v="0"/>
  </r>
  <r>
    <x v="0"/>
    <x v="7"/>
    <x v="17"/>
    <x v="19"/>
    <x v="46"/>
    <x v="1"/>
    <n v="13.412025799"/>
  </r>
  <r>
    <x v="0"/>
    <x v="7"/>
    <x v="17"/>
    <x v="19"/>
    <x v="47"/>
    <x v="1"/>
    <n v="13.412025799"/>
  </r>
  <r>
    <x v="0"/>
    <x v="7"/>
    <x v="17"/>
    <x v="19"/>
    <x v="48"/>
    <x v="1"/>
    <n v="13.412025799"/>
  </r>
  <r>
    <x v="0"/>
    <x v="7"/>
    <x v="17"/>
    <x v="19"/>
    <x v="49"/>
    <x v="1"/>
    <n v="0"/>
  </r>
  <r>
    <x v="0"/>
    <x v="7"/>
    <x v="17"/>
    <x v="19"/>
    <x v="50"/>
    <x v="1"/>
    <n v="0"/>
  </r>
  <r>
    <x v="0"/>
    <x v="7"/>
    <x v="17"/>
    <x v="19"/>
    <x v="51"/>
    <x v="1"/>
    <n v="0"/>
  </r>
  <r>
    <x v="0"/>
    <x v="7"/>
    <x v="17"/>
    <x v="19"/>
    <x v="52"/>
    <x v="1"/>
    <n v="0"/>
  </r>
  <r>
    <x v="0"/>
    <x v="7"/>
    <x v="17"/>
    <x v="19"/>
    <x v="53"/>
    <x v="1"/>
    <n v="0"/>
  </r>
  <r>
    <x v="0"/>
    <x v="7"/>
    <x v="17"/>
    <x v="19"/>
    <x v="54"/>
    <x v="1"/>
    <n v="0"/>
  </r>
  <r>
    <x v="0"/>
    <x v="7"/>
    <x v="17"/>
    <x v="19"/>
    <x v="55"/>
    <x v="1"/>
    <n v="0"/>
  </r>
  <r>
    <x v="0"/>
    <x v="7"/>
    <x v="17"/>
    <x v="20"/>
    <x v="46"/>
    <x v="1"/>
    <n v="1.641548037"/>
  </r>
  <r>
    <x v="0"/>
    <x v="7"/>
    <x v="17"/>
    <x v="20"/>
    <x v="47"/>
    <x v="1"/>
    <n v="1.641548037"/>
  </r>
  <r>
    <x v="0"/>
    <x v="7"/>
    <x v="17"/>
    <x v="20"/>
    <x v="48"/>
    <x v="1"/>
    <n v="1.641548037"/>
  </r>
  <r>
    <x v="0"/>
    <x v="7"/>
    <x v="17"/>
    <x v="20"/>
    <x v="49"/>
    <x v="1"/>
    <n v="0"/>
  </r>
  <r>
    <x v="0"/>
    <x v="7"/>
    <x v="17"/>
    <x v="20"/>
    <x v="50"/>
    <x v="1"/>
    <n v="0"/>
  </r>
  <r>
    <x v="0"/>
    <x v="7"/>
    <x v="17"/>
    <x v="20"/>
    <x v="51"/>
    <x v="1"/>
    <n v="0"/>
  </r>
  <r>
    <x v="0"/>
    <x v="7"/>
    <x v="17"/>
    <x v="20"/>
    <x v="52"/>
    <x v="1"/>
    <n v="0"/>
  </r>
  <r>
    <x v="0"/>
    <x v="7"/>
    <x v="17"/>
    <x v="20"/>
    <x v="53"/>
    <x v="1"/>
    <n v="0"/>
  </r>
  <r>
    <x v="0"/>
    <x v="7"/>
    <x v="17"/>
    <x v="20"/>
    <x v="54"/>
    <x v="1"/>
    <n v="0"/>
  </r>
  <r>
    <x v="0"/>
    <x v="7"/>
    <x v="17"/>
    <x v="20"/>
    <x v="55"/>
    <x v="1"/>
    <n v="0"/>
  </r>
  <r>
    <x v="0"/>
    <x v="7"/>
    <x v="17"/>
    <x v="21"/>
    <x v="46"/>
    <x v="1"/>
    <n v="0.82035925399999998"/>
  </r>
  <r>
    <x v="0"/>
    <x v="7"/>
    <x v="17"/>
    <x v="21"/>
    <x v="47"/>
    <x v="1"/>
    <n v="0.82035925399999998"/>
  </r>
  <r>
    <x v="0"/>
    <x v="7"/>
    <x v="17"/>
    <x v="21"/>
    <x v="48"/>
    <x v="1"/>
    <n v="0.82035925399999998"/>
  </r>
  <r>
    <x v="0"/>
    <x v="7"/>
    <x v="17"/>
    <x v="21"/>
    <x v="49"/>
    <x v="1"/>
    <n v="0"/>
  </r>
  <r>
    <x v="0"/>
    <x v="7"/>
    <x v="17"/>
    <x v="21"/>
    <x v="50"/>
    <x v="1"/>
    <n v="0"/>
  </r>
  <r>
    <x v="0"/>
    <x v="7"/>
    <x v="17"/>
    <x v="21"/>
    <x v="51"/>
    <x v="1"/>
    <n v="0"/>
  </r>
  <r>
    <x v="0"/>
    <x v="7"/>
    <x v="17"/>
    <x v="21"/>
    <x v="52"/>
    <x v="1"/>
    <n v="0"/>
  </r>
  <r>
    <x v="0"/>
    <x v="7"/>
    <x v="17"/>
    <x v="21"/>
    <x v="53"/>
    <x v="1"/>
    <n v="0"/>
  </r>
  <r>
    <x v="0"/>
    <x v="7"/>
    <x v="17"/>
    <x v="21"/>
    <x v="54"/>
    <x v="1"/>
    <n v="0"/>
  </r>
  <r>
    <x v="0"/>
    <x v="7"/>
    <x v="17"/>
    <x v="21"/>
    <x v="55"/>
    <x v="1"/>
    <n v="0"/>
  </r>
  <r>
    <x v="0"/>
    <x v="7"/>
    <x v="17"/>
    <x v="22"/>
    <x v="46"/>
    <x v="1"/>
    <n v="0.77479562099999999"/>
  </r>
  <r>
    <x v="0"/>
    <x v="7"/>
    <x v="17"/>
    <x v="22"/>
    <x v="47"/>
    <x v="1"/>
    <n v="0.77479562099999999"/>
  </r>
  <r>
    <x v="0"/>
    <x v="7"/>
    <x v="17"/>
    <x v="22"/>
    <x v="48"/>
    <x v="1"/>
    <n v="0.77479562099999999"/>
  </r>
  <r>
    <x v="0"/>
    <x v="7"/>
    <x v="17"/>
    <x v="22"/>
    <x v="49"/>
    <x v="1"/>
    <n v="0"/>
  </r>
  <r>
    <x v="0"/>
    <x v="7"/>
    <x v="17"/>
    <x v="22"/>
    <x v="50"/>
    <x v="1"/>
    <n v="0"/>
  </r>
  <r>
    <x v="0"/>
    <x v="7"/>
    <x v="17"/>
    <x v="22"/>
    <x v="51"/>
    <x v="1"/>
    <n v="0"/>
  </r>
  <r>
    <x v="0"/>
    <x v="7"/>
    <x v="17"/>
    <x v="22"/>
    <x v="52"/>
    <x v="1"/>
    <n v="0"/>
  </r>
  <r>
    <x v="0"/>
    <x v="7"/>
    <x v="17"/>
    <x v="22"/>
    <x v="53"/>
    <x v="1"/>
    <n v="0"/>
  </r>
  <r>
    <x v="0"/>
    <x v="7"/>
    <x v="17"/>
    <x v="22"/>
    <x v="54"/>
    <x v="1"/>
    <n v="0"/>
  </r>
  <r>
    <x v="0"/>
    <x v="7"/>
    <x v="17"/>
    <x v="22"/>
    <x v="55"/>
    <x v="1"/>
    <n v="0"/>
  </r>
  <r>
    <x v="0"/>
    <x v="7"/>
    <x v="17"/>
    <x v="23"/>
    <x v="46"/>
    <x v="1"/>
    <n v="0.364482001"/>
  </r>
  <r>
    <x v="0"/>
    <x v="7"/>
    <x v="17"/>
    <x v="23"/>
    <x v="47"/>
    <x v="1"/>
    <n v="0.364482001"/>
  </r>
  <r>
    <x v="0"/>
    <x v="7"/>
    <x v="17"/>
    <x v="23"/>
    <x v="48"/>
    <x v="1"/>
    <n v="0.364482001"/>
  </r>
  <r>
    <x v="0"/>
    <x v="7"/>
    <x v="17"/>
    <x v="23"/>
    <x v="49"/>
    <x v="1"/>
    <n v="0"/>
  </r>
  <r>
    <x v="0"/>
    <x v="7"/>
    <x v="17"/>
    <x v="23"/>
    <x v="50"/>
    <x v="1"/>
    <n v="0"/>
  </r>
  <r>
    <x v="0"/>
    <x v="7"/>
    <x v="17"/>
    <x v="23"/>
    <x v="51"/>
    <x v="1"/>
    <n v="0"/>
  </r>
  <r>
    <x v="0"/>
    <x v="7"/>
    <x v="17"/>
    <x v="23"/>
    <x v="52"/>
    <x v="1"/>
    <n v="0"/>
  </r>
  <r>
    <x v="0"/>
    <x v="7"/>
    <x v="17"/>
    <x v="23"/>
    <x v="53"/>
    <x v="1"/>
    <n v="0"/>
  </r>
  <r>
    <x v="0"/>
    <x v="7"/>
    <x v="17"/>
    <x v="23"/>
    <x v="54"/>
    <x v="1"/>
    <n v="0"/>
  </r>
  <r>
    <x v="0"/>
    <x v="7"/>
    <x v="17"/>
    <x v="23"/>
    <x v="55"/>
    <x v="1"/>
    <n v="0"/>
  </r>
  <r>
    <x v="0"/>
    <x v="7"/>
    <x v="17"/>
    <x v="24"/>
    <x v="46"/>
    <x v="1"/>
    <n v="14.924090932"/>
  </r>
  <r>
    <x v="0"/>
    <x v="7"/>
    <x v="17"/>
    <x v="24"/>
    <x v="47"/>
    <x v="1"/>
    <n v="14.924090932"/>
  </r>
  <r>
    <x v="0"/>
    <x v="7"/>
    <x v="17"/>
    <x v="24"/>
    <x v="48"/>
    <x v="1"/>
    <n v="14.924090932"/>
  </r>
  <r>
    <x v="0"/>
    <x v="7"/>
    <x v="17"/>
    <x v="24"/>
    <x v="49"/>
    <x v="1"/>
    <n v="0"/>
  </r>
  <r>
    <x v="0"/>
    <x v="7"/>
    <x v="17"/>
    <x v="24"/>
    <x v="50"/>
    <x v="1"/>
    <n v="0"/>
  </r>
  <r>
    <x v="0"/>
    <x v="7"/>
    <x v="17"/>
    <x v="24"/>
    <x v="51"/>
    <x v="1"/>
    <n v="0"/>
  </r>
  <r>
    <x v="0"/>
    <x v="7"/>
    <x v="17"/>
    <x v="24"/>
    <x v="52"/>
    <x v="1"/>
    <n v="0"/>
  </r>
  <r>
    <x v="0"/>
    <x v="7"/>
    <x v="17"/>
    <x v="24"/>
    <x v="53"/>
    <x v="1"/>
    <n v="0"/>
  </r>
  <r>
    <x v="0"/>
    <x v="7"/>
    <x v="17"/>
    <x v="24"/>
    <x v="54"/>
    <x v="1"/>
    <n v="0"/>
  </r>
  <r>
    <x v="0"/>
    <x v="7"/>
    <x v="17"/>
    <x v="24"/>
    <x v="55"/>
    <x v="1"/>
    <n v="0"/>
  </r>
  <r>
    <x v="0"/>
    <x v="7"/>
    <x v="17"/>
    <x v="25"/>
    <x v="46"/>
    <x v="1"/>
    <n v="0.72936471700000005"/>
  </r>
  <r>
    <x v="0"/>
    <x v="7"/>
    <x v="17"/>
    <x v="25"/>
    <x v="47"/>
    <x v="1"/>
    <n v="0.72936471700000005"/>
  </r>
  <r>
    <x v="0"/>
    <x v="7"/>
    <x v="17"/>
    <x v="25"/>
    <x v="48"/>
    <x v="1"/>
    <n v="0.72936471700000005"/>
  </r>
  <r>
    <x v="0"/>
    <x v="7"/>
    <x v="17"/>
    <x v="25"/>
    <x v="49"/>
    <x v="1"/>
    <n v="0"/>
  </r>
  <r>
    <x v="0"/>
    <x v="7"/>
    <x v="17"/>
    <x v="25"/>
    <x v="50"/>
    <x v="1"/>
    <n v="0"/>
  </r>
  <r>
    <x v="0"/>
    <x v="7"/>
    <x v="17"/>
    <x v="25"/>
    <x v="51"/>
    <x v="1"/>
    <n v="0"/>
  </r>
  <r>
    <x v="0"/>
    <x v="7"/>
    <x v="17"/>
    <x v="25"/>
    <x v="52"/>
    <x v="1"/>
    <n v="0"/>
  </r>
  <r>
    <x v="0"/>
    <x v="7"/>
    <x v="17"/>
    <x v="25"/>
    <x v="53"/>
    <x v="1"/>
    <n v="0"/>
  </r>
  <r>
    <x v="0"/>
    <x v="7"/>
    <x v="17"/>
    <x v="25"/>
    <x v="54"/>
    <x v="1"/>
    <n v="0"/>
  </r>
  <r>
    <x v="0"/>
    <x v="7"/>
    <x v="17"/>
    <x v="25"/>
    <x v="55"/>
    <x v="1"/>
    <n v="0"/>
  </r>
  <r>
    <x v="0"/>
    <x v="7"/>
    <x v="17"/>
    <x v="26"/>
    <x v="46"/>
    <x v="1"/>
    <n v="0.46877384"/>
  </r>
  <r>
    <x v="0"/>
    <x v="7"/>
    <x v="17"/>
    <x v="26"/>
    <x v="47"/>
    <x v="1"/>
    <n v="0.46877384"/>
  </r>
  <r>
    <x v="0"/>
    <x v="7"/>
    <x v="17"/>
    <x v="26"/>
    <x v="48"/>
    <x v="1"/>
    <n v="0.46877384"/>
  </r>
  <r>
    <x v="0"/>
    <x v="7"/>
    <x v="17"/>
    <x v="26"/>
    <x v="49"/>
    <x v="1"/>
    <n v="0"/>
  </r>
  <r>
    <x v="0"/>
    <x v="7"/>
    <x v="17"/>
    <x v="26"/>
    <x v="50"/>
    <x v="1"/>
    <n v="0"/>
  </r>
  <r>
    <x v="0"/>
    <x v="7"/>
    <x v="17"/>
    <x v="26"/>
    <x v="51"/>
    <x v="1"/>
    <n v="0"/>
  </r>
  <r>
    <x v="0"/>
    <x v="7"/>
    <x v="17"/>
    <x v="26"/>
    <x v="52"/>
    <x v="1"/>
    <n v="0"/>
  </r>
  <r>
    <x v="0"/>
    <x v="7"/>
    <x v="17"/>
    <x v="26"/>
    <x v="53"/>
    <x v="1"/>
    <n v="0"/>
  </r>
  <r>
    <x v="0"/>
    <x v="7"/>
    <x v="17"/>
    <x v="26"/>
    <x v="54"/>
    <x v="1"/>
    <n v="0"/>
  </r>
  <r>
    <x v="0"/>
    <x v="7"/>
    <x v="17"/>
    <x v="26"/>
    <x v="55"/>
    <x v="1"/>
    <n v="0"/>
  </r>
  <r>
    <x v="0"/>
    <x v="7"/>
    <x v="17"/>
    <x v="27"/>
    <x v="46"/>
    <x v="1"/>
    <n v="26.638841058000001"/>
  </r>
  <r>
    <x v="0"/>
    <x v="7"/>
    <x v="17"/>
    <x v="27"/>
    <x v="47"/>
    <x v="1"/>
    <n v="26.638841058000001"/>
  </r>
  <r>
    <x v="0"/>
    <x v="7"/>
    <x v="17"/>
    <x v="27"/>
    <x v="48"/>
    <x v="1"/>
    <n v="26.638841058000001"/>
  </r>
  <r>
    <x v="0"/>
    <x v="7"/>
    <x v="17"/>
    <x v="27"/>
    <x v="49"/>
    <x v="1"/>
    <n v="0"/>
  </r>
  <r>
    <x v="0"/>
    <x v="7"/>
    <x v="17"/>
    <x v="27"/>
    <x v="50"/>
    <x v="1"/>
    <n v="0"/>
  </r>
  <r>
    <x v="0"/>
    <x v="7"/>
    <x v="17"/>
    <x v="27"/>
    <x v="51"/>
    <x v="1"/>
    <n v="0"/>
  </r>
  <r>
    <x v="0"/>
    <x v="7"/>
    <x v="17"/>
    <x v="27"/>
    <x v="52"/>
    <x v="1"/>
    <n v="0"/>
  </r>
  <r>
    <x v="0"/>
    <x v="7"/>
    <x v="17"/>
    <x v="27"/>
    <x v="53"/>
    <x v="1"/>
    <n v="0"/>
  </r>
  <r>
    <x v="0"/>
    <x v="7"/>
    <x v="17"/>
    <x v="27"/>
    <x v="54"/>
    <x v="1"/>
    <n v="0"/>
  </r>
  <r>
    <x v="0"/>
    <x v="7"/>
    <x v="17"/>
    <x v="27"/>
    <x v="55"/>
    <x v="1"/>
    <n v="0"/>
  </r>
  <r>
    <x v="0"/>
    <x v="7"/>
    <x v="17"/>
    <x v="28"/>
    <x v="46"/>
    <x v="1"/>
    <n v="23.386539709000001"/>
  </r>
  <r>
    <x v="0"/>
    <x v="7"/>
    <x v="17"/>
    <x v="28"/>
    <x v="47"/>
    <x v="1"/>
    <n v="23.386539709000001"/>
  </r>
  <r>
    <x v="0"/>
    <x v="7"/>
    <x v="17"/>
    <x v="28"/>
    <x v="48"/>
    <x v="1"/>
    <n v="23.386539709000001"/>
  </r>
  <r>
    <x v="0"/>
    <x v="7"/>
    <x v="17"/>
    <x v="28"/>
    <x v="49"/>
    <x v="1"/>
    <n v="0"/>
  </r>
  <r>
    <x v="0"/>
    <x v="7"/>
    <x v="17"/>
    <x v="28"/>
    <x v="50"/>
    <x v="1"/>
    <n v="0"/>
  </r>
  <r>
    <x v="0"/>
    <x v="7"/>
    <x v="17"/>
    <x v="28"/>
    <x v="51"/>
    <x v="1"/>
    <n v="0"/>
  </r>
  <r>
    <x v="0"/>
    <x v="7"/>
    <x v="17"/>
    <x v="28"/>
    <x v="52"/>
    <x v="1"/>
    <n v="0"/>
  </r>
  <r>
    <x v="0"/>
    <x v="7"/>
    <x v="17"/>
    <x v="28"/>
    <x v="53"/>
    <x v="1"/>
    <n v="0"/>
  </r>
  <r>
    <x v="0"/>
    <x v="7"/>
    <x v="17"/>
    <x v="28"/>
    <x v="54"/>
    <x v="1"/>
    <n v="0"/>
  </r>
  <r>
    <x v="0"/>
    <x v="7"/>
    <x v="17"/>
    <x v="28"/>
    <x v="55"/>
    <x v="1"/>
    <n v="0"/>
  </r>
  <r>
    <x v="0"/>
    <x v="7"/>
    <x v="17"/>
    <x v="29"/>
    <x v="46"/>
    <x v="1"/>
    <n v="21.549886061999999"/>
  </r>
  <r>
    <x v="0"/>
    <x v="7"/>
    <x v="17"/>
    <x v="29"/>
    <x v="47"/>
    <x v="1"/>
    <n v="21.549886061999999"/>
  </r>
  <r>
    <x v="0"/>
    <x v="7"/>
    <x v="17"/>
    <x v="29"/>
    <x v="48"/>
    <x v="1"/>
    <n v="21.549886061999999"/>
  </r>
  <r>
    <x v="0"/>
    <x v="7"/>
    <x v="17"/>
    <x v="29"/>
    <x v="49"/>
    <x v="1"/>
    <n v="0"/>
  </r>
  <r>
    <x v="0"/>
    <x v="7"/>
    <x v="17"/>
    <x v="29"/>
    <x v="50"/>
    <x v="1"/>
    <n v="0"/>
  </r>
  <r>
    <x v="0"/>
    <x v="7"/>
    <x v="17"/>
    <x v="29"/>
    <x v="51"/>
    <x v="1"/>
    <n v="0"/>
  </r>
  <r>
    <x v="0"/>
    <x v="7"/>
    <x v="17"/>
    <x v="29"/>
    <x v="52"/>
    <x v="1"/>
    <n v="0"/>
  </r>
  <r>
    <x v="0"/>
    <x v="7"/>
    <x v="17"/>
    <x v="29"/>
    <x v="53"/>
    <x v="1"/>
    <n v="0"/>
  </r>
  <r>
    <x v="0"/>
    <x v="7"/>
    <x v="17"/>
    <x v="29"/>
    <x v="54"/>
    <x v="1"/>
    <n v="0"/>
  </r>
  <r>
    <x v="0"/>
    <x v="7"/>
    <x v="17"/>
    <x v="29"/>
    <x v="55"/>
    <x v="1"/>
    <n v="0"/>
  </r>
  <r>
    <x v="0"/>
    <x v="7"/>
    <x v="17"/>
    <x v="30"/>
    <x v="46"/>
    <x v="1"/>
    <n v="7.9254105409999998"/>
  </r>
  <r>
    <x v="0"/>
    <x v="7"/>
    <x v="17"/>
    <x v="30"/>
    <x v="47"/>
    <x v="1"/>
    <n v="7.9254105409999998"/>
  </r>
  <r>
    <x v="0"/>
    <x v="7"/>
    <x v="17"/>
    <x v="30"/>
    <x v="48"/>
    <x v="1"/>
    <n v="7.9254105409999998"/>
  </r>
  <r>
    <x v="0"/>
    <x v="7"/>
    <x v="17"/>
    <x v="30"/>
    <x v="49"/>
    <x v="1"/>
    <n v="0"/>
  </r>
  <r>
    <x v="0"/>
    <x v="7"/>
    <x v="17"/>
    <x v="30"/>
    <x v="50"/>
    <x v="1"/>
    <n v="0"/>
  </r>
  <r>
    <x v="0"/>
    <x v="7"/>
    <x v="17"/>
    <x v="30"/>
    <x v="51"/>
    <x v="1"/>
    <n v="0"/>
  </r>
  <r>
    <x v="0"/>
    <x v="7"/>
    <x v="17"/>
    <x v="30"/>
    <x v="52"/>
    <x v="1"/>
    <n v="0"/>
  </r>
  <r>
    <x v="0"/>
    <x v="7"/>
    <x v="17"/>
    <x v="30"/>
    <x v="53"/>
    <x v="1"/>
    <n v="0"/>
  </r>
  <r>
    <x v="0"/>
    <x v="7"/>
    <x v="17"/>
    <x v="30"/>
    <x v="54"/>
    <x v="1"/>
    <n v="0"/>
  </r>
  <r>
    <x v="0"/>
    <x v="7"/>
    <x v="17"/>
    <x v="30"/>
    <x v="55"/>
    <x v="1"/>
    <n v="0"/>
  </r>
  <r>
    <x v="0"/>
    <x v="7"/>
    <x v="17"/>
    <x v="31"/>
    <x v="46"/>
    <x v="1"/>
    <n v="6.5004859399999999"/>
  </r>
  <r>
    <x v="0"/>
    <x v="7"/>
    <x v="17"/>
    <x v="31"/>
    <x v="47"/>
    <x v="1"/>
    <n v="6.5004859399999999"/>
  </r>
  <r>
    <x v="0"/>
    <x v="7"/>
    <x v="17"/>
    <x v="31"/>
    <x v="48"/>
    <x v="1"/>
    <n v="6.5004859399999999"/>
  </r>
  <r>
    <x v="0"/>
    <x v="7"/>
    <x v="17"/>
    <x v="31"/>
    <x v="49"/>
    <x v="1"/>
    <n v="0"/>
  </r>
  <r>
    <x v="0"/>
    <x v="7"/>
    <x v="17"/>
    <x v="31"/>
    <x v="50"/>
    <x v="1"/>
    <n v="0"/>
  </r>
  <r>
    <x v="0"/>
    <x v="7"/>
    <x v="17"/>
    <x v="31"/>
    <x v="51"/>
    <x v="1"/>
    <n v="0"/>
  </r>
  <r>
    <x v="0"/>
    <x v="7"/>
    <x v="17"/>
    <x v="31"/>
    <x v="52"/>
    <x v="1"/>
    <n v="0"/>
  </r>
  <r>
    <x v="0"/>
    <x v="7"/>
    <x v="17"/>
    <x v="31"/>
    <x v="53"/>
    <x v="1"/>
    <n v="0"/>
  </r>
  <r>
    <x v="0"/>
    <x v="7"/>
    <x v="17"/>
    <x v="31"/>
    <x v="54"/>
    <x v="1"/>
    <n v="0"/>
  </r>
  <r>
    <x v="0"/>
    <x v="7"/>
    <x v="17"/>
    <x v="31"/>
    <x v="55"/>
    <x v="1"/>
    <n v="0"/>
  </r>
  <r>
    <x v="0"/>
    <x v="7"/>
    <x v="17"/>
    <x v="32"/>
    <x v="46"/>
    <x v="1"/>
    <n v="21.527707557999999"/>
  </r>
  <r>
    <x v="0"/>
    <x v="7"/>
    <x v="17"/>
    <x v="32"/>
    <x v="47"/>
    <x v="1"/>
    <n v="21.527707557999999"/>
  </r>
  <r>
    <x v="0"/>
    <x v="7"/>
    <x v="17"/>
    <x v="32"/>
    <x v="48"/>
    <x v="1"/>
    <n v="21.527707557999999"/>
  </r>
  <r>
    <x v="0"/>
    <x v="7"/>
    <x v="17"/>
    <x v="32"/>
    <x v="49"/>
    <x v="1"/>
    <n v="0"/>
  </r>
  <r>
    <x v="0"/>
    <x v="7"/>
    <x v="17"/>
    <x v="32"/>
    <x v="50"/>
    <x v="1"/>
    <n v="0"/>
  </r>
  <r>
    <x v="0"/>
    <x v="7"/>
    <x v="17"/>
    <x v="32"/>
    <x v="51"/>
    <x v="1"/>
    <n v="0"/>
  </r>
  <r>
    <x v="0"/>
    <x v="7"/>
    <x v="17"/>
    <x v="32"/>
    <x v="52"/>
    <x v="1"/>
    <n v="0"/>
  </r>
  <r>
    <x v="0"/>
    <x v="7"/>
    <x v="17"/>
    <x v="32"/>
    <x v="53"/>
    <x v="1"/>
    <n v="0"/>
  </r>
  <r>
    <x v="0"/>
    <x v="7"/>
    <x v="17"/>
    <x v="32"/>
    <x v="54"/>
    <x v="1"/>
    <n v="0"/>
  </r>
  <r>
    <x v="0"/>
    <x v="7"/>
    <x v="17"/>
    <x v="32"/>
    <x v="55"/>
    <x v="1"/>
    <n v="0"/>
  </r>
  <r>
    <x v="0"/>
    <x v="7"/>
    <x v="17"/>
    <x v="33"/>
    <x v="46"/>
    <x v="1"/>
    <n v="12.838139085"/>
  </r>
  <r>
    <x v="0"/>
    <x v="7"/>
    <x v="17"/>
    <x v="33"/>
    <x v="47"/>
    <x v="1"/>
    <n v="12.838139085"/>
  </r>
  <r>
    <x v="0"/>
    <x v="7"/>
    <x v="17"/>
    <x v="33"/>
    <x v="48"/>
    <x v="1"/>
    <n v="12.838139085"/>
  </r>
  <r>
    <x v="0"/>
    <x v="7"/>
    <x v="17"/>
    <x v="33"/>
    <x v="49"/>
    <x v="1"/>
    <n v="0"/>
  </r>
  <r>
    <x v="0"/>
    <x v="7"/>
    <x v="17"/>
    <x v="33"/>
    <x v="50"/>
    <x v="1"/>
    <n v="0"/>
  </r>
  <r>
    <x v="0"/>
    <x v="7"/>
    <x v="17"/>
    <x v="33"/>
    <x v="51"/>
    <x v="1"/>
    <n v="0"/>
  </r>
  <r>
    <x v="0"/>
    <x v="7"/>
    <x v="17"/>
    <x v="33"/>
    <x v="52"/>
    <x v="1"/>
    <n v="0"/>
  </r>
  <r>
    <x v="0"/>
    <x v="7"/>
    <x v="17"/>
    <x v="33"/>
    <x v="53"/>
    <x v="1"/>
    <n v="0"/>
  </r>
  <r>
    <x v="0"/>
    <x v="7"/>
    <x v="17"/>
    <x v="33"/>
    <x v="54"/>
    <x v="1"/>
    <n v="0"/>
  </r>
  <r>
    <x v="0"/>
    <x v="7"/>
    <x v="17"/>
    <x v="33"/>
    <x v="55"/>
    <x v="1"/>
    <n v="0"/>
  </r>
  <r>
    <x v="0"/>
    <x v="7"/>
    <x v="17"/>
    <x v="34"/>
    <x v="46"/>
    <x v="1"/>
    <n v="13.866932245999999"/>
  </r>
  <r>
    <x v="0"/>
    <x v="7"/>
    <x v="17"/>
    <x v="34"/>
    <x v="47"/>
    <x v="1"/>
    <n v="13.866932245999999"/>
  </r>
  <r>
    <x v="0"/>
    <x v="7"/>
    <x v="17"/>
    <x v="34"/>
    <x v="48"/>
    <x v="1"/>
    <n v="13.866932245999999"/>
  </r>
  <r>
    <x v="0"/>
    <x v="7"/>
    <x v="17"/>
    <x v="34"/>
    <x v="49"/>
    <x v="1"/>
    <n v="0"/>
  </r>
  <r>
    <x v="0"/>
    <x v="7"/>
    <x v="17"/>
    <x v="34"/>
    <x v="50"/>
    <x v="1"/>
    <n v="0"/>
  </r>
  <r>
    <x v="0"/>
    <x v="7"/>
    <x v="17"/>
    <x v="34"/>
    <x v="51"/>
    <x v="1"/>
    <n v="0"/>
  </r>
  <r>
    <x v="0"/>
    <x v="7"/>
    <x v="17"/>
    <x v="34"/>
    <x v="52"/>
    <x v="1"/>
    <n v="0"/>
  </r>
  <r>
    <x v="0"/>
    <x v="7"/>
    <x v="17"/>
    <x v="34"/>
    <x v="53"/>
    <x v="1"/>
    <n v="0"/>
  </r>
  <r>
    <x v="0"/>
    <x v="7"/>
    <x v="17"/>
    <x v="34"/>
    <x v="54"/>
    <x v="1"/>
    <n v="0"/>
  </r>
  <r>
    <x v="0"/>
    <x v="7"/>
    <x v="17"/>
    <x v="34"/>
    <x v="55"/>
    <x v="1"/>
    <n v="0"/>
  </r>
  <r>
    <x v="0"/>
    <x v="7"/>
    <x v="17"/>
    <x v="35"/>
    <x v="46"/>
    <x v="1"/>
    <n v="10.73116924"/>
  </r>
  <r>
    <x v="0"/>
    <x v="7"/>
    <x v="17"/>
    <x v="35"/>
    <x v="47"/>
    <x v="1"/>
    <n v="10.73116924"/>
  </r>
  <r>
    <x v="0"/>
    <x v="7"/>
    <x v="17"/>
    <x v="35"/>
    <x v="48"/>
    <x v="1"/>
    <n v="10.73116924"/>
  </r>
  <r>
    <x v="0"/>
    <x v="7"/>
    <x v="17"/>
    <x v="35"/>
    <x v="49"/>
    <x v="1"/>
    <n v="0"/>
  </r>
  <r>
    <x v="0"/>
    <x v="7"/>
    <x v="17"/>
    <x v="35"/>
    <x v="50"/>
    <x v="1"/>
    <n v="0"/>
  </r>
  <r>
    <x v="0"/>
    <x v="7"/>
    <x v="17"/>
    <x v="35"/>
    <x v="51"/>
    <x v="1"/>
    <n v="0"/>
  </r>
  <r>
    <x v="0"/>
    <x v="7"/>
    <x v="17"/>
    <x v="35"/>
    <x v="52"/>
    <x v="1"/>
    <n v="0"/>
  </r>
  <r>
    <x v="0"/>
    <x v="7"/>
    <x v="17"/>
    <x v="35"/>
    <x v="53"/>
    <x v="1"/>
    <n v="0"/>
  </r>
  <r>
    <x v="0"/>
    <x v="7"/>
    <x v="17"/>
    <x v="35"/>
    <x v="54"/>
    <x v="1"/>
    <n v="0"/>
  </r>
  <r>
    <x v="0"/>
    <x v="7"/>
    <x v="17"/>
    <x v="35"/>
    <x v="55"/>
    <x v="1"/>
    <n v="0"/>
  </r>
  <r>
    <x v="0"/>
    <x v="7"/>
    <x v="17"/>
    <x v="36"/>
    <x v="46"/>
    <x v="1"/>
    <n v="3.58389566"/>
  </r>
  <r>
    <x v="0"/>
    <x v="7"/>
    <x v="17"/>
    <x v="36"/>
    <x v="47"/>
    <x v="1"/>
    <n v="3.58389566"/>
  </r>
  <r>
    <x v="0"/>
    <x v="7"/>
    <x v="17"/>
    <x v="36"/>
    <x v="48"/>
    <x v="1"/>
    <n v="3.58389566"/>
  </r>
  <r>
    <x v="0"/>
    <x v="7"/>
    <x v="17"/>
    <x v="36"/>
    <x v="49"/>
    <x v="1"/>
    <n v="0"/>
  </r>
  <r>
    <x v="0"/>
    <x v="7"/>
    <x v="17"/>
    <x v="36"/>
    <x v="50"/>
    <x v="1"/>
    <n v="0"/>
  </r>
  <r>
    <x v="0"/>
    <x v="7"/>
    <x v="17"/>
    <x v="36"/>
    <x v="51"/>
    <x v="1"/>
    <n v="0"/>
  </r>
  <r>
    <x v="0"/>
    <x v="7"/>
    <x v="17"/>
    <x v="36"/>
    <x v="52"/>
    <x v="1"/>
    <n v="0"/>
  </r>
  <r>
    <x v="0"/>
    <x v="7"/>
    <x v="17"/>
    <x v="36"/>
    <x v="53"/>
    <x v="1"/>
    <n v="0"/>
  </r>
  <r>
    <x v="0"/>
    <x v="7"/>
    <x v="17"/>
    <x v="36"/>
    <x v="54"/>
    <x v="1"/>
    <n v="0"/>
  </r>
  <r>
    <x v="0"/>
    <x v="7"/>
    <x v="17"/>
    <x v="36"/>
    <x v="55"/>
    <x v="1"/>
    <n v="0"/>
  </r>
  <r>
    <x v="0"/>
    <x v="7"/>
    <x v="17"/>
    <x v="37"/>
    <x v="46"/>
    <x v="1"/>
    <n v="5.0876727979999998"/>
  </r>
  <r>
    <x v="0"/>
    <x v="7"/>
    <x v="17"/>
    <x v="37"/>
    <x v="47"/>
    <x v="1"/>
    <n v="5.0876727979999998"/>
  </r>
  <r>
    <x v="0"/>
    <x v="7"/>
    <x v="17"/>
    <x v="37"/>
    <x v="48"/>
    <x v="1"/>
    <n v="5.0876727979999998"/>
  </r>
  <r>
    <x v="0"/>
    <x v="7"/>
    <x v="17"/>
    <x v="37"/>
    <x v="49"/>
    <x v="1"/>
    <n v="0"/>
  </r>
  <r>
    <x v="0"/>
    <x v="7"/>
    <x v="17"/>
    <x v="37"/>
    <x v="50"/>
    <x v="1"/>
    <n v="0"/>
  </r>
  <r>
    <x v="0"/>
    <x v="7"/>
    <x v="17"/>
    <x v="37"/>
    <x v="51"/>
    <x v="1"/>
    <n v="0"/>
  </r>
  <r>
    <x v="0"/>
    <x v="7"/>
    <x v="17"/>
    <x v="37"/>
    <x v="52"/>
    <x v="1"/>
    <n v="0"/>
  </r>
  <r>
    <x v="0"/>
    <x v="7"/>
    <x v="17"/>
    <x v="37"/>
    <x v="53"/>
    <x v="1"/>
    <n v="0"/>
  </r>
  <r>
    <x v="0"/>
    <x v="7"/>
    <x v="17"/>
    <x v="37"/>
    <x v="54"/>
    <x v="1"/>
    <n v="0"/>
  </r>
  <r>
    <x v="0"/>
    <x v="7"/>
    <x v="17"/>
    <x v="37"/>
    <x v="55"/>
    <x v="1"/>
    <n v="0"/>
  </r>
  <r>
    <x v="0"/>
    <x v="7"/>
    <x v="17"/>
    <x v="38"/>
    <x v="46"/>
    <x v="1"/>
    <n v="18.455725549"/>
  </r>
  <r>
    <x v="0"/>
    <x v="7"/>
    <x v="17"/>
    <x v="38"/>
    <x v="47"/>
    <x v="1"/>
    <n v="18.455725549"/>
  </r>
  <r>
    <x v="0"/>
    <x v="7"/>
    <x v="17"/>
    <x v="38"/>
    <x v="48"/>
    <x v="1"/>
    <n v="18.455725549"/>
  </r>
  <r>
    <x v="0"/>
    <x v="7"/>
    <x v="17"/>
    <x v="38"/>
    <x v="49"/>
    <x v="1"/>
    <n v="0"/>
  </r>
  <r>
    <x v="0"/>
    <x v="7"/>
    <x v="17"/>
    <x v="38"/>
    <x v="50"/>
    <x v="1"/>
    <n v="0"/>
  </r>
  <r>
    <x v="0"/>
    <x v="7"/>
    <x v="17"/>
    <x v="38"/>
    <x v="51"/>
    <x v="1"/>
    <n v="0"/>
  </r>
  <r>
    <x v="0"/>
    <x v="7"/>
    <x v="17"/>
    <x v="38"/>
    <x v="52"/>
    <x v="1"/>
    <n v="0"/>
  </r>
  <r>
    <x v="0"/>
    <x v="7"/>
    <x v="17"/>
    <x v="38"/>
    <x v="53"/>
    <x v="1"/>
    <n v="0"/>
  </r>
  <r>
    <x v="0"/>
    <x v="7"/>
    <x v="17"/>
    <x v="38"/>
    <x v="54"/>
    <x v="1"/>
    <n v="0"/>
  </r>
  <r>
    <x v="0"/>
    <x v="7"/>
    <x v="17"/>
    <x v="38"/>
    <x v="55"/>
    <x v="1"/>
    <n v="0"/>
  </r>
  <r>
    <x v="0"/>
    <x v="7"/>
    <x v="17"/>
    <x v="39"/>
    <x v="46"/>
    <x v="1"/>
    <n v="7.6016856849999996"/>
  </r>
  <r>
    <x v="0"/>
    <x v="7"/>
    <x v="17"/>
    <x v="39"/>
    <x v="47"/>
    <x v="1"/>
    <n v="7.6016856849999996"/>
  </r>
  <r>
    <x v="0"/>
    <x v="7"/>
    <x v="17"/>
    <x v="39"/>
    <x v="48"/>
    <x v="1"/>
    <n v="7.6016856849999996"/>
  </r>
  <r>
    <x v="0"/>
    <x v="7"/>
    <x v="17"/>
    <x v="39"/>
    <x v="49"/>
    <x v="1"/>
    <n v="0"/>
  </r>
  <r>
    <x v="0"/>
    <x v="7"/>
    <x v="17"/>
    <x v="39"/>
    <x v="50"/>
    <x v="1"/>
    <n v="0"/>
  </r>
  <r>
    <x v="0"/>
    <x v="7"/>
    <x v="17"/>
    <x v="39"/>
    <x v="51"/>
    <x v="1"/>
    <n v="0"/>
  </r>
  <r>
    <x v="0"/>
    <x v="7"/>
    <x v="17"/>
    <x v="39"/>
    <x v="52"/>
    <x v="1"/>
    <n v="0"/>
  </r>
  <r>
    <x v="0"/>
    <x v="7"/>
    <x v="17"/>
    <x v="39"/>
    <x v="53"/>
    <x v="1"/>
    <n v="0"/>
  </r>
  <r>
    <x v="0"/>
    <x v="7"/>
    <x v="17"/>
    <x v="39"/>
    <x v="54"/>
    <x v="1"/>
    <n v="0"/>
  </r>
  <r>
    <x v="0"/>
    <x v="7"/>
    <x v="17"/>
    <x v="39"/>
    <x v="55"/>
    <x v="1"/>
    <n v="0"/>
  </r>
  <r>
    <x v="0"/>
    <x v="7"/>
    <x v="17"/>
    <x v="40"/>
    <x v="46"/>
    <x v="1"/>
    <n v="2.6395092089999999"/>
  </r>
  <r>
    <x v="0"/>
    <x v="7"/>
    <x v="17"/>
    <x v="40"/>
    <x v="47"/>
    <x v="1"/>
    <n v="2.6395092089999999"/>
  </r>
  <r>
    <x v="0"/>
    <x v="7"/>
    <x v="17"/>
    <x v="40"/>
    <x v="48"/>
    <x v="1"/>
    <n v="2.6395092089999999"/>
  </r>
  <r>
    <x v="0"/>
    <x v="7"/>
    <x v="17"/>
    <x v="40"/>
    <x v="49"/>
    <x v="1"/>
    <n v="0"/>
  </r>
  <r>
    <x v="0"/>
    <x v="7"/>
    <x v="17"/>
    <x v="40"/>
    <x v="50"/>
    <x v="1"/>
    <n v="0"/>
  </r>
  <r>
    <x v="0"/>
    <x v="7"/>
    <x v="17"/>
    <x v="40"/>
    <x v="51"/>
    <x v="1"/>
    <n v="0"/>
  </r>
  <r>
    <x v="0"/>
    <x v="7"/>
    <x v="17"/>
    <x v="40"/>
    <x v="52"/>
    <x v="1"/>
    <n v="0"/>
  </r>
  <r>
    <x v="0"/>
    <x v="7"/>
    <x v="17"/>
    <x v="40"/>
    <x v="53"/>
    <x v="1"/>
    <n v="0"/>
  </r>
  <r>
    <x v="0"/>
    <x v="7"/>
    <x v="17"/>
    <x v="40"/>
    <x v="54"/>
    <x v="1"/>
    <n v="0"/>
  </r>
  <r>
    <x v="0"/>
    <x v="7"/>
    <x v="17"/>
    <x v="40"/>
    <x v="55"/>
    <x v="1"/>
    <n v="0"/>
  </r>
  <r>
    <x v="0"/>
    <x v="7"/>
    <x v="17"/>
    <x v="41"/>
    <x v="46"/>
    <x v="1"/>
    <n v="38.975527327000002"/>
  </r>
  <r>
    <x v="0"/>
    <x v="7"/>
    <x v="17"/>
    <x v="41"/>
    <x v="47"/>
    <x v="1"/>
    <n v="38.975527327000002"/>
  </r>
  <r>
    <x v="0"/>
    <x v="7"/>
    <x v="17"/>
    <x v="41"/>
    <x v="48"/>
    <x v="1"/>
    <n v="38.975527327000002"/>
  </r>
  <r>
    <x v="0"/>
    <x v="7"/>
    <x v="17"/>
    <x v="41"/>
    <x v="49"/>
    <x v="1"/>
    <n v="0"/>
  </r>
  <r>
    <x v="0"/>
    <x v="7"/>
    <x v="17"/>
    <x v="41"/>
    <x v="50"/>
    <x v="1"/>
    <n v="0"/>
  </r>
  <r>
    <x v="0"/>
    <x v="7"/>
    <x v="17"/>
    <x v="41"/>
    <x v="51"/>
    <x v="1"/>
    <n v="0"/>
  </r>
  <r>
    <x v="0"/>
    <x v="7"/>
    <x v="17"/>
    <x v="41"/>
    <x v="52"/>
    <x v="1"/>
    <n v="0"/>
  </r>
  <r>
    <x v="0"/>
    <x v="7"/>
    <x v="17"/>
    <x v="41"/>
    <x v="53"/>
    <x v="1"/>
    <n v="0"/>
  </r>
  <r>
    <x v="0"/>
    <x v="7"/>
    <x v="17"/>
    <x v="41"/>
    <x v="54"/>
    <x v="1"/>
    <n v="0"/>
  </r>
  <r>
    <x v="0"/>
    <x v="7"/>
    <x v="17"/>
    <x v="41"/>
    <x v="55"/>
    <x v="1"/>
    <n v="0"/>
  </r>
  <r>
    <x v="0"/>
    <x v="7"/>
    <x v="18"/>
    <x v="42"/>
    <x v="46"/>
    <x v="1"/>
    <n v="22.388272123"/>
  </r>
  <r>
    <x v="0"/>
    <x v="7"/>
    <x v="18"/>
    <x v="42"/>
    <x v="47"/>
    <x v="1"/>
    <n v="22.388272123"/>
  </r>
  <r>
    <x v="0"/>
    <x v="7"/>
    <x v="18"/>
    <x v="42"/>
    <x v="48"/>
    <x v="1"/>
    <n v="22.388272123"/>
  </r>
  <r>
    <x v="0"/>
    <x v="7"/>
    <x v="18"/>
    <x v="42"/>
    <x v="49"/>
    <x v="1"/>
    <n v="0"/>
  </r>
  <r>
    <x v="0"/>
    <x v="7"/>
    <x v="18"/>
    <x v="42"/>
    <x v="50"/>
    <x v="1"/>
    <n v="0"/>
  </r>
  <r>
    <x v="0"/>
    <x v="7"/>
    <x v="18"/>
    <x v="42"/>
    <x v="51"/>
    <x v="1"/>
    <n v="0"/>
  </r>
  <r>
    <x v="0"/>
    <x v="7"/>
    <x v="18"/>
    <x v="42"/>
    <x v="52"/>
    <x v="1"/>
    <n v="0"/>
  </r>
  <r>
    <x v="0"/>
    <x v="7"/>
    <x v="18"/>
    <x v="42"/>
    <x v="53"/>
    <x v="1"/>
    <n v="0"/>
  </r>
  <r>
    <x v="0"/>
    <x v="7"/>
    <x v="18"/>
    <x v="42"/>
    <x v="54"/>
    <x v="1"/>
    <n v="0"/>
  </r>
  <r>
    <x v="0"/>
    <x v="7"/>
    <x v="18"/>
    <x v="42"/>
    <x v="55"/>
    <x v="1"/>
    <n v="0"/>
  </r>
  <r>
    <x v="0"/>
    <x v="7"/>
    <x v="18"/>
    <x v="43"/>
    <x v="46"/>
    <x v="1"/>
    <n v="54.084583414000001"/>
  </r>
  <r>
    <x v="0"/>
    <x v="7"/>
    <x v="18"/>
    <x v="43"/>
    <x v="47"/>
    <x v="1"/>
    <n v="54.084583414000001"/>
  </r>
  <r>
    <x v="0"/>
    <x v="7"/>
    <x v="18"/>
    <x v="43"/>
    <x v="48"/>
    <x v="1"/>
    <n v="54.084583414000001"/>
  </r>
  <r>
    <x v="0"/>
    <x v="7"/>
    <x v="18"/>
    <x v="43"/>
    <x v="49"/>
    <x v="1"/>
    <n v="0"/>
  </r>
  <r>
    <x v="0"/>
    <x v="7"/>
    <x v="18"/>
    <x v="43"/>
    <x v="50"/>
    <x v="1"/>
    <n v="0"/>
  </r>
  <r>
    <x v="0"/>
    <x v="7"/>
    <x v="18"/>
    <x v="43"/>
    <x v="51"/>
    <x v="1"/>
    <n v="0"/>
  </r>
  <r>
    <x v="0"/>
    <x v="7"/>
    <x v="18"/>
    <x v="43"/>
    <x v="52"/>
    <x v="1"/>
    <n v="0"/>
  </r>
  <r>
    <x v="0"/>
    <x v="7"/>
    <x v="18"/>
    <x v="43"/>
    <x v="53"/>
    <x v="1"/>
    <n v="0"/>
  </r>
  <r>
    <x v="0"/>
    <x v="7"/>
    <x v="18"/>
    <x v="43"/>
    <x v="54"/>
    <x v="1"/>
    <n v="0"/>
  </r>
  <r>
    <x v="0"/>
    <x v="7"/>
    <x v="18"/>
    <x v="43"/>
    <x v="55"/>
    <x v="1"/>
    <n v="0"/>
  </r>
  <r>
    <x v="0"/>
    <x v="7"/>
    <x v="19"/>
    <x v="44"/>
    <x v="46"/>
    <x v="5"/>
    <n v="629.92579069299995"/>
  </r>
  <r>
    <x v="0"/>
    <x v="7"/>
    <x v="19"/>
    <x v="44"/>
    <x v="47"/>
    <x v="5"/>
    <n v="629.92579069299995"/>
  </r>
  <r>
    <x v="0"/>
    <x v="7"/>
    <x v="19"/>
    <x v="44"/>
    <x v="48"/>
    <x v="5"/>
    <n v="629.92579069299995"/>
  </r>
  <r>
    <x v="0"/>
    <x v="7"/>
    <x v="19"/>
    <x v="44"/>
    <x v="49"/>
    <x v="5"/>
    <n v="0"/>
  </r>
  <r>
    <x v="0"/>
    <x v="7"/>
    <x v="19"/>
    <x v="44"/>
    <x v="50"/>
    <x v="5"/>
    <n v="0"/>
  </r>
  <r>
    <x v="0"/>
    <x v="7"/>
    <x v="19"/>
    <x v="44"/>
    <x v="51"/>
    <x v="5"/>
    <n v="0"/>
  </r>
  <r>
    <x v="0"/>
    <x v="7"/>
    <x v="19"/>
    <x v="44"/>
    <x v="52"/>
    <x v="5"/>
    <n v="0"/>
  </r>
  <r>
    <x v="0"/>
    <x v="7"/>
    <x v="19"/>
    <x v="44"/>
    <x v="53"/>
    <x v="5"/>
    <n v="0"/>
  </r>
  <r>
    <x v="0"/>
    <x v="7"/>
    <x v="19"/>
    <x v="44"/>
    <x v="54"/>
    <x v="5"/>
    <n v="0"/>
  </r>
  <r>
    <x v="0"/>
    <x v="7"/>
    <x v="19"/>
    <x v="44"/>
    <x v="55"/>
    <x v="5"/>
    <n v="0"/>
  </r>
  <r>
    <x v="0"/>
    <x v="7"/>
    <x v="20"/>
    <x v="44"/>
    <x v="0"/>
    <x v="6"/>
    <n v="238.71323556900001"/>
  </r>
  <r>
    <x v="0"/>
    <x v="7"/>
    <x v="21"/>
    <x v="44"/>
    <x v="0"/>
    <x v="6"/>
    <n v="3596.0685647340001"/>
  </r>
  <r>
    <x v="0"/>
    <x v="7"/>
    <x v="22"/>
    <x v="44"/>
    <x v="0"/>
    <x v="5"/>
    <n v="6.6381725000000003E-2"/>
  </r>
  <r>
    <x v="0"/>
    <x v="7"/>
    <x v="23"/>
    <x v="44"/>
    <x v="0"/>
    <x v="5"/>
    <n v="834.34458830000005"/>
  </r>
  <r>
    <x v="0"/>
    <x v="7"/>
    <x v="24"/>
    <x v="44"/>
    <x v="0"/>
    <x v="6"/>
    <n v="1560.8169803789999"/>
  </r>
  <r>
    <x v="0"/>
    <x v="7"/>
    <x v="25"/>
    <x v="45"/>
    <x v="0"/>
    <x v="6"/>
    <n v="1305.1811040079999"/>
  </r>
  <r>
    <x v="0"/>
    <x v="7"/>
    <x v="26"/>
    <x v="44"/>
    <x v="0"/>
    <x v="6"/>
    <n v="1262.266557339"/>
  </r>
  <r>
    <x v="0"/>
    <x v="7"/>
    <x v="27"/>
    <x v="44"/>
    <x v="0"/>
    <x v="6"/>
    <n v="698.23667417599995"/>
  </r>
  <r>
    <x v="0"/>
    <x v="7"/>
    <x v="28"/>
    <x v="44"/>
    <x v="0"/>
    <x v="6"/>
    <n v="1230.4327511659999"/>
  </r>
  <r>
    <x v="0"/>
    <x v="7"/>
    <x v="29"/>
    <x v="44"/>
    <x v="0"/>
    <x v="6"/>
    <n v="5.914228864"/>
  </r>
  <r>
    <x v="0"/>
    <x v="7"/>
    <x v="30"/>
    <x v="44"/>
    <x v="0"/>
    <x v="6"/>
    <n v="213.92788830000001"/>
  </r>
  <r>
    <x v="0"/>
    <x v="7"/>
    <x v="31"/>
    <x v="44"/>
    <x v="0"/>
    <x v="6"/>
    <n v="8260.9613129730005"/>
  </r>
  <r>
    <x v="0"/>
    <x v="7"/>
    <x v="32"/>
    <x v="44"/>
    <x v="0"/>
    <x v="5"/>
    <n v="2.5896246000000001E-2"/>
  </r>
  <r>
    <x v="0"/>
    <x v="7"/>
    <x v="33"/>
    <x v="44"/>
    <x v="0"/>
    <x v="5"/>
    <n v="5.9682999999999998E-5"/>
  </r>
  <r>
    <x v="0"/>
    <x v="7"/>
    <x v="34"/>
    <x v="44"/>
    <x v="0"/>
    <x v="5"/>
    <n v="1"/>
  </r>
  <r>
    <x v="0"/>
    <x v="7"/>
    <x v="35"/>
    <x v="44"/>
    <x v="0"/>
    <x v="5"/>
    <n v="1.075"/>
  </r>
  <r>
    <x v="0"/>
    <x v="7"/>
    <x v="36"/>
    <x v="44"/>
    <x v="0"/>
    <x v="5"/>
    <n v="6.3822490000000004E-3"/>
  </r>
  <r>
    <x v="0"/>
    <x v="7"/>
    <x v="37"/>
    <x v="45"/>
    <x v="0"/>
    <x v="6"/>
    <n v="0"/>
  </r>
  <r>
    <x v="0"/>
    <x v="7"/>
    <x v="38"/>
    <x v="45"/>
    <x v="0"/>
    <x v="6"/>
    <n v="0"/>
  </r>
  <r>
    <x v="0"/>
    <x v="7"/>
    <x v="39"/>
    <x v="45"/>
    <x v="0"/>
    <x v="6"/>
    <n v="1"/>
  </r>
  <r>
    <x v="0"/>
    <x v="7"/>
    <x v="40"/>
    <x v="45"/>
    <x v="0"/>
    <x v="6"/>
    <n v="139.353835844"/>
  </r>
  <r>
    <x v="0"/>
    <x v="7"/>
    <x v="41"/>
    <x v="45"/>
    <x v="0"/>
    <x v="6"/>
    <n v="124.38594574699999"/>
  </r>
  <r>
    <x v="0"/>
    <x v="7"/>
    <x v="42"/>
    <x v="45"/>
    <x v="0"/>
    <x v="6"/>
    <n v="14.967890097"/>
  </r>
  <r>
    <x v="0"/>
    <x v="7"/>
    <x v="43"/>
    <x v="45"/>
    <x v="0"/>
    <x v="6"/>
    <n v="293.35566010000002"/>
  </r>
  <r>
    <x v="0"/>
    <x v="7"/>
    <x v="44"/>
    <x v="45"/>
    <x v="0"/>
    <x v="6"/>
    <n v="0"/>
  </r>
  <r>
    <x v="0"/>
    <x v="7"/>
    <x v="45"/>
    <x v="44"/>
    <x v="0"/>
    <x v="5"/>
    <n v="5.1023013999999998E-2"/>
  </r>
  <r>
    <x v="0"/>
    <x v="7"/>
    <x v="46"/>
    <x v="45"/>
    <x v="0"/>
    <x v="5"/>
    <n v="3.7785705329999999"/>
  </r>
  <r>
    <x v="0"/>
    <x v="7"/>
    <x v="47"/>
    <x v="46"/>
    <x v="0"/>
    <x v="6"/>
    <n v="0.86971781500000001"/>
  </r>
  <r>
    <x v="0"/>
    <x v="7"/>
    <x v="48"/>
    <x v="47"/>
    <x v="0"/>
    <x v="6"/>
    <n v="0"/>
  </r>
  <r>
    <x v="0"/>
    <x v="7"/>
    <x v="49"/>
    <x v="47"/>
    <x v="0"/>
    <x v="6"/>
    <n v="0"/>
  </r>
  <r>
    <x v="0"/>
    <x v="7"/>
    <x v="50"/>
    <x v="48"/>
    <x v="0"/>
    <x v="7"/>
    <n v="110.186379053"/>
  </r>
  <r>
    <x v="0"/>
    <x v="7"/>
    <x v="50"/>
    <x v="49"/>
    <x v="0"/>
    <x v="7"/>
    <n v="102.87179143100001"/>
  </r>
  <r>
    <x v="0"/>
    <x v="7"/>
    <x v="51"/>
    <x v="42"/>
    <x v="0"/>
    <x v="4"/>
    <n v="53.191023979999997"/>
  </r>
  <r>
    <x v="0"/>
    <x v="7"/>
    <x v="51"/>
    <x v="43"/>
    <x v="0"/>
    <x v="4"/>
    <n v="176.41605719099999"/>
  </r>
  <r>
    <x v="0"/>
    <x v="7"/>
    <x v="52"/>
    <x v="42"/>
    <x v="0"/>
    <x v="4"/>
    <n v="31.596486623000001"/>
  </r>
  <r>
    <x v="0"/>
    <x v="7"/>
    <x v="52"/>
    <x v="43"/>
    <x v="0"/>
    <x v="4"/>
    <n v="70.920969439999993"/>
  </r>
  <r>
    <x v="0"/>
    <x v="7"/>
    <x v="53"/>
    <x v="42"/>
    <x v="0"/>
    <x v="4"/>
    <n v="9.2082145000000004"/>
  </r>
  <r>
    <x v="0"/>
    <x v="7"/>
    <x v="53"/>
    <x v="43"/>
    <x v="0"/>
    <x v="4"/>
    <n v="16.836386026"/>
  </r>
  <r>
    <x v="0"/>
    <x v="7"/>
    <x v="54"/>
    <x v="42"/>
    <x v="56"/>
    <x v="4"/>
    <n v="17.116884636000002"/>
  </r>
  <r>
    <x v="0"/>
    <x v="7"/>
    <x v="54"/>
    <x v="43"/>
    <x v="56"/>
    <x v="4"/>
    <n v="97.382393820000004"/>
  </r>
  <r>
    <x v="0"/>
    <x v="7"/>
    <x v="55"/>
    <x v="42"/>
    <x v="0"/>
    <x v="4"/>
    <n v="6.2758454000000005E-2"/>
  </r>
  <r>
    <x v="0"/>
    <x v="7"/>
    <x v="55"/>
    <x v="43"/>
    <x v="0"/>
    <x v="4"/>
    <n v="5.8075631000000003E-2"/>
  </r>
  <r>
    <x v="0"/>
    <x v="7"/>
    <x v="56"/>
    <x v="42"/>
    <x v="0"/>
    <x v="4"/>
    <n v="7.9908173999999998E-2"/>
  </r>
  <r>
    <x v="0"/>
    <x v="7"/>
    <x v="56"/>
    <x v="43"/>
    <x v="0"/>
    <x v="4"/>
    <n v="7.7124280000000003E-2"/>
  </r>
  <r>
    <x v="0"/>
    <x v="7"/>
    <x v="57"/>
    <x v="42"/>
    <x v="0"/>
    <x v="4"/>
    <n v="4.0851660999999997E-2"/>
  </r>
  <r>
    <x v="0"/>
    <x v="7"/>
    <x v="57"/>
    <x v="43"/>
    <x v="0"/>
    <x v="4"/>
    <n v="3.8401378999999999E-2"/>
  </r>
  <r>
    <x v="0"/>
    <x v="7"/>
    <x v="58"/>
    <x v="44"/>
    <x v="57"/>
    <x v="5"/>
    <n v="3.8001263E-2"/>
  </r>
  <r>
    <x v="0"/>
    <x v="7"/>
    <x v="59"/>
    <x v="44"/>
    <x v="57"/>
    <x v="6"/>
    <n v="704.06799999999998"/>
  </r>
  <r>
    <x v="0"/>
    <x v="7"/>
    <x v="60"/>
    <x v="0"/>
    <x v="57"/>
    <x v="8"/>
    <n v="217.35208730900001"/>
  </r>
  <r>
    <x v="0"/>
    <x v="7"/>
    <x v="60"/>
    <x v="1"/>
    <x v="57"/>
    <x v="8"/>
    <n v="25.278440982999999"/>
  </r>
  <r>
    <x v="0"/>
    <x v="7"/>
    <x v="60"/>
    <x v="2"/>
    <x v="57"/>
    <x v="8"/>
    <n v="81.091303404000001"/>
  </r>
  <r>
    <x v="0"/>
    <x v="7"/>
    <x v="60"/>
    <x v="3"/>
    <x v="57"/>
    <x v="8"/>
    <n v="58.425811418999999"/>
  </r>
  <r>
    <x v="0"/>
    <x v="7"/>
    <x v="60"/>
    <x v="4"/>
    <x v="57"/>
    <x v="8"/>
    <n v="4.4065203820000001"/>
  </r>
  <r>
    <x v="0"/>
    <x v="7"/>
    <x v="60"/>
    <x v="5"/>
    <x v="57"/>
    <x v="8"/>
    <n v="88.963676895000006"/>
  </r>
  <r>
    <x v="0"/>
    <x v="7"/>
    <x v="60"/>
    <x v="6"/>
    <x v="57"/>
    <x v="8"/>
    <n v="12.888068984"/>
  </r>
  <r>
    <x v="0"/>
    <x v="7"/>
    <x v="60"/>
    <x v="7"/>
    <x v="57"/>
    <x v="8"/>
    <n v="21.42332369"/>
  </r>
  <r>
    <x v="0"/>
    <x v="7"/>
    <x v="60"/>
    <x v="8"/>
    <x v="57"/>
    <x v="8"/>
    <n v="6.0927966060000003"/>
  </r>
  <r>
    <x v="0"/>
    <x v="7"/>
    <x v="60"/>
    <x v="9"/>
    <x v="57"/>
    <x v="8"/>
    <n v="20.442789764"/>
  </r>
  <r>
    <x v="0"/>
    <x v="7"/>
    <x v="60"/>
    <x v="10"/>
    <x v="57"/>
    <x v="8"/>
    <n v="19.28291789"/>
  </r>
  <r>
    <x v="0"/>
    <x v="7"/>
    <x v="60"/>
    <x v="11"/>
    <x v="57"/>
    <x v="8"/>
    <n v="110.20651478800001"/>
  </r>
  <r>
    <x v="0"/>
    <x v="7"/>
    <x v="60"/>
    <x v="12"/>
    <x v="57"/>
    <x v="8"/>
    <n v="4.6884531909999998"/>
  </r>
  <r>
    <x v="0"/>
    <x v="7"/>
    <x v="60"/>
    <x v="13"/>
    <x v="57"/>
    <x v="8"/>
    <n v="44.686478246"/>
  </r>
  <r>
    <x v="0"/>
    <x v="7"/>
    <x v="60"/>
    <x v="14"/>
    <x v="57"/>
    <x v="8"/>
    <n v="5.8608363680000002"/>
  </r>
  <r>
    <x v="0"/>
    <x v="7"/>
    <x v="60"/>
    <x v="15"/>
    <x v="57"/>
    <x v="8"/>
    <n v="39.772326667999998"/>
  </r>
  <r>
    <x v="0"/>
    <x v="7"/>
    <x v="60"/>
    <x v="16"/>
    <x v="57"/>
    <x v="8"/>
    <n v="34.189912067999998"/>
  </r>
  <r>
    <x v="0"/>
    <x v="7"/>
    <x v="60"/>
    <x v="17"/>
    <x v="57"/>
    <x v="8"/>
    <n v="55.785927676"/>
  </r>
  <r>
    <x v="0"/>
    <x v="7"/>
    <x v="60"/>
    <x v="18"/>
    <x v="57"/>
    <x v="8"/>
    <n v="29.698434967000001"/>
  </r>
  <r>
    <x v="0"/>
    <x v="7"/>
    <x v="60"/>
    <x v="19"/>
    <x v="57"/>
    <x v="8"/>
    <n v="169.00899621799999"/>
  </r>
  <r>
    <x v="0"/>
    <x v="7"/>
    <x v="60"/>
    <x v="20"/>
    <x v="57"/>
    <x v="8"/>
    <n v="24.597019282000002"/>
  </r>
  <r>
    <x v="0"/>
    <x v="7"/>
    <x v="60"/>
    <x v="21"/>
    <x v="57"/>
    <x v="8"/>
    <n v="0.50214876399999997"/>
  </r>
  <r>
    <x v="0"/>
    <x v="7"/>
    <x v="60"/>
    <x v="22"/>
    <x v="57"/>
    <x v="8"/>
    <n v="1.163093726"/>
  </r>
  <r>
    <x v="0"/>
    <x v="7"/>
    <x v="60"/>
    <x v="23"/>
    <x v="57"/>
    <x v="8"/>
    <n v="0"/>
  </r>
  <r>
    <x v="0"/>
    <x v="7"/>
    <x v="60"/>
    <x v="24"/>
    <x v="57"/>
    <x v="8"/>
    <n v="0.172033089"/>
  </r>
  <r>
    <x v="0"/>
    <x v="7"/>
    <x v="60"/>
    <x v="25"/>
    <x v="57"/>
    <x v="8"/>
    <n v="9.9999999999999995E-8"/>
  </r>
  <r>
    <x v="0"/>
    <x v="7"/>
    <x v="60"/>
    <x v="26"/>
    <x v="57"/>
    <x v="8"/>
    <n v="0"/>
  </r>
  <r>
    <x v="0"/>
    <x v="7"/>
    <x v="60"/>
    <x v="27"/>
    <x v="57"/>
    <x v="8"/>
    <n v="3.0004458920000001"/>
  </r>
  <r>
    <x v="0"/>
    <x v="7"/>
    <x v="60"/>
    <x v="28"/>
    <x v="57"/>
    <x v="8"/>
    <n v="0"/>
  </r>
  <r>
    <x v="0"/>
    <x v="7"/>
    <x v="60"/>
    <x v="29"/>
    <x v="57"/>
    <x v="8"/>
    <n v="34.083944227000003"/>
  </r>
  <r>
    <x v="0"/>
    <x v="7"/>
    <x v="60"/>
    <x v="30"/>
    <x v="57"/>
    <x v="8"/>
    <n v="21.740143458999999"/>
  </r>
  <r>
    <x v="0"/>
    <x v="7"/>
    <x v="60"/>
    <x v="31"/>
    <x v="57"/>
    <x v="8"/>
    <n v="5.2795850360000003"/>
  </r>
  <r>
    <x v="0"/>
    <x v="7"/>
    <x v="60"/>
    <x v="32"/>
    <x v="57"/>
    <x v="8"/>
    <n v="3.194193222"/>
  </r>
  <r>
    <x v="0"/>
    <x v="7"/>
    <x v="60"/>
    <x v="33"/>
    <x v="57"/>
    <x v="8"/>
    <n v="0"/>
  </r>
  <r>
    <x v="0"/>
    <x v="7"/>
    <x v="60"/>
    <x v="34"/>
    <x v="57"/>
    <x v="8"/>
    <n v="35.517153739000001"/>
  </r>
  <r>
    <x v="0"/>
    <x v="7"/>
    <x v="60"/>
    <x v="35"/>
    <x v="57"/>
    <x v="8"/>
    <n v="3.4840269749999999"/>
  </r>
  <r>
    <x v="0"/>
    <x v="7"/>
    <x v="60"/>
    <x v="36"/>
    <x v="57"/>
    <x v="8"/>
    <n v="7.0489169059999996"/>
  </r>
  <r>
    <x v="0"/>
    <x v="7"/>
    <x v="60"/>
    <x v="37"/>
    <x v="57"/>
    <x v="8"/>
    <n v="2.0402428119999998"/>
  </r>
  <r>
    <x v="0"/>
    <x v="7"/>
    <x v="60"/>
    <x v="38"/>
    <x v="57"/>
    <x v="8"/>
    <n v="8.9072675579999991"/>
  </r>
  <r>
    <x v="0"/>
    <x v="7"/>
    <x v="60"/>
    <x v="39"/>
    <x v="57"/>
    <x v="8"/>
    <n v="2.6909228860000001"/>
  </r>
  <r>
    <x v="0"/>
    <x v="7"/>
    <x v="60"/>
    <x v="40"/>
    <x v="57"/>
    <x v="8"/>
    <n v="20.801070540000001"/>
  </r>
  <r>
    <x v="0"/>
    <x v="7"/>
    <x v="60"/>
    <x v="41"/>
    <x v="57"/>
    <x v="8"/>
    <n v="6.6649254359999999"/>
  </r>
  <r>
    <x v="0"/>
    <x v="7"/>
    <x v="61"/>
    <x v="0"/>
    <x v="57"/>
    <x v="8"/>
    <n v="1.2135640059999999"/>
  </r>
  <r>
    <x v="0"/>
    <x v="7"/>
    <x v="61"/>
    <x v="1"/>
    <x v="57"/>
    <x v="8"/>
    <n v="0.419001344"/>
  </r>
  <r>
    <x v="0"/>
    <x v="7"/>
    <x v="61"/>
    <x v="2"/>
    <x v="57"/>
    <x v="8"/>
    <n v="2.556487969"/>
  </r>
  <r>
    <x v="0"/>
    <x v="7"/>
    <x v="61"/>
    <x v="3"/>
    <x v="57"/>
    <x v="8"/>
    <n v="0.382233508"/>
  </r>
  <r>
    <x v="0"/>
    <x v="7"/>
    <x v="61"/>
    <x v="4"/>
    <x v="57"/>
    <x v="8"/>
    <n v="0.70513489900000004"/>
  </r>
  <r>
    <x v="0"/>
    <x v="7"/>
    <x v="61"/>
    <x v="5"/>
    <x v="57"/>
    <x v="8"/>
    <n v="8.0412315910000007"/>
  </r>
  <r>
    <x v="0"/>
    <x v="7"/>
    <x v="61"/>
    <x v="6"/>
    <x v="57"/>
    <x v="8"/>
    <n v="15.181429729"/>
  </r>
  <r>
    <x v="0"/>
    <x v="7"/>
    <x v="61"/>
    <x v="7"/>
    <x v="57"/>
    <x v="8"/>
    <n v="31.227958519000001"/>
  </r>
  <r>
    <x v="0"/>
    <x v="7"/>
    <x v="61"/>
    <x v="8"/>
    <x v="57"/>
    <x v="8"/>
    <n v="12.09160541"/>
  </r>
  <r>
    <x v="0"/>
    <x v="7"/>
    <x v="61"/>
    <x v="9"/>
    <x v="57"/>
    <x v="8"/>
    <n v="27.332286911000001"/>
  </r>
  <r>
    <x v="0"/>
    <x v="7"/>
    <x v="61"/>
    <x v="10"/>
    <x v="57"/>
    <x v="8"/>
    <n v="10.939617347"/>
  </r>
  <r>
    <x v="0"/>
    <x v="7"/>
    <x v="61"/>
    <x v="11"/>
    <x v="57"/>
    <x v="8"/>
    <n v="58.998121455000003"/>
  </r>
  <r>
    <x v="0"/>
    <x v="7"/>
    <x v="61"/>
    <x v="12"/>
    <x v="57"/>
    <x v="8"/>
    <n v="13.623082553"/>
  </r>
  <r>
    <x v="0"/>
    <x v="7"/>
    <x v="61"/>
    <x v="13"/>
    <x v="57"/>
    <x v="8"/>
    <n v="34.501064157999998"/>
  </r>
  <r>
    <x v="0"/>
    <x v="7"/>
    <x v="61"/>
    <x v="14"/>
    <x v="57"/>
    <x v="8"/>
    <n v="25.491571874000002"/>
  </r>
  <r>
    <x v="0"/>
    <x v="7"/>
    <x v="61"/>
    <x v="15"/>
    <x v="57"/>
    <x v="8"/>
    <n v="34.589541568999998"/>
  </r>
  <r>
    <x v="0"/>
    <x v="7"/>
    <x v="61"/>
    <x v="16"/>
    <x v="57"/>
    <x v="8"/>
    <n v="16.201100488000002"/>
  </r>
  <r>
    <x v="0"/>
    <x v="7"/>
    <x v="61"/>
    <x v="17"/>
    <x v="57"/>
    <x v="8"/>
    <n v="27.292888478999998"/>
  </r>
  <r>
    <x v="0"/>
    <x v="7"/>
    <x v="61"/>
    <x v="18"/>
    <x v="57"/>
    <x v="8"/>
    <n v="61.850116411999998"/>
  </r>
  <r>
    <x v="0"/>
    <x v="7"/>
    <x v="61"/>
    <x v="19"/>
    <x v="57"/>
    <x v="8"/>
    <n v="142.80291686800001"/>
  </r>
  <r>
    <x v="0"/>
    <x v="7"/>
    <x v="61"/>
    <x v="20"/>
    <x v="57"/>
    <x v="8"/>
    <n v="10.322915923"/>
  </r>
  <r>
    <x v="0"/>
    <x v="7"/>
    <x v="61"/>
    <x v="21"/>
    <x v="57"/>
    <x v="8"/>
    <n v="2.2014472349999998"/>
  </r>
  <r>
    <x v="0"/>
    <x v="7"/>
    <x v="61"/>
    <x v="22"/>
    <x v="57"/>
    <x v="8"/>
    <n v="4.8626685399999996"/>
  </r>
  <r>
    <x v="0"/>
    <x v="7"/>
    <x v="61"/>
    <x v="23"/>
    <x v="57"/>
    <x v="8"/>
    <n v="0"/>
  </r>
  <r>
    <x v="0"/>
    <x v="7"/>
    <x v="61"/>
    <x v="24"/>
    <x v="57"/>
    <x v="8"/>
    <n v="0.58289740999999995"/>
  </r>
  <r>
    <x v="0"/>
    <x v="7"/>
    <x v="61"/>
    <x v="25"/>
    <x v="57"/>
    <x v="8"/>
    <n v="0"/>
  </r>
  <r>
    <x v="0"/>
    <x v="7"/>
    <x v="61"/>
    <x v="26"/>
    <x v="57"/>
    <x v="8"/>
    <n v="0"/>
  </r>
  <r>
    <x v="0"/>
    <x v="7"/>
    <x v="61"/>
    <x v="27"/>
    <x v="57"/>
    <x v="8"/>
    <n v="2.6731420039999998"/>
  </r>
  <r>
    <x v="0"/>
    <x v="7"/>
    <x v="61"/>
    <x v="28"/>
    <x v="57"/>
    <x v="8"/>
    <n v="79.867106316000005"/>
  </r>
  <r>
    <x v="0"/>
    <x v="7"/>
    <x v="61"/>
    <x v="29"/>
    <x v="57"/>
    <x v="8"/>
    <n v="33.207096514"/>
  </r>
  <r>
    <x v="0"/>
    <x v="7"/>
    <x v="61"/>
    <x v="30"/>
    <x v="57"/>
    <x v="8"/>
    <n v="1.259498099"/>
  </r>
  <r>
    <x v="0"/>
    <x v="7"/>
    <x v="61"/>
    <x v="31"/>
    <x v="57"/>
    <x v="8"/>
    <n v="8.7724370230000002"/>
  </r>
  <r>
    <x v="0"/>
    <x v="7"/>
    <x v="61"/>
    <x v="32"/>
    <x v="57"/>
    <x v="8"/>
    <n v="3.8288694950000002"/>
  </r>
  <r>
    <x v="0"/>
    <x v="7"/>
    <x v="61"/>
    <x v="33"/>
    <x v="57"/>
    <x v="8"/>
    <n v="0"/>
  </r>
  <r>
    <x v="0"/>
    <x v="7"/>
    <x v="61"/>
    <x v="34"/>
    <x v="57"/>
    <x v="8"/>
    <n v="21.806087643000001"/>
  </r>
  <r>
    <x v="0"/>
    <x v="7"/>
    <x v="61"/>
    <x v="35"/>
    <x v="57"/>
    <x v="8"/>
    <n v="0.131289977"/>
  </r>
  <r>
    <x v="0"/>
    <x v="7"/>
    <x v="61"/>
    <x v="36"/>
    <x v="57"/>
    <x v="8"/>
    <n v="0.49581581499999999"/>
  </r>
  <r>
    <x v="0"/>
    <x v="7"/>
    <x v="61"/>
    <x v="37"/>
    <x v="57"/>
    <x v="8"/>
    <n v="0.32468542700000003"/>
  </r>
  <r>
    <x v="0"/>
    <x v="7"/>
    <x v="61"/>
    <x v="38"/>
    <x v="57"/>
    <x v="8"/>
    <n v="8.6457382999999999E-2"/>
  </r>
  <r>
    <x v="0"/>
    <x v="7"/>
    <x v="61"/>
    <x v="39"/>
    <x v="57"/>
    <x v="8"/>
    <n v="0.10471101400000001"/>
  </r>
  <r>
    <x v="0"/>
    <x v="7"/>
    <x v="61"/>
    <x v="40"/>
    <x v="57"/>
    <x v="8"/>
    <n v="2.1011004290000002"/>
  </r>
  <r>
    <x v="0"/>
    <x v="7"/>
    <x v="61"/>
    <x v="41"/>
    <x v="57"/>
    <x v="8"/>
    <n v="0.167492838"/>
  </r>
  <r>
    <x v="0"/>
    <x v="7"/>
    <x v="62"/>
    <x v="0"/>
    <x v="57"/>
    <x v="9"/>
    <n v="3.8001263E-2"/>
  </r>
  <r>
    <x v="0"/>
    <x v="7"/>
    <x v="62"/>
    <x v="1"/>
    <x v="57"/>
    <x v="9"/>
    <n v="3.8001263E-2"/>
  </r>
  <r>
    <x v="0"/>
    <x v="7"/>
    <x v="62"/>
    <x v="2"/>
    <x v="57"/>
    <x v="9"/>
    <n v="3.8001263E-2"/>
  </r>
  <r>
    <x v="0"/>
    <x v="7"/>
    <x v="62"/>
    <x v="3"/>
    <x v="57"/>
    <x v="9"/>
    <n v="3.8001263E-2"/>
  </r>
  <r>
    <x v="0"/>
    <x v="7"/>
    <x v="62"/>
    <x v="4"/>
    <x v="57"/>
    <x v="9"/>
    <n v="3.8001263E-2"/>
  </r>
  <r>
    <x v="0"/>
    <x v="7"/>
    <x v="62"/>
    <x v="5"/>
    <x v="57"/>
    <x v="9"/>
    <n v="3.8001263E-2"/>
  </r>
  <r>
    <x v="0"/>
    <x v="7"/>
    <x v="62"/>
    <x v="6"/>
    <x v="57"/>
    <x v="9"/>
    <n v="3.8001263E-2"/>
  </r>
  <r>
    <x v="0"/>
    <x v="7"/>
    <x v="62"/>
    <x v="7"/>
    <x v="57"/>
    <x v="9"/>
    <n v="3.8001263E-2"/>
  </r>
  <r>
    <x v="0"/>
    <x v="7"/>
    <x v="62"/>
    <x v="8"/>
    <x v="57"/>
    <x v="9"/>
    <n v="3.8001263E-2"/>
  </r>
  <r>
    <x v="0"/>
    <x v="7"/>
    <x v="62"/>
    <x v="9"/>
    <x v="57"/>
    <x v="9"/>
    <n v="3.8001263E-2"/>
  </r>
  <r>
    <x v="0"/>
    <x v="7"/>
    <x v="62"/>
    <x v="10"/>
    <x v="57"/>
    <x v="9"/>
    <n v="3.8001263E-2"/>
  </r>
  <r>
    <x v="0"/>
    <x v="7"/>
    <x v="62"/>
    <x v="11"/>
    <x v="57"/>
    <x v="9"/>
    <n v="3.8001263E-2"/>
  </r>
  <r>
    <x v="0"/>
    <x v="7"/>
    <x v="62"/>
    <x v="12"/>
    <x v="57"/>
    <x v="9"/>
    <n v="3.8001263E-2"/>
  </r>
  <r>
    <x v="0"/>
    <x v="7"/>
    <x v="62"/>
    <x v="13"/>
    <x v="57"/>
    <x v="9"/>
    <n v="3.8001263E-2"/>
  </r>
  <r>
    <x v="0"/>
    <x v="7"/>
    <x v="62"/>
    <x v="14"/>
    <x v="57"/>
    <x v="9"/>
    <n v="3.8001263E-2"/>
  </r>
  <r>
    <x v="0"/>
    <x v="7"/>
    <x v="62"/>
    <x v="15"/>
    <x v="57"/>
    <x v="9"/>
    <n v="3.8001263E-2"/>
  </r>
  <r>
    <x v="0"/>
    <x v="7"/>
    <x v="62"/>
    <x v="16"/>
    <x v="57"/>
    <x v="9"/>
    <n v="3.8001263E-2"/>
  </r>
  <r>
    <x v="0"/>
    <x v="7"/>
    <x v="62"/>
    <x v="17"/>
    <x v="57"/>
    <x v="9"/>
    <n v="3.8001263E-2"/>
  </r>
  <r>
    <x v="0"/>
    <x v="7"/>
    <x v="62"/>
    <x v="18"/>
    <x v="57"/>
    <x v="9"/>
    <n v="3.8001263E-2"/>
  </r>
  <r>
    <x v="0"/>
    <x v="7"/>
    <x v="62"/>
    <x v="19"/>
    <x v="57"/>
    <x v="9"/>
    <n v="3.8001263E-2"/>
  </r>
  <r>
    <x v="0"/>
    <x v="7"/>
    <x v="62"/>
    <x v="20"/>
    <x v="57"/>
    <x v="9"/>
    <n v="3.8001263E-2"/>
  </r>
  <r>
    <x v="0"/>
    <x v="7"/>
    <x v="62"/>
    <x v="21"/>
    <x v="57"/>
    <x v="9"/>
    <n v="3.8001263E-2"/>
  </r>
  <r>
    <x v="0"/>
    <x v="7"/>
    <x v="62"/>
    <x v="22"/>
    <x v="57"/>
    <x v="9"/>
    <n v="3.8001263E-2"/>
  </r>
  <r>
    <x v="0"/>
    <x v="7"/>
    <x v="62"/>
    <x v="23"/>
    <x v="57"/>
    <x v="9"/>
    <n v="1"/>
  </r>
  <r>
    <x v="0"/>
    <x v="7"/>
    <x v="62"/>
    <x v="24"/>
    <x v="57"/>
    <x v="9"/>
    <n v="3.8001263E-2"/>
  </r>
  <r>
    <x v="0"/>
    <x v="7"/>
    <x v="62"/>
    <x v="25"/>
    <x v="57"/>
    <x v="9"/>
    <n v="3.8001263E-2"/>
  </r>
  <r>
    <x v="0"/>
    <x v="7"/>
    <x v="62"/>
    <x v="26"/>
    <x v="57"/>
    <x v="9"/>
    <n v="1"/>
  </r>
  <r>
    <x v="0"/>
    <x v="7"/>
    <x v="62"/>
    <x v="27"/>
    <x v="57"/>
    <x v="9"/>
    <n v="3.8001263E-2"/>
  </r>
  <r>
    <x v="0"/>
    <x v="7"/>
    <x v="62"/>
    <x v="28"/>
    <x v="57"/>
    <x v="9"/>
    <n v="1"/>
  </r>
  <r>
    <x v="0"/>
    <x v="7"/>
    <x v="62"/>
    <x v="29"/>
    <x v="57"/>
    <x v="9"/>
    <n v="3.8001263E-2"/>
  </r>
  <r>
    <x v="0"/>
    <x v="7"/>
    <x v="62"/>
    <x v="30"/>
    <x v="57"/>
    <x v="9"/>
    <n v="3.8001263E-2"/>
  </r>
  <r>
    <x v="0"/>
    <x v="7"/>
    <x v="62"/>
    <x v="31"/>
    <x v="57"/>
    <x v="9"/>
    <n v="3.8001263E-2"/>
  </r>
  <r>
    <x v="0"/>
    <x v="7"/>
    <x v="62"/>
    <x v="32"/>
    <x v="57"/>
    <x v="9"/>
    <n v="3.8001263E-2"/>
  </r>
  <r>
    <x v="0"/>
    <x v="7"/>
    <x v="62"/>
    <x v="33"/>
    <x v="57"/>
    <x v="9"/>
    <n v="1"/>
  </r>
  <r>
    <x v="0"/>
    <x v="7"/>
    <x v="62"/>
    <x v="34"/>
    <x v="57"/>
    <x v="9"/>
    <n v="3.8001263E-2"/>
  </r>
  <r>
    <x v="0"/>
    <x v="7"/>
    <x v="62"/>
    <x v="35"/>
    <x v="57"/>
    <x v="9"/>
    <n v="3.8001263E-2"/>
  </r>
  <r>
    <x v="0"/>
    <x v="7"/>
    <x v="62"/>
    <x v="36"/>
    <x v="57"/>
    <x v="9"/>
    <n v="3.8001263E-2"/>
  </r>
  <r>
    <x v="0"/>
    <x v="7"/>
    <x v="62"/>
    <x v="37"/>
    <x v="57"/>
    <x v="9"/>
    <n v="3.8001263E-2"/>
  </r>
  <r>
    <x v="0"/>
    <x v="7"/>
    <x v="62"/>
    <x v="38"/>
    <x v="57"/>
    <x v="9"/>
    <n v="3.8001263E-2"/>
  </r>
  <r>
    <x v="0"/>
    <x v="7"/>
    <x v="62"/>
    <x v="39"/>
    <x v="57"/>
    <x v="9"/>
    <n v="3.8001263E-2"/>
  </r>
  <r>
    <x v="0"/>
    <x v="7"/>
    <x v="62"/>
    <x v="40"/>
    <x v="57"/>
    <x v="9"/>
    <n v="3.8001263E-2"/>
  </r>
  <r>
    <x v="0"/>
    <x v="7"/>
    <x v="62"/>
    <x v="41"/>
    <x v="57"/>
    <x v="9"/>
    <n v="3.8001263E-2"/>
  </r>
  <r>
    <x v="0"/>
    <x v="7"/>
    <x v="63"/>
    <x v="0"/>
    <x v="57"/>
    <x v="9"/>
    <n v="5.0791846000000002E-2"/>
  </r>
  <r>
    <x v="0"/>
    <x v="7"/>
    <x v="63"/>
    <x v="1"/>
    <x v="57"/>
    <x v="9"/>
    <n v="3.3527427999999998E-2"/>
  </r>
  <r>
    <x v="0"/>
    <x v="7"/>
    <x v="63"/>
    <x v="2"/>
    <x v="57"/>
    <x v="9"/>
    <n v="2.9042858000000001E-2"/>
  </r>
  <r>
    <x v="0"/>
    <x v="7"/>
    <x v="63"/>
    <x v="3"/>
    <x v="57"/>
    <x v="9"/>
    <n v="3.2233204000000001E-2"/>
  </r>
  <r>
    <x v="0"/>
    <x v="7"/>
    <x v="63"/>
    <x v="4"/>
    <x v="57"/>
    <x v="9"/>
    <n v="3.0404832E-2"/>
  </r>
  <r>
    <x v="0"/>
    <x v="7"/>
    <x v="63"/>
    <x v="5"/>
    <x v="57"/>
    <x v="9"/>
    <n v="3.3179616000000002E-2"/>
  </r>
  <r>
    <x v="0"/>
    <x v="7"/>
    <x v="63"/>
    <x v="6"/>
    <x v="57"/>
    <x v="9"/>
    <n v="3.1948132999999997E-2"/>
  </r>
  <r>
    <x v="0"/>
    <x v="7"/>
    <x v="63"/>
    <x v="7"/>
    <x v="57"/>
    <x v="9"/>
    <n v="3.2652361999999997E-2"/>
  </r>
  <r>
    <x v="0"/>
    <x v="7"/>
    <x v="63"/>
    <x v="8"/>
    <x v="57"/>
    <x v="9"/>
    <n v="3.1240045000000001E-2"/>
  </r>
  <r>
    <x v="0"/>
    <x v="7"/>
    <x v="63"/>
    <x v="9"/>
    <x v="57"/>
    <x v="9"/>
    <n v="2.7953885000000001E-2"/>
  </r>
  <r>
    <x v="0"/>
    <x v="7"/>
    <x v="63"/>
    <x v="10"/>
    <x v="57"/>
    <x v="9"/>
    <n v="2.2116943E-2"/>
  </r>
  <r>
    <x v="0"/>
    <x v="7"/>
    <x v="63"/>
    <x v="11"/>
    <x v="57"/>
    <x v="9"/>
    <n v="2.6034537999999999E-2"/>
  </r>
  <r>
    <x v="0"/>
    <x v="7"/>
    <x v="63"/>
    <x v="12"/>
    <x v="57"/>
    <x v="9"/>
    <n v="2.7401629E-2"/>
  </r>
  <r>
    <x v="0"/>
    <x v="7"/>
    <x v="63"/>
    <x v="13"/>
    <x v="57"/>
    <x v="9"/>
    <n v="2.3541262E-2"/>
  </r>
  <r>
    <x v="0"/>
    <x v="7"/>
    <x v="63"/>
    <x v="14"/>
    <x v="57"/>
    <x v="9"/>
    <n v="2.5361261999999999E-2"/>
  </r>
  <r>
    <x v="0"/>
    <x v="7"/>
    <x v="63"/>
    <x v="15"/>
    <x v="57"/>
    <x v="9"/>
    <n v="2.8297466E-2"/>
  </r>
  <r>
    <x v="0"/>
    <x v="7"/>
    <x v="63"/>
    <x v="16"/>
    <x v="57"/>
    <x v="9"/>
    <n v="2.9159513000000001E-2"/>
  </r>
  <r>
    <x v="0"/>
    <x v="7"/>
    <x v="63"/>
    <x v="17"/>
    <x v="57"/>
    <x v="9"/>
    <n v="2.8263275000000001E-2"/>
  </r>
  <r>
    <x v="0"/>
    <x v="7"/>
    <x v="63"/>
    <x v="18"/>
    <x v="57"/>
    <x v="9"/>
    <n v="2.5765417999999998E-2"/>
  </r>
  <r>
    <x v="0"/>
    <x v="7"/>
    <x v="63"/>
    <x v="19"/>
    <x v="57"/>
    <x v="9"/>
    <n v="3.0345875000000001E-2"/>
  </r>
  <r>
    <x v="0"/>
    <x v="7"/>
    <x v="63"/>
    <x v="20"/>
    <x v="57"/>
    <x v="9"/>
    <n v="3.0184567999999998E-2"/>
  </r>
  <r>
    <x v="0"/>
    <x v="7"/>
    <x v="63"/>
    <x v="21"/>
    <x v="57"/>
    <x v="9"/>
    <n v="2.7906318999999999E-2"/>
  </r>
  <r>
    <x v="0"/>
    <x v="7"/>
    <x v="63"/>
    <x v="22"/>
    <x v="57"/>
    <x v="9"/>
    <n v="1.530429E-2"/>
  </r>
  <r>
    <x v="0"/>
    <x v="7"/>
    <x v="63"/>
    <x v="23"/>
    <x v="57"/>
    <x v="9"/>
    <n v="1"/>
  </r>
  <r>
    <x v="0"/>
    <x v="7"/>
    <x v="63"/>
    <x v="24"/>
    <x v="57"/>
    <x v="9"/>
    <n v="2.4021810000000001E-2"/>
  </r>
  <r>
    <x v="0"/>
    <x v="7"/>
    <x v="63"/>
    <x v="25"/>
    <x v="57"/>
    <x v="9"/>
    <n v="1"/>
  </r>
  <r>
    <x v="0"/>
    <x v="7"/>
    <x v="63"/>
    <x v="26"/>
    <x v="57"/>
    <x v="9"/>
    <n v="1"/>
  </r>
  <r>
    <x v="0"/>
    <x v="7"/>
    <x v="63"/>
    <x v="27"/>
    <x v="57"/>
    <x v="9"/>
    <n v="3.123602E-2"/>
  </r>
  <r>
    <x v="0"/>
    <x v="7"/>
    <x v="63"/>
    <x v="28"/>
    <x v="57"/>
    <x v="9"/>
    <n v="3.3029544000000001E-2"/>
  </r>
  <r>
    <x v="0"/>
    <x v="7"/>
    <x v="63"/>
    <x v="29"/>
    <x v="57"/>
    <x v="9"/>
    <n v="2.8458039000000001E-2"/>
  </r>
  <r>
    <x v="0"/>
    <x v="7"/>
    <x v="63"/>
    <x v="30"/>
    <x v="57"/>
    <x v="9"/>
    <n v="4.0097807999999999E-2"/>
  </r>
  <r>
    <x v="0"/>
    <x v="7"/>
    <x v="63"/>
    <x v="31"/>
    <x v="57"/>
    <x v="9"/>
    <n v="2.6192143000000001E-2"/>
  </r>
  <r>
    <x v="0"/>
    <x v="7"/>
    <x v="63"/>
    <x v="32"/>
    <x v="57"/>
    <x v="9"/>
    <n v="2.7863399E-2"/>
  </r>
  <r>
    <x v="0"/>
    <x v="7"/>
    <x v="63"/>
    <x v="33"/>
    <x v="57"/>
    <x v="9"/>
    <n v="1"/>
  </r>
  <r>
    <x v="0"/>
    <x v="7"/>
    <x v="63"/>
    <x v="34"/>
    <x v="57"/>
    <x v="9"/>
    <n v="2.8969489000000001E-2"/>
  </r>
  <r>
    <x v="0"/>
    <x v="7"/>
    <x v="63"/>
    <x v="35"/>
    <x v="57"/>
    <x v="9"/>
    <n v="2.9548601000000001E-2"/>
  </r>
  <r>
    <x v="0"/>
    <x v="7"/>
    <x v="63"/>
    <x v="36"/>
    <x v="57"/>
    <x v="9"/>
    <n v="3.1426108000000001E-2"/>
  </r>
  <r>
    <x v="0"/>
    <x v="7"/>
    <x v="63"/>
    <x v="37"/>
    <x v="57"/>
    <x v="9"/>
    <n v="3.9456581999999997E-2"/>
  </r>
  <r>
    <x v="0"/>
    <x v="7"/>
    <x v="63"/>
    <x v="38"/>
    <x v="57"/>
    <x v="9"/>
    <n v="5.1465449000000003E-2"/>
  </r>
  <r>
    <x v="0"/>
    <x v="7"/>
    <x v="63"/>
    <x v="39"/>
    <x v="57"/>
    <x v="9"/>
    <n v="3.8809761999999998E-2"/>
  </r>
  <r>
    <x v="0"/>
    <x v="7"/>
    <x v="63"/>
    <x v="40"/>
    <x v="57"/>
    <x v="9"/>
    <n v="3.6834448999999998E-2"/>
  </r>
  <r>
    <x v="0"/>
    <x v="7"/>
    <x v="63"/>
    <x v="41"/>
    <x v="57"/>
    <x v="9"/>
    <n v="4.2051710999999999E-2"/>
  </r>
  <r>
    <x v="0"/>
    <x v="7"/>
    <x v="64"/>
    <x v="0"/>
    <x v="57"/>
    <x v="10"/>
    <n v="0"/>
  </r>
  <r>
    <x v="0"/>
    <x v="7"/>
    <x v="64"/>
    <x v="1"/>
    <x v="57"/>
    <x v="10"/>
    <n v="0"/>
  </r>
  <r>
    <x v="0"/>
    <x v="7"/>
    <x v="64"/>
    <x v="2"/>
    <x v="57"/>
    <x v="10"/>
    <n v="0"/>
  </r>
  <r>
    <x v="0"/>
    <x v="7"/>
    <x v="64"/>
    <x v="3"/>
    <x v="57"/>
    <x v="10"/>
    <n v="0"/>
  </r>
  <r>
    <x v="0"/>
    <x v="7"/>
    <x v="64"/>
    <x v="4"/>
    <x v="57"/>
    <x v="10"/>
    <n v="0"/>
  </r>
  <r>
    <x v="0"/>
    <x v="7"/>
    <x v="64"/>
    <x v="5"/>
    <x v="57"/>
    <x v="10"/>
    <n v="0"/>
  </r>
  <r>
    <x v="0"/>
    <x v="7"/>
    <x v="64"/>
    <x v="6"/>
    <x v="57"/>
    <x v="10"/>
    <n v="0"/>
  </r>
  <r>
    <x v="0"/>
    <x v="7"/>
    <x v="64"/>
    <x v="7"/>
    <x v="57"/>
    <x v="10"/>
    <n v="0"/>
  </r>
  <r>
    <x v="0"/>
    <x v="7"/>
    <x v="64"/>
    <x v="8"/>
    <x v="57"/>
    <x v="10"/>
    <n v="0"/>
  </r>
  <r>
    <x v="0"/>
    <x v="7"/>
    <x v="64"/>
    <x v="9"/>
    <x v="57"/>
    <x v="10"/>
    <n v="0"/>
  </r>
  <r>
    <x v="0"/>
    <x v="7"/>
    <x v="64"/>
    <x v="10"/>
    <x v="57"/>
    <x v="10"/>
    <n v="0"/>
  </r>
  <r>
    <x v="0"/>
    <x v="7"/>
    <x v="64"/>
    <x v="11"/>
    <x v="57"/>
    <x v="10"/>
    <n v="0"/>
  </r>
  <r>
    <x v="0"/>
    <x v="7"/>
    <x v="64"/>
    <x v="12"/>
    <x v="57"/>
    <x v="10"/>
    <n v="0"/>
  </r>
  <r>
    <x v="0"/>
    <x v="7"/>
    <x v="64"/>
    <x v="13"/>
    <x v="57"/>
    <x v="10"/>
    <n v="0"/>
  </r>
  <r>
    <x v="0"/>
    <x v="7"/>
    <x v="64"/>
    <x v="14"/>
    <x v="57"/>
    <x v="10"/>
    <n v="0"/>
  </r>
  <r>
    <x v="0"/>
    <x v="7"/>
    <x v="64"/>
    <x v="15"/>
    <x v="57"/>
    <x v="10"/>
    <n v="0"/>
  </r>
  <r>
    <x v="0"/>
    <x v="7"/>
    <x v="64"/>
    <x v="16"/>
    <x v="57"/>
    <x v="10"/>
    <n v="0"/>
  </r>
  <r>
    <x v="0"/>
    <x v="7"/>
    <x v="64"/>
    <x v="17"/>
    <x v="57"/>
    <x v="10"/>
    <n v="0"/>
  </r>
  <r>
    <x v="0"/>
    <x v="7"/>
    <x v="64"/>
    <x v="18"/>
    <x v="57"/>
    <x v="10"/>
    <n v="0"/>
  </r>
  <r>
    <x v="0"/>
    <x v="7"/>
    <x v="64"/>
    <x v="19"/>
    <x v="57"/>
    <x v="10"/>
    <n v="0"/>
  </r>
  <r>
    <x v="0"/>
    <x v="7"/>
    <x v="64"/>
    <x v="20"/>
    <x v="57"/>
    <x v="10"/>
    <n v="0"/>
  </r>
  <r>
    <x v="0"/>
    <x v="7"/>
    <x v="64"/>
    <x v="21"/>
    <x v="57"/>
    <x v="10"/>
    <n v="0"/>
  </r>
  <r>
    <x v="0"/>
    <x v="7"/>
    <x v="64"/>
    <x v="22"/>
    <x v="57"/>
    <x v="10"/>
    <n v="0"/>
  </r>
  <r>
    <x v="0"/>
    <x v="7"/>
    <x v="64"/>
    <x v="23"/>
    <x v="57"/>
    <x v="10"/>
    <n v="0"/>
  </r>
  <r>
    <x v="0"/>
    <x v="7"/>
    <x v="64"/>
    <x v="24"/>
    <x v="57"/>
    <x v="10"/>
    <n v="0"/>
  </r>
  <r>
    <x v="0"/>
    <x v="7"/>
    <x v="64"/>
    <x v="25"/>
    <x v="57"/>
    <x v="10"/>
    <n v="0"/>
  </r>
  <r>
    <x v="0"/>
    <x v="7"/>
    <x v="64"/>
    <x v="26"/>
    <x v="57"/>
    <x v="10"/>
    <n v="0"/>
  </r>
  <r>
    <x v="0"/>
    <x v="7"/>
    <x v="64"/>
    <x v="27"/>
    <x v="57"/>
    <x v="10"/>
    <n v="0"/>
  </r>
  <r>
    <x v="0"/>
    <x v="7"/>
    <x v="64"/>
    <x v="28"/>
    <x v="57"/>
    <x v="10"/>
    <n v="0"/>
  </r>
  <r>
    <x v="0"/>
    <x v="7"/>
    <x v="64"/>
    <x v="29"/>
    <x v="57"/>
    <x v="10"/>
    <n v="0"/>
  </r>
  <r>
    <x v="0"/>
    <x v="7"/>
    <x v="64"/>
    <x v="30"/>
    <x v="57"/>
    <x v="10"/>
    <n v="0"/>
  </r>
  <r>
    <x v="0"/>
    <x v="7"/>
    <x v="64"/>
    <x v="31"/>
    <x v="57"/>
    <x v="10"/>
    <n v="0"/>
  </r>
  <r>
    <x v="0"/>
    <x v="7"/>
    <x v="64"/>
    <x v="32"/>
    <x v="57"/>
    <x v="10"/>
    <n v="0"/>
  </r>
  <r>
    <x v="0"/>
    <x v="7"/>
    <x v="64"/>
    <x v="33"/>
    <x v="57"/>
    <x v="10"/>
    <n v="0"/>
  </r>
  <r>
    <x v="0"/>
    <x v="7"/>
    <x v="64"/>
    <x v="34"/>
    <x v="57"/>
    <x v="10"/>
    <n v="0"/>
  </r>
  <r>
    <x v="0"/>
    <x v="7"/>
    <x v="64"/>
    <x v="35"/>
    <x v="57"/>
    <x v="10"/>
    <n v="0"/>
  </r>
  <r>
    <x v="0"/>
    <x v="7"/>
    <x v="64"/>
    <x v="36"/>
    <x v="57"/>
    <x v="10"/>
    <n v="0"/>
  </r>
  <r>
    <x v="0"/>
    <x v="7"/>
    <x v="64"/>
    <x v="37"/>
    <x v="57"/>
    <x v="10"/>
    <n v="0"/>
  </r>
  <r>
    <x v="0"/>
    <x v="7"/>
    <x v="64"/>
    <x v="38"/>
    <x v="57"/>
    <x v="10"/>
    <n v="0"/>
  </r>
  <r>
    <x v="0"/>
    <x v="7"/>
    <x v="64"/>
    <x v="39"/>
    <x v="57"/>
    <x v="10"/>
    <n v="0"/>
  </r>
  <r>
    <x v="0"/>
    <x v="7"/>
    <x v="64"/>
    <x v="40"/>
    <x v="57"/>
    <x v="10"/>
    <n v="0"/>
  </r>
  <r>
    <x v="0"/>
    <x v="7"/>
    <x v="64"/>
    <x v="41"/>
    <x v="57"/>
    <x v="10"/>
    <n v="0"/>
  </r>
  <r>
    <x v="0"/>
    <x v="7"/>
    <x v="65"/>
    <x v="48"/>
    <x v="58"/>
    <x v="11"/>
    <n v="1688.79977065"/>
  </r>
  <r>
    <x v="0"/>
    <x v="7"/>
    <x v="65"/>
    <x v="49"/>
    <x v="58"/>
    <x v="11"/>
    <n v="1631.7828220910001"/>
  </r>
  <r>
    <x v="0"/>
    <x v="7"/>
    <x v="66"/>
    <x v="48"/>
    <x v="58"/>
    <x v="12"/>
    <n v="6.5245378000000007E-2"/>
  </r>
  <r>
    <x v="0"/>
    <x v="7"/>
    <x v="66"/>
    <x v="49"/>
    <x v="58"/>
    <x v="12"/>
    <n v="6.3042575000000003E-2"/>
  </r>
  <r>
    <x v="0"/>
    <x v="8"/>
    <x v="0"/>
    <x v="0"/>
    <x v="0"/>
    <x v="0"/>
    <n v="652.71416200700003"/>
  </r>
  <r>
    <x v="0"/>
    <x v="8"/>
    <x v="1"/>
    <x v="0"/>
    <x v="0"/>
    <x v="1"/>
    <n v="0.104073096"/>
  </r>
  <r>
    <x v="0"/>
    <x v="8"/>
    <x v="2"/>
    <x v="0"/>
    <x v="0"/>
    <x v="1"/>
    <n v="249.394851042"/>
  </r>
  <r>
    <x v="0"/>
    <x v="8"/>
    <x v="3"/>
    <x v="0"/>
    <x v="0"/>
    <x v="1"/>
    <n v="0.12692242300000001"/>
  </r>
  <r>
    <x v="0"/>
    <x v="8"/>
    <x v="0"/>
    <x v="1"/>
    <x v="0"/>
    <x v="0"/>
    <n v="200.629131073"/>
  </r>
  <r>
    <x v="0"/>
    <x v="8"/>
    <x v="1"/>
    <x v="1"/>
    <x v="0"/>
    <x v="1"/>
    <n v="5.8135938999999998E-2"/>
  </r>
  <r>
    <x v="0"/>
    <x v="8"/>
    <x v="2"/>
    <x v="1"/>
    <x v="0"/>
    <x v="1"/>
    <n v="122.271371698"/>
  </r>
  <r>
    <x v="0"/>
    <x v="8"/>
    <x v="3"/>
    <x v="1"/>
    <x v="0"/>
    <x v="1"/>
    <n v="7.4177952000000005E-2"/>
  </r>
  <r>
    <x v="0"/>
    <x v="8"/>
    <x v="0"/>
    <x v="2"/>
    <x v="0"/>
    <x v="0"/>
    <n v="224.69873982300001"/>
  </r>
  <r>
    <x v="0"/>
    <x v="8"/>
    <x v="1"/>
    <x v="2"/>
    <x v="0"/>
    <x v="1"/>
    <n v="3.6734762999999997E-2"/>
  </r>
  <r>
    <x v="0"/>
    <x v="8"/>
    <x v="2"/>
    <x v="2"/>
    <x v="0"/>
    <x v="1"/>
    <n v="128.792261263"/>
  </r>
  <r>
    <x v="0"/>
    <x v="8"/>
    <x v="3"/>
    <x v="2"/>
    <x v="0"/>
    <x v="1"/>
    <n v="2.5821986000000002E-2"/>
  </r>
  <r>
    <x v="0"/>
    <x v="8"/>
    <x v="0"/>
    <x v="3"/>
    <x v="0"/>
    <x v="0"/>
    <n v="110.633119162"/>
  </r>
  <r>
    <x v="0"/>
    <x v="8"/>
    <x v="1"/>
    <x v="3"/>
    <x v="0"/>
    <x v="1"/>
    <n v="4.7658652000000003E-2"/>
  </r>
  <r>
    <x v="0"/>
    <x v="8"/>
    <x v="2"/>
    <x v="3"/>
    <x v="0"/>
    <x v="1"/>
    <n v="75.351546483999996"/>
  </r>
  <r>
    <x v="0"/>
    <x v="8"/>
    <x v="3"/>
    <x v="3"/>
    <x v="0"/>
    <x v="1"/>
    <n v="5.5858755000000003E-2"/>
  </r>
  <r>
    <x v="0"/>
    <x v="8"/>
    <x v="0"/>
    <x v="4"/>
    <x v="0"/>
    <x v="0"/>
    <n v="54.186097830000001"/>
  </r>
  <r>
    <x v="0"/>
    <x v="8"/>
    <x v="1"/>
    <x v="4"/>
    <x v="0"/>
    <x v="1"/>
    <n v="5.1789815000000003E-2"/>
  </r>
  <r>
    <x v="0"/>
    <x v="8"/>
    <x v="2"/>
    <x v="4"/>
    <x v="0"/>
    <x v="1"/>
    <n v="36.459421059999997"/>
  </r>
  <r>
    <x v="0"/>
    <x v="8"/>
    <x v="3"/>
    <x v="4"/>
    <x v="0"/>
    <x v="1"/>
    <n v="6.5480922999999996E-2"/>
  </r>
  <r>
    <x v="0"/>
    <x v="8"/>
    <x v="0"/>
    <x v="5"/>
    <x v="0"/>
    <x v="0"/>
    <n v="568.85127075299999"/>
  </r>
  <r>
    <x v="0"/>
    <x v="8"/>
    <x v="1"/>
    <x v="5"/>
    <x v="0"/>
    <x v="1"/>
    <n v="7.0545241999999994E-2"/>
  </r>
  <r>
    <x v="0"/>
    <x v="8"/>
    <x v="2"/>
    <x v="5"/>
    <x v="0"/>
    <x v="1"/>
    <n v="475.31842253799999"/>
  </r>
  <r>
    <x v="0"/>
    <x v="8"/>
    <x v="3"/>
    <x v="5"/>
    <x v="0"/>
    <x v="1"/>
    <n v="4.4953446000000001E-2"/>
  </r>
  <r>
    <x v="0"/>
    <x v="8"/>
    <x v="0"/>
    <x v="6"/>
    <x v="0"/>
    <x v="0"/>
    <n v="173.367032741"/>
  </r>
  <r>
    <x v="0"/>
    <x v="8"/>
    <x v="1"/>
    <x v="6"/>
    <x v="0"/>
    <x v="1"/>
    <n v="6.4374853999999995E-2"/>
  </r>
  <r>
    <x v="0"/>
    <x v="8"/>
    <x v="2"/>
    <x v="6"/>
    <x v="0"/>
    <x v="1"/>
    <n v="145.110639131"/>
  </r>
  <r>
    <x v="0"/>
    <x v="8"/>
    <x v="3"/>
    <x v="6"/>
    <x v="0"/>
    <x v="1"/>
    <n v="6.0762717000000001E-2"/>
  </r>
  <r>
    <x v="0"/>
    <x v="8"/>
    <x v="0"/>
    <x v="7"/>
    <x v="0"/>
    <x v="0"/>
    <n v="118.789105853"/>
  </r>
  <r>
    <x v="0"/>
    <x v="8"/>
    <x v="1"/>
    <x v="7"/>
    <x v="0"/>
    <x v="1"/>
    <n v="6.2160385999999998E-2"/>
  </r>
  <r>
    <x v="0"/>
    <x v="8"/>
    <x v="2"/>
    <x v="7"/>
    <x v="0"/>
    <x v="1"/>
    <n v="96.621344519000004"/>
  </r>
  <r>
    <x v="0"/>
    <x v="8"/>
    <x v="3"/>
    <x v="7"/>
    <x v="0"/>
    <x v="1"/>
    <n v="7.1756301999999994E-2"/>
  </r>
  <r>
    <x v="0"/>
    <x v="8"/>
    <x v="0"/>
    <x v="8"/>
    <x v="0"/>
    <x v="0"/>
    <n v="83.838697053999994"/>
  </r>
  <r>
    <x v="0"/>
    <x v="8"/>
    <x v="1"/>
    <x v="8"/>
    <x v="0"/>
    <x v="1"/>
    <n v="5.8955262000000001E-2"/>
  </r>
  <r>
    <x v="0"/>
    <x v="8"/>
    <x v="2"/>
    <x v="8"/>
    <x v="0"/>
    <x v="1"/>
    <n v="68.457572456999998"/>
  </r>
  <r>
    <x v="0"/>
    <x v="8"/>
    <x v="3"/>
    <x v="8"/>
    <x v="0"/>
    <x v="1"/>
    <n v="5.8209065999999997E-2"/>
  </r>
  <r>
    <x v="0"/>
    <x v="8"/>
    <x v="0"/>
    <x v="9"/>
    <x v="0"/>
    <x v="0"/>
    <n v="206.60392642799999"/>
  </r>
  <r>
    <x v="0"/>
    <x v="8"/>
    <x v="1"/>
    <x v="9"/>
    <x v="0"/>
    <x v="1"/>
    <n v="5.2725648E-2"/>
  </r>
  <r>
    <x v="0"/>
    <x v="8"/>
    <x v="2"/>
    <x v="9"/>
    <x v="0"/>
    <x v="1"/>
    <n v="165.439988898"/>
  </r>
  <r>
    <x v="0"/>
    <x v="8"/>
    <x v="3"/>
    <x v="9"/>
    <x v="0"/>
    <x v="1"/>
    <n v="6.2590770000000004E-2"/>
  </r>
  <r>
    <x v="0"/>
    <x v="8"/>
    <x v="0"/>
    <x v="10"/>
    <x v="0"/>
    <x v="0"/>
    <n v="316.65880119799999"/>
  </r>
  <r>
    <x v="0"/>
    <x v="8"/>
    <x v="1"/>
    <x v="10"/>
    <x v="0"/>
    <x v="1"/>
    <n v="3.7272518999999997E-2"/>
  </r>
  <r>
    <x v="0"/>
    <x v="8"/>
    <x v="2"/>
    <x v="10"/>
    <x v="0"/>
    <x v="1"/>
    <n v="290.072567671"/>
  </r>
  <r>
    <x v="0"/>
    <x v="8"/>
    <x v="3"/>
    <x v="10"/>
    <x v="0"/>
    <x v="1"/>
    <n v="4.4787027E-2"/>
  </r>
  <r>
    <x v="0"/>
    <x v="8"/>
    <x v="0"/>
    <x v="11"/>
    <x v="0"/>
    <x v="0"/>
    <n v="821.26520012499998"/>
  </r>
  <r>
    <x v="0"/>
    <x v="8"/>
    <x v="1"/>
    <x v="11"/>
    <x v="0"/>
    <x v="1"/>
    <n v="4.6517610000000001E-2"/>
  </r>
  <r>
    <x v="0"/>
    <x v="8"/>
    <x v="2"/>
    <x v="11"/>
    <x v="0"/>
    <x v="1"/>
    <n v="690.08076388200004"/>
  </r>
  <r>
    <x v="0"/>
    <x v="8"/>
    <x v="3"/>
    <x v="11"/>
    <x v="0"/>
    <x v="1"/>
    <n v="4.0770463999999999E-2"/>
  </r>
  <r>
    <x v="0"/>
    <x v="8"/>
    <x v="0"/>
    <x v="12"/>
    <x v="0"/>
    <x v="0"/>
    <n v="232.111180666"/>
  </r>
  <r>
    <x v="0"/>
    <x v="8"/>
    <x v="1"/>
    <x v="12"/>
    <x v="0"/>
    <x v="1"/>
    <n v="4.7397124999999998E-2"/>
  </r>
  <r>
    <x v="0"/>
    <x v="8"/>
    <x v="2"/>
    <x v="12"/>
    <x v="0"/>
    <x v="1"/>
    <n v="185.95368269900001"/>
  </r>
  <r>
    <x v="0"/>
    <x v="8"/>
    <x v="3"/>
    <x v="12"/>
    <x v="0"/>
    <x v="1"/>
    <n v="5.3452172999999999E-2"/>
  </r>
  <r>
    <x v="0"/>
    <x v="8"/>
    <x v="0"/>
    <x v="13"/>
    <x v="0"/>
    <x v="0"/>
    <n v="636.10550146900005"/>
  </r>
  <r>
    <x v="0"/>
    <x v="8"/>
    <x v="1"/>
    <x v="13"/>
    <x v="0"/>
    <x v="1"/>
    <n v="3.8506340999999999E-2"/>
  </r>
  <r>
    <x v="0"/>
    <x v="8"/>
    <x v="2"/>
    <x v="13"/>
    <x v="0"/>
    <x v="1"/>
    <n v="539.84305749199996"/>
  </r>
  <r>
    <x v="0"/>
    <x v="8"/>
    <x v="3"/>
    <x v="13"/>
    <x v="0"/>
    <x v="1"/>
    <n v="3.5277819000000002E-2"/>
  </r>
  <r>
    <x v="0"/>
    <x v="8"/>
    <x v="0"/>
    <x v="14"/>
    <x v="0"/>
    <x v="0"/>
    <n v="174.54028166699999"/>
  </r>
  <r>
    <x v="0"/>
    <x v="8"/>
    <x v="1"/>
    <x v="14"/>
    <x v="0"/>
    <x v="1"/>
    <n v="4.4178292000000001E-2"/>
  </r>
  <r>
    <x v="0"/>
    <x v="8"/>
    <x v="2"/>
    <x v="14"/>
    <x v="0"/>
    <x v="1"/>
    <n v="145.67515381199999"/>
  </r>
  <r>
    <x v="0"/>
    <x v="8"/>
    <x v="3"/>
    <x v="14"/>
    <x v="0"/>
    <x v="1"/>
    <n v="5.6950269999999997E-2"/>
  </r>
  <r>
    <x v="0"/>
    <x v="8"/>
    <x v="0"/>
    <x v="15"/>
    <x v="0"/>
    <x v="0"/>
    <n v="189.915246137"/>
  </r>
  <r>
    <x v="0"/>
    <x v="8"/>
    <x v="1"/>
    <x v="15"/>
    <x v="0"/>
    <x v="1"/>
    <n v="4.7250308999999997E-2"/>
  </r>
  <r>
    <x v="0"/>
    <x v="8"/>
    <x v="2"/>
    <x v="15"/>
    <x v="0"/>
    <x v="1"/>
    <n v="156.905741342"/>
  </r>
  <r>
    <x v="0"/>
    <x v="8"/>
    <x v="3"/>
    <x v="15"/>
    <x v="0"/>
    <x v="1"/>
    <n v="6.2081468000000001E-2"/>
  </r>
  <r>
    <x v="0"/>
    <x v="8"/>
    <x v="0"/>
    <x v="16"/>
    <x v="0"/>
    <x v="0"/>
    <n v="122.06353958"/>
  </r>
  <r>
    <x v="0"/>
    <x v="8"/>
    <x v="1"/>
    <x v="16"/>
    <x v="0"/>
    <x v="1"/>
    <n v="4.7887355999999999E-2"/>
  </r>
  <r>
    <x v="0"/>
    <x v="8"/>
    <x v="2"/>
    <x v="16"/>
    <x v="0"/>
    <x v="1"/>
    <n v="99.749225765000006"/>
  </r>
  <r>
    <x v="0"/>
    <x v="8"/>
    <x v="3"/>
    <x v="16"/>
    <x v="0"/>
    <x v="1"/>
    <n v="6.1294236000000002E-2"/>
  </r>
  <r>
    <x v="0"/>
    <x v="8"/>
    <x v="0"/>
    <x v="17"/>
    <x v="0"/>
    <x v="0"/>
    <n v="285.75352060699998"/>
  </r>
  <r>
    <x v="0"/>
    <x v="8"/>
    <x v="1"/>
    <x v="17"/>
    <x v="0"/>
    <x v="1"/>
    <n v="4.8365666000000002E-2"/>
  </r>
  <r>
    <x v="0"/>
    <x v="8"/>
    <x v="2"/>
    <x v="17"/>
    <x v="0"/>
    <x v="1"/>
    <n v="238.98207180200001"/>
  </r>
  <r>
    <x v="0"/>
    <x v="8"/>
    <x v="3"/>
    <x v="17"/>
    <x v="0"/>
    <x v="1"/>
    <n v="5.9377768999999997E-2"/>
  </r>
  <r>
    <x v="0"/>
    <x v="8"/>
    <x v="0"/>
    <x v="18"/>
    <x v="0"/>
    <x v="0"/>
    <n v="245.097634513"/>
  </r>
  <r>
    <x v="0"/>
    <x v="8"/>
    <x v="1"/>
    <x v="18"/>
    <x v="0"/>
    <x v="1"/>
    <n v="4.3894702000000001E-2"/>
  </r>
  <r>
    <x v="0"/>
    <x v="8"/>
    <x v="2"/>
    <x v="18"/>
    <x v="0"/>
    <x v="1"/>
    <n v="210.28881208600001"/>
  </r>
  <r>
    <x v="0"/>
    <x v="8"/>
    <x v="3"/>
    <x v="18"/>
    <x v="0"/>
    <x v="1"/>
    <n v="4.9093078999999998E-2"/>
  </r>
  <r>
    <x v="0"/>
    <x v="8"/>
    <x v="0"/>
    <x v="19"/>
    <x v="0"/>
    <x v="0"/>
    <n v="283.16333779199999"/>
  </r>
  <r>
    <x v="0"/>
    <x v="8"/>
    <x v="1"/>
    <x v="19"/>
    <x v="0"/>
    <x v="1"/>
    <n v="4.7783804999999999E-2"/>
  </r>
  <r>
    <x v="0"/>
    <x v="8"/>
    <x v="2"/>
    <x v="19"/>
    <x v="0"/>
    <x v="1"/>
    <n v="240.019628001"/>
  </r>
  <r>
    <x v="0"/>
    <x v="8"/>
    <x v="3"/>
    <x v="19"/>
    <x v="0"/>
    <x v="1"/>
    <n v="6.7053412000000007E-2"/>
  </r>
  <r>
    <x v="0"/>
    <x v="8"/>
    <x v="0"/>
    <x v="20"/>
    <x v="0"/>
    <x v="0"/>
    <n v="35.824655636000003"/>
  </r>
  <r>
    <x v="0"/>
    <x v="8"/>
    <x v="1"/>
    <x v="20"/>
    <x v="0"/>
    <x v="1"/>
    <n v="4.6689888999999998E-2"/>
  </r>
  <r>
    <x v="0"/>
    <x v="8"/>
    <x v="2"/>
    <x v="20"/>
    <x v="0"/>
    <x v="1"/>
    <n v="28.722335757"/>
  </r>
  <r>
    <x v="0"/>
    <x v="8"/>
    <x v="3"/>
    <x v="20"/>
    <x v="0"/>
    <x v="1"/>
    <n v="5.5648909000000003E-2"/>
  </r>
  <r>
    <x v="0"/>
    <x v="8"/>
    <x v="0"/>
    <x v="21"/>
    <x v="0"/>
    <x v="0"/>
    <n v="15.448721371"/>
  </r>
  <r>
    <x v="0"/>
    <x v="8"/>
    <x v="1"/>
    <x v="21"/>
    <x v="0"/>
    <x v="1"/>
    <n v="5.3848536000000002E-2"/>
  </r>
  <r>
    <x v="0"/>
    <x v="8"/>
    <x v="2"/>
    <x v="21"/>
    <x v="0"/>
    <x v="1"/>
    <n v="12.652881856"/>
  </r>
  <r>
    <x v="0"/>
    <x v="8"/>
    <x v="3"/>
    <x v="21"/>
    <x v="0"/>
    <x v="1"/>
    <n v="6.4106732999999999E-2"/>
  </r>
  <r>
    <x v="0"/>
    <x v="8"/>
    <x v="0"/>
    <x v="22"/>
    <x v="0"/>
    <x v="0"/>
    <n v="70.141581881999997"/>
  </r>
  <r>
    <x v="0"/>
    <x v="8"/>
    <x v="1"/>
    <x v="22"/>
    <x v="0"/>
    <x v="1"/>
    <n v="1.1105703999999999E-2"/>
  </r>
  <r>
    <x v="0"/>
    <x v="8"/>
    <x v="2"/>
    <x v="22"/>
    <x v="0"/>
    <x v="1"/>
    <n v="16.856226239000001"/>
  </r>
  <r>
    <x v="0"/>
    <x v="8"/>
    <x v="3"/>
    <x v="22"/>
    <x v="0"/>
    <x v="1"/>
    <n v="2.3892789999999998E-3"/>
  </r>
  <r>
    <x v="0"/>
    <x v="8"/>
    <x v="0"/>
    <x v="23"/>
    <x v="0"/>
    <x v="0"/>
    <n v="6.8095519910000002"/>
  </r>
  <r>
    <x v="0"/>
    <x v="8"/>
    <x v="1"/>
    <x v="23"/>
    <x v="0"/>
    <x v="1"/>
    <n v="5.4212638E-2"/>
  </r>
  <r>
    <x v="0"/>
    <x v="8"/>
    <x v="2"/>
    <x v="23"/>
    <x v="0"/>
    <x v="1"/>
    <n v="5.615523584"/>
  </r>
  <r>
    <x v="0"/>
    <x v="8"/>
    <x v="3"/>
    <x v="23"/>
    <x v="0"/>
    <x v="1"/>
    <n v="9.9365446999999996E-2"/>
  </r>
  <r>
    <x v="0"/>
    <x v="8"/>
    <x v="0"/>
    <x v="24"/>
    <x v="0"/>
    <x v="0"/>
    <n v="361.010282088"/>
  </r>
  <r>
    <x v="0"/>
    <x v="8"/>
    <x v="1"/>
    <x v="24"/>
    <x v="0"/>
    <x v="1"/>
    <n v="4.1728345E-2"/>
  </r>
  <r>
    <x v="0"/>
    <x v="8"/>
    <x v="2"/>
    <x v="24"/>
    <x v="0"/>
    <x v="1"/>
    <n v="283.131422869"/>
  </r>
  <r>
    <x v="0"/>
    <x v="8"/>
    <x v="3"/>
    <x v="24"/>
    <x v="0"/>
    <x v="1"/>
    <n v="3.1736088000000003E-2"/>
  </r>
  <r>
    <x v="0"/>
    <x v="8"/>
    <x v="0"/>
    <x v="25"/>
    <x v="0"/>
    <x v="0"/>
    <n v="20.203768148999998"/>
  </r>
  <r>
    <x v="0"/>
    <x v="8"/>
    <x v="1"/>
    <x v="25"/>
    <x v="0"/>
    <x v="1"/>
    <n v="3.5511722000000003E-2"/>
  </r>
  <r>
    <x v="0"/>
    <x v="8"/>
    <x v="2"/>
    <x v="25"/>
    <x v="0"/>
    <x v="1"/>
    <n v="16.279384766"/>
  </r>
  <r>
    <x v="0"/>
    <x v="8"/>
    <x v="3"/>
    <x v="25"/>
    <x v="0"/>
    <x v="1"/>
    <n v="2.8575824999999999E-2"/>
  </r>
  <r>
    <x v="0"/>
    <x v="8"/>
    <x v="0"/>
    <x v="26"/>
    <x v="0"/>
    <x v="0"/>
    <n v="8.7830460939999995"/>
  </r>
  <r>
    <x v="0"/>
    <x v="8"/>
    <x v="1"/>
    <x v="26"/>
    <x v="0"/>
    <x v="1"/>
    <n v="5.2973653000000002E-2"/>
  </r>
  <r>
    <x v="0"/>
    <x v="8"/>
    <x v="2"/>
    <x v="26"/>
    <x v="0"/>
    <x v="1"/>
    <n v="5.2000436619999997"/>
  </r>
  <r>
    <x v="0"/>
    <x v="8"/>
    <x v="3"/>
    <x v="26"/>
    <x v="0"/>
    <x v="1"/>
    <n v="6.1610798000000001E-2"/>
  </r>
  <r>
    <x v="0"/>
    <x v="8"/>
    <x v="0"/>
    <x v="27"/>
    <x v="0"/>
    <x v="0"/>
    <n v="486.99505887999999"/>
  </r>
  <r>
    <x v="0"/>
    <x v="8"/>
    <x v="1"/>
    <x v="27"/>
    <x v="0"/>
    <x v="1"/>
    <n v="5.4556840000000002E-2"/>
  </r>
  <r>
    <x v="0"/>
    <x v="8"/>
    <x v="2"/>
    <x v="27"/>
    <x v="0"/>
    <x v="1"/>
    <n v="375.680441503"/>
  </r>
  <r>
    <x v="0"/>
    <x v="8"/>
    <x v="3"/>
    <x v="27"/>
    <x v="0"/>
    <x v="1"/>
    <n v="8.4577850999999996E-2"/>
  </r>
  <r>
    <x v="0"/>
    <x v="8"/>
    <x v="0"/>
    <x v="28"/>
    <x v="0"/>
    <x v="0"/>
    <n v="532.51309227499996"/>
  </r>
  <r>
    <x v="0"/>
    <x v="8"/>
    <x v="1"/>
    <x v="28"/>
    <x v="0"/>
    <x v="1"/>
    <n v="4.4189797000000003E-2"/>
  </r>
  <r>
    <x v="0"/>
    <x v="8"/>
    <x v="2"/>
    <x v="28"/>
    <x v="0"/>
    <x v="1"/>
    <n v="285.10763254400001"/>
  </r>
  <r>
    <x v="0"/>
    <x v="8"/>
    <x v="3"/>
    <x v="28"/>
    <x v="0"/>
    <x v="1"/>
    <n v="4.4682498000000001E-2"/>
  </r>
  <r>
    <x v="0"/>
    <x v="8"/>
    <x v="0"/>
    <x v="29"/>
    <x v="0"/>
    <x v="0"/>
    <n v="456.21232151100003"/>
  </r>
  <r>
    <x v="0"/>
    <x v="8"/>
    <x v="1"/>
    <x v="29"/>
    <x v="0"/>
    <x v="1"/>
    <n v="4.8110380000000001E-2"/>
  </r>
  <r>
    <x v="0"/>
    <x v="8"/>
    <x v="2"/>
    <x v="29"/>
    <x v="0"/>
    <x v="1"/>
    <n v="292.81429459999998"/>
  </r>
  <r>
    <x v="0"/>
    <x v="8"/>
    <x v="3"/>
    <x v="29"/>
    <x v="0"/>
    <x v="1"/>
    <n v="5.2463323999999999E-2"/>
  </r>
  <r>
    <x v="0"/>
    <x v="8"/>
    <x v="0"/>
    <x v="30"/>
    <x v="0"/>
    <x v="0"/>
    <n v="107.11826693899999"/>
  </r>
  <r>
    <x v="0"/>
    <x v="8"/>
    <x v="1"/>
    <x v="30"/>
    <x v="0"/>
    <x v="1"/>
    <n v="7.5093511000000002E-2"/>
  </r>
  <r>
    <x v="0"/>
    <x v="8"/>
    <x v="2"/>
    <x v="30"/>
    <x v="0"/>
    <x v="1"/>
    <n v="67.280780962999998"/>
  </r>
  <r>
    <x v="0"/>
    <x v="8"/>
    <x v="3"/>
    <x v="30"/>
    <x v="0"/>
    <x v="1"/>
    <n v="8.8877568000000004E-2"/>
  </r>
  <r>
    <x v="0"/>
    <x v="8"/>
    <x v="0"/>
    <x v="31"/>
    <x v="0"/>
    <x v="0"/>
    <n v="174.37079501900001"/>
  </r>
  <r>
    <x v="0"/>
    <x v="8"/>
    <x v="1"/>
    <x v="31"/>
    <x v="0"/>
    <x v="1"/>
    <n v="3.7443166999999999E-2"/>
  </r>
  <r>
    <x v="0"/>
    <x v="8"/>
    <x v="2"/>
    <x v="31"/>
    <x v="0"/>
    <x v="1"/>
    <n v="95.878507988999999"/>
  </r>
  <r>
    <x v="0"/>
    <x v="8"/>
    <x v="3"/>
    <x v="31"/>
    <x v="0"/>
    <x v="1"/>
    <n v="2.9456901000000001E-2"/>
  </r>
  <r>
    <x v="0"/>
    <x v="8"/>
    <x v="0"/>
    <x v="32"/>
    <x v="0"/>
    <x v="0"/>
    <n v="553.82623267999998"/>
  </r>
  <r>
    <x v="0"/>
    <x v="8"/>
    <x v="1"/>
    <x v="32"/>
    <x v="0"/>
    <x v="1"/>
    <n v="3.9167742999999998E-2"/>
  </r>
  <r>
    <x v="0"/>
    <x v="8"/>
    <x v="2"/>
    <x v="32"/>
    <x v="0"/>
    <x v="1"/>
    <n v="260.49624679800002"/>
  </r>
  <r>
    <x v="0"/>
    <x v="8"/>
    <x v="3"/>
    <x v="32"/>
    <x v="0"/>
    <x v="1"/>
    <n v="3.3073798000000001E-2"/>
  </r>
  <r>
    <x v="0"/>
    <x v="8"/>
    <x v="0"/>
    <x v="33"/>
    <x v="0"/>
    <x v="0"/>
    <n v="551.31777361800005"/>
  </r>
  <r>
    <x v="0"/>
    <x v="8"/>
    <x v="1"/>
    <x v="33"/>
    <x v="0"/>
    <x v="1"/>
    <n v="2.2988410000000001E-2"/>
  </r>
  <r>
    <x v="0"/>
    <x v="8"/>
    <x v="2"/>
    <x v="33"/>
    <x v="0"/>
    <x v="1"/>
    <n v="212.415449817"/>
  </r>
  <r>
    <x v="0"/>
    <x v="8"/>
    <x v="3"/>
    <x v="33"/>
    <x v="0"/>
    <x v="1"/>
    <n v="1.0611031E-2"/>
  </r>
  <r>
    <x v="0"/>
    <x v="8"/>
    <x v="0"/>
    <x v="34"/>
    <x v="0"/>
    <x v="0"/>
    <n v="270.73151157000001"/>
  </r>
  <r>
    <x v="0"/>
    <x v="8"/>
    <x v="1"/>
    <x v="34"/>
    <x v="0"/>
    <x v="1"/>
    <n v="5.1930485999999998E-2"/>
  </r>
  <r>
    <x v="0"/>
    <x v="8"/>
    <x v="2"/>
    <x v="34"/>
    <x v="0"/>
    <x v="1"/>
    <n v="191.365111668"/>
  </r>
  <r>
    <x v="0"/>
    <x v="8"/>
    <x v="3"/>
    <x v="34"/>
    <x v="0"/>
    <x v="1"/>
    <n v="5.9894300999999997E-2"/>
  </r>
  <r>
    <x v="0"/>
    <x v="8"/>
    <x v="0"/>
    <x v="35"/>
    <x v="0"/>
    <x v="0"/>
    <n v="205.42534887299999"/>
  </r>
  <r>
    <x v="0"/>
    <x v="8"/>
    <x v="1"/>
    <x v="35"/>
    <x v="0"/>
    <x v="1"/>
    <n v="5.4239320000000001E-2"/>
  </r>
  <r>
    <x v="0"/>
    <x v="8"/>
    <x v="2"/>
    <x v="35"/>
    <x v="0"/>
    <x v="1"/>
    <n v="134.86905788000001"/>
  </r>
  <r>
    <x v="0"/>
    <x v="8"/>
    <x v="3"/>
    <x v="35"/>
    <x v="0"/>
    <x v="1"/>
    <n v="6.4580296999999995E-2"/>
  </r>
  <r>
    <x v="0"/>
    <x v="8"/>
    <x v="0"/>
    <x v="36"/>
    <x v="0"/>
    <x v="0"/>
    <n v="63.989269935000003"/>
  </r>
  <r>
    <x v="0"/>
    <x v="8"/>
    <x v="1"/>
    <x v="36"/>
    <x v="0"/>
    <x v="1"/>
    <n v="5.9515332999999997E-2"/>
  </r>
  <r>
    <x v="0"/>
    <x v="8"/>
    <x v="2"/>
    <x v="36"/>
    <x v="0"/>
    <x v="1"/>
    <n v="37.799968794000002"/>
  </r>
  <r>
    <x v="0"/>
    <x v="8"/>
    <x v="3"/>
    <x v="36"/>
    <x v="0"/>
    <x v="1"/>
    <n v="6.7105622000000004E-2"/>
  </r>
  <r>
    <x v="0"/>
    <x v="8"/>
    <x v="0"/>
    <x v="37"/>
    <x v="0"/>
    <x v="0"/>
    <n v="76.564587779999997"/>
  </r>
  <r>
    <x v="0"/>
    <x v="8"/>
    <x v="1"/>
    <x v="37"/>
    <x v="0"/>
    <x v="1"/>
    <n v="6.7137184000000003E-2"/>
  </r>
  <r>
    <x v="0"/>
    <x v="8"/>
    <x v="2"/>
    <x v="37"/>
    <x v="0"/>
    <x v="1"/>
    <n v="40.239289479999997"/>
  </r>
  <r>
    <x v="0"/>
    <x v="8"/>
    <x v="3"/>
    <x v="37"/>
    <x v="0"/>
    <x v="1"/>
    <n v="8.9380326999999996E-2"/>
  </r>
  <r>
    <x v="0"/>
    <x v="8"/>
    <x v="0"/>
    <x v="38"/>
    <x v="0"/>
    <x v="0"/>
    <n v="209.95269478200001"/>
  </r>
  <r>
    <x v="0"/>
    <x v="8"/>
    <x v="1"/>
    <x v="38"/>
    <x v="0"/>
    <x v="1"/>
    <n v="9.4772124999999999E-2"/>
  </r>
  <r>
    <x v="0"/>
    <x v="8"/>
    <x v="2"/>
    <x v="38"/>
    <x v="0"/>
    <x v="1"/>
    <n v="56.701736691999997"/>
  </r>
  <r>
    <x v="0"/>
    <x v="8"/>
    <x v="3"/>
    <x v="38"/>
    <x v="0"/>
    <x v="1"/>
    <n v="0.110249743"/>
  </r>
  <r>
    <x v="0"/>
    <x v="8"/>
    <x v="0"/>
    <x v="39"/>
    <x v="0"/>
    <x v="0"/>
    <n v="111.42601656399999"/>
  </r>
  <r>
    <x v="0"/>
    <x v="8"/>
    <x v="1"/>
    <x v="39"/>
    <x v="0"/>
    <x v="1"/>
    <n v="7.2954877000000001E-2"/>
  </r>
  <r>
    <x v="0"/>
    <x v="8"/>
    <x v="2"/>
    <x v="39"/>
    <x v="0"/>
    <x v="1"/>
    <n v="63.772939512999997"/>
  </r>
  <r>
    <x v="0"/>
    <x v="8"/>
    <x v="3"/>
    <x v="39"/>
    <x v="0"/>
    <x v="1"/>
    <n v="0.107076598"/>
  </r>
  <r>
    <x v="0"/>
    <x v="8"/>
    <x v="0"/>
    <x v="40"/>
    <x v="0"/>
    <x v="0"/>
    <n v="45.810455419"/>
  </r>
  <r>
    <x v="0"/>
    <x v="8"/>
    <x v="1"/>
    <x v="40"/>
    <x v="0"/>
    <x v="1"/>
    <n v="5.9557169E-2"/>
  </r>
  <r>
    <x v="0"/>
    <x v="8"/>
    <x v="2"/>
    <x v="40"/>
    <x v="0"/>
    <x v="1"/>
    <n v="24.552430823000002"/>
  </r>
  <r>
    <x v="0"/>
    <x v="8"/>
    <x v="3"/>
    <x v="40"/>
    <x v="0"/>
    <x v="1"/>
    <n v="6.6249195999999996E-2"/>
  </r>
  <r>
    <x v="0"/>
    <x v="8"/>
    <x v="0"/>
    <x v="41"/>
    <x v="0"/>
    <x v="0"/>
    <n v="476.52590942799998"/>
  </r>
  <r>
    <x v="0"/>
    <x v="8"/>
    <x v="1"/>
    <x v="41"/>
    <x v="0"/>
    <x v="1"/>
    <n v="8.8031824999999994E-2"/>
  </r>
  <r>
    <x v="0"/>
    <x v="8"/>
    <x v="2"/>
    <x v="41"/>
    <x v="0"/>
    <x v="1"/>
    <n v="191.76387540100001"/>
  </r>
  <r>
    <x v="0"/>
    <x v="8"/>
    <x v="3"/>
    <x v="41"/>
    <x v="0"/>
    <x v="1"/>
    <n v="0.11167424200000001"/>
  </r>
  <r>
    <x v="0"/>
    <x v="8"/>
    <x v="4"/>
    <x v="0"/>
    <x v="1"/>
    <x v="0"/>
    <n v="193.05902460499999"/>
  </r>
  <r>
    <x v="0"/>
    <x v="8"/>
    <x v="5"/>
    <x v="0"/>
    <x v="1"/>
    <x v="1"/>
    <n v="5.9391000000000001E-5"/>
  </r>
  <r>
    <x v="0"/>
    <x v="8"/>
    <x v="6"/>
    <x v="0"/>
    <x v="1"/>
    <x v="1"/>
    <n v="0.485413818"/>
  </r>
  <r>
    <x v="0"/>
    <x v="8"/>
    <x v="4"/>
    <x v="1"/>
    <x v="1"/>
    <x v="0"/>
    <n v="281.63456790399999"/>
  </r>
  <r>
    <x v="0"/>
    <x v="8"/>
    <x v="5"/>
    <x v="1"/>
    <x v="1"/>
    <x v="1"/>
    <n v="6.9037999999999999E-5"/>
  </r>
  <r>
    <x v="0"/>
    <x v="8"/>
    <x v="6"/>
    <x v="1"/>
    <x v="1"/>
    <x v="1"/>
    <n v="0.485413818"/>
  </r>
  <r>
    <x v="0"/>
    <x v="8"/>
    <x v="4"/>
    <x v="2"/>
    <x v="1"/>
    <x v="0"/>
    <n v="430.13123766400003"/>
  </r>
  <r>
    <x v="0"/>
    <x v="8"/>
    <x v="5"/>
    <x v="2"/>
    <x v="1"/>
    <x v="1"/>
    <n v="1.6211E-4"/>
  </r>
  <r>
    <x v="0"/>
    <x v="8"/>
    <x v="6"/>
    <x v="2"/>
    <x v="1"/>
    <x v="1"/>
    <n v="0.485413818"/>
  </r>
  <r>
    <x v="0"/>
    <x v="8"/>
    <x v="4"/>
    <x v="3"/>
    <x v="1"/>
    <x v="0"/>
    <n v="164.381365735"/>
  </r>
  <r>
    <x v="0"/>
    <x v="8"/>
    <x v="5"/>
    <x v="3"/>
    <x v="1"/>
    <x v="1"/>
    <n v="6.0659999999999999E-5"/>
  </r>
  <r>
    <x v="0"/>
    <x v="8"/>
    <x v="6"/>
    <x v="3"/>
    <x v="1"/>
    <x v="1"/>
    <n v="0.485413818"/>
  </r>
  <r>
    <x v="0"/>
    <x v="8"/>
    <x v="4"/>
    <x v="4"/>
    <x v="1"/>
    <x v="0"/>
    <n v="74.072555909000002"/>
  </r>
  <r>
    <x v="0"/>
    <x v="8"/>
    <x v="5"/>
    <x v="4"/>
    <x v="1"/>
    <x v="1"/>
    <n v="6.0642E-5"/>
  </r>
  <r>
    <x v="0"/>
    <x v="8"/>
    <x v="6"/>
    <x v="4"/>
    <x v="1"/>
    <x v="1"/>
    <n v="0.485413818"/>
  </r>
  <r>
    <x v="0"/>
    <x v="8"/>
    <x v="4"/>
    <x v="5"/>
    <x v="1"/>
    <x v="0"/>
    <n v="566.77118631099995"/>
  </r>
  <r>
    <x v="0"/>
    <x v="8"/>
    <x v="5"/>
    <x v="5"/>
    <x v="1"/>
    <x v="1"/>
    <n v="3.1161000000000002E-5"/>
  </r>
  <r>
    <x v="0"/>
    <x v="8"/>
    <x v="6"/>
    <x v="5"/>
    <x v="1"/>
    <x v="1"/>
    <n v="0.485413818"/>
  </r>
  <r>
    <x v="0"/>
    <x v="8"/>
    <x v="4"/>
    <x v="6"/>
    <x v="1"/>
    <x v="0"/>
    <n v="164.02554220299999"/>
  </r>
  <r>
    <x v="0"/>
    <x v="8"/>
    <x v="5"/>
    <x v="6"/>
    <x v="1"/>
    <x v="1"/>
    <n v="2.0142000000000001E-5"/>
  </r>
  <r>
    <x v="0"/>
    <x v="8"/>
    <x v="6"/>
    <x v="6"/>
    <x v="1"/>
    <x v="1"/>
    <n v="0.485413818"/>
  </r>
  <r>
    <x v="0"/>
    <x v="8"/>
    <x v="4"/>
    <x v="7"/>
    <x v="1"/>
    <x v="0"/>
    <n v="118.746316681"/>
  </r>
  <r>
    <x v="0"/>
    <x v="8"/>
    <x v="5"/>
    <x v="7"/>
    <x v="1"/>
    <x v="1"/>
    <n v="1.5860999999999999E-5"/>
  </r>
  <r>
    <x v="0"/>
    <x v="8"/>
    <x v="6"/>
    <x v="7"/>
    <x v="1"/>
    <x v="1"/>
    <n v="0.485413818"/>
  </r>
  <r>
    <x v="0"/>
    <x v="8"/>
    <x v="4"/>
    <x v="8"/>
    <x v="1"/>
    <x v="0"/>
    <n v="94.706609654000005"/>
  </r>
  <r>
    <x v="0"/>
    <x v="8"/>
    <x v="5"/>
    <x v="8"/>
    <x v="1"/>
    <x v="1"/>
    <n v="1.7796E-5"/>
  </r>
  <r>
    <x v="0"/>
    <x v="8"/>
    <x v="6"/>
    <x v="8"/>
    <x v="1"/>
    <x v="1"/>
    <n v="0.485413818"/>
  </r>
  <r>
    <x v="0"/>
    <x v="8"/>
    <x v="4"/>
    <x v="9"/>
    <x v="1"/>
    <x v="0"/>
    <n v="195.18534465499999"/>
  </r>
  <r>
    <x v="0"/>
    <x v="8"/>
    <x v="5"/>
    <x v="9"/>
    <x v="1"/>
    <x v="1"/>
    <n v="4.1860999999999998E-5"/>
  </r>
  <r>
    <x v="0"/>
    <x v="8"/>
    <x v="6"/>
    <x v="9"/>
    <x v="1"/>
    <x v="1"/>
    <n v="0.485413818"/>
  </r>
  <r>
    <x v="0"/>
    <x v="8"/>
    <x v="4"/>
    <x v="10"/>
    <x v="1"/>
    <x v="0"/>
    <n v="147.37570539500001"/>
  </r>
  <r>
    <x v="0"/>
    <x v="8"/>
    <x v="5"/>
    <x v="10"/>
    <x v="1"/>
    <x v="1"/>
    <n v="4.4904000000000002E-5"/>
  </r>
  <r>
    <x v="0"/>
    <x v="8"/>
    <x v="6"/>
    <x v="10"/>
    <x v="1"/>
    <x v="1"/>
    <n v="0.485413818"/>
  </r>
  <r>
    <x v="0"/>
    <x v="8"/>
    <x v="4"/>
    <x v="11"/>
    <x v="1"/>
    <x v="0"/>
    <n v="810.656282465"/>
  </r>
  <r>
    <x v="0"/>
    <x v="8"/>
    <x v="5"/>
    <x v="11"/>
    <x v="1"/>
    <x v="1"/>
    <n v="3.2601999999999997E-5"/>
  </r>
  <r>
    <x v="0"/>
    <x v="8"/>
    <x v="6"/>
    <x v="11"/>
    <x v="1"/>
    <x v="1"/>
    <n v="0.485413818"/>
  </r>
  <r>
    <x v="0"/>
    <x v="8"/>
    <x v="4"/>
    <x v="12"/>
    <x v="1"/>
    <x v="0"/>
    <n v="286.75019592699999"/>
  </r>
  <r>
    <x v="0"/>
    <x v="8"/>
    <x v="5"/>
    <x v="12"/>
    <x v="1"/>
    <x v="1"/>
    <n v="2.0877E-5"/>
  </r>
  <r>
    <x v="0"/>
    <x v="8"/>
    <x v="6"/>
    <x v="12"/>
    <x v="1"/>
    <x v="1"/>
    <n v="0.485413818"/>
  </r>
  <r>
    <x v="0"/>
    <x v="8"/>
    <x v="4"/>
    <x v="13"/>
    <x v="1"/>
    <x v="0"/>
    <n v="672.27609581299998"/>
  </r>
  <r>
    <x v="0"/>
    <x v="8"/>
    <x v="5"/>
    <x v="13"/>
    <x v="1"/>
    <x v="1"/>
    <n v="2.2844999999999999E-5"/>
  </r>
  <r>
    <x v="0"/>
    <x v="8"/>
    <x v="6"/>
    <x v="13"/>
    <x v="1"/>
    <x v="1"/>
    <n v="0.485413818"/>
  </r>
  <r>
    <x v="0"/>
    <x v="8"/>
    <x v="4"/>
    <x v="14"/>
    <x v="1"/>
    <x v="0"/>
    <n v="165.580069237"/>
  </r>
  <r>
    <x v="0"/>
    <x v="8"/>
    <x v="5"/>
    <x v="14"/>
    <x v="1"/>
    <x v="1"/>
    <n v="2.4978999999999999E-5"/>
  </r>
  <r>
    <x v="0"/>
    <x v="8"/>
    <x v="6"/>
    <x v="14"/>
    <x v="1"/>
    <x v="1"/>
    <n v="0.485413818"/>
  </r>
  <r>
    <x v="0"/>
    <x v="8"/>
    <x v="4"/>
    <x v="15"/>
    <x v="1"/>
    <x v="0"/>
    <n v="192.79598978600001"/>
  </r>
  <r>
    <x v="0"/>
    <x v="8"/>
    <x v="5"/>
    <x v="15"/>
    <x v="1"/>
    <x v="1"/>
    <n v="1.8488E-5"/>
  </r>
  <r>
    <x v="0"/>
    <x v="8"/>
    <x v="6"/>
    <x v="15"/>
    <x v="1"/>
    <x v="1"/>
    <n v="0.485413818"/>
  </r>
  <r>
    <x v="0"/>
    <x v="8"/>
    <x v="4"/>
    <x v="16"/>
    <x v="1"/>
    <x v="0"/>
    <n v="140.258731619"/>
  </r>
  <r>
    <x v="0"/>
    <x v="8"/>
    <x v="5"/>
    <x v="16"/>
    <x v="1"/>
    <x v="1"/>
    <n v="1.4272E-5"/>
  </r>
  <r>
    <x v="0"/>
    <x v="8"/>
    <x v="6"/>
    <x v="16"/>
    <x v="1"/>
    <x v="1"/>
    <n v="0.485413818"/>
  </r>
  <r>
    <x v="0"/>
    <x v="8"/>
    <x v="4"/>
    <x v="17"/>
    <x v="1"/>
    <x v="0"/>
    <n v="285.26204485099998"/>
  </r>
  <r>
    <x v="0"/>
    <x v="8"/>
    <x v="5"/>
    <x v="17"/>
    <x v="1"/>
    <x v="1"/>
    <n v="1.7567999999999998E-5"/>
  </r>
  <r>
    <x v="0"/>
    <x v="8"/>
    <x v="6"/>
    <x v="17"/>
    <x v="1"/>
    <x v="1"/>
    <n v="0.485413818"/>
  </r>
  <r>
    <x v="0"/>
    <x v="8"/>
    <x v="4"/>
    <x v="18"/>
    <x v="1"/>
    <x v="0"/>
    <n v="228.78984915199999"/>
  </r>
  <r>
    <x v="0"/>
    <x v="8"/>
    <x v="5"/>
    <x v="18"/>
    <x v="1"/>
    <x v="1"/>
    <n v="1.9553999999999999E-5"/>
  </r>
  <r>
    <x v="0"/>
    <x v="8"/>
    <x v="6"/>
    <x v="18"/>
    <x v="1"/>
    <x v="1"/>
    <n v="0.485413818"/>
  </r>
  <r>
    <x v="0"/>
    <x v="8"/>
    <x v="4"/>
    <x v="19"/>
    <x v="1"/>
    <x v="0"/>
    <n v="238.297667598"/>
  </r>
  <r>
    <x v="0"/>
    <x v="8"/>
    <x v="5"/>
    <x v="19"/>
    <x v="1"/>
    <x v="1"/>
    <n v="1.8113000000000001E-5"/>
  </r>
  <r>
    <x v="0"/>
    <x v="8"/>
    <x v="6"/>
    <x v="19"/>
    <x v="1"/>
    <x v="1"/>
    <n v="0.485413818"/>
  </r>
  <r>
    <x v="0"/>
    <x v="8"/>
    <x v="4"/>
    <x v="20"/>
    <x v="1"/>
    <x v="0"/>
    <n v="38.005514920000003"/>
  </r>
  <r>
    <x v="0"/>
    <x v="8"/>
    <x v="5"/>
    <x v="20"/>
    <x v="1"/>
    <x v="1"/>
    <n v="3.4910999999999998E-5"/>
  </r>
  <r>
    <x v="0"/>
    <x v="8"/>
    <x v="6"/>
    <x v="20"/>
    <x v="1"/>
    <x v="1"/>
    <n v="0.485413818"/>
  </r>
  <r>
    <x v="0"/>
    <x v="8"/>
    <x v="4"/>
    <x v="21"/>
    <x v="1"/>
    <x v="0"/>
    <n v="13.801399646"/>
  </r>
  <r>
    <x v="0"/>
    <x v="8"/>
    <x v="5"/>
    <x v="21"/>
    <x v="1"/>
    <x v="1"/>
    <n v="3.3059000000000003E-5"/>
  </r>
  <r>
    <x v="0"/>
    <x v="8"/>
    <x v="6"/>
    <x v="21"/>
    <x v="1"/>
    <x v="1"/>
    <n v="0.485413818"/>
  </r>
  <r>
    <x v="0"/>
    <x v="8"/>
    <x v="4"/>
    <x v="22"/>
    <x v="1"/>
    <x v="0"/>
    <n v="242.140877824"/>
  </r>
  <r>
    <x v="0"/>
    <x v="8"/>
    <x v="5"/>
    <x v="22"/>
    <x v="1"/>
    <x v="1"/>
    <n v="4.6189000000000001E-5"/>
  </r>
  <r>
    <x v="0"/>
    <x v="8"/>
    <x v="6"/>
    <x v="22"/>
    <x v="1"/>
    <x v="1"/>
    <n v="0.485413818"/>
  </r>
  <r>
    <x v="0"/>
    <x v="8"/>
    <x v="4"/>
    <x v="23"/>
    <x v="1"/>
    <x v="0"/>
    <n v="2.7541680479999999"/>
  </r>
  <r>
    <x v="0"/>
    <x v="8"/>
    <x v="5"/>
    <x v="23"/>
    <x v="1"/>
    <x v="1"/>
    <n v="5.3007999999999998E-5"/>
  </r>
  <r>
    <x v="0"/>
    <x v="8"/>
    <x v="6"/>
    <x v="23"/>
    <x v="1"/>
    <x v="1"/>
    <n v="0.485413818"/>
  </r>
  <r>
    <x v="0"/>
    <x v="8"/>
    <x v="4"/>
    <x v="24"/>
    <x v="1"/>
    <x v="0"/>
    <n v="500.55111792100001"/>
  </r>
  <r>
    <x v="0"/>
    <x v="8"/>
    <x v="5"/>
    <x v="24"/>
    <x v="1"/>
    <x v="1"/>
    <n v="3.4325000000000001E-5"/>
  </r>
  <r>
    <x v="0"/>
    <x v="8"/>
    <x v="6"/>
    <x v="24"/>
    <x v="1"/>
    <x v="1"/>
    <n v="0.485413818"/>
  </r>
  <r>
    <x v="0"/>
    <x v="8"/>
    <x v="4"/>
    <x v="25"/>
    <x v="1"/>
    <x v="0"/>
    <n v="27.478074214999999"/>
  </r>
  <r>
    <x v="0"/>
    <x v="8"/>
    <x v="5"/>
    <x v="25"/>
    <x v="1"/>
    <x v="1"/>
    <n v="2.5588999999999998E-5"/>
  </r>
  <r>
    <x v="0"/>
    <x v="8"/>
    <x v="6"/>
    <x v="25"/>
    <x v="1"/>
    <x v="1"/>
    <n v="0.485413818"/>
  </r>
  <r>
    <x v="0"/>
    <x v="8"/>
    <x v="4"/>
    <x v="26"/>
    <x v="1"/>
    <x v="0"/>
    <n v="19.788666566"/>
  </r>
  <r>
    <x v="0"/>
    <x v="8"/>
    <x v="5"/>
    <x v="26"/>
    <x v="1"/>
    <x v="1"/>
    <n v="2.3674999999999999E-5"/>
  </r>
  <r>
    <x v="0"/>
    <x v="8"/>
    <x v="6"/>
    <x v="26"/>
    <x v="1"/>
    <x v="1"/>
    <n v="0.485413818"/>
  </r>
  <r>
    <x v="0"/>
    <x v="8"/>
    <x v="4"/>
    <x v="27"/>
    <x v="1"/>
    <x v="0"/>
    <n v="504.47848722600003"/>
  </r>
  <r>
    <x v="0"/>
    <x v="8"/>
    <x v="5"/>
    <x v="27"/>
    <x v="1"/>
    <x v="1"/>
    <n v="1.3409E-5"/>
  </r>
  <r>
    <x v="0"/>
    <x v="8"/>
    <x v="6"/>
    <x v="27"/>
    <x v="1"/>
    <x v="1"/>
    <n v="0.485413818"/>
  </r>
  <r>
    <x v="0"/>
    <x v="8"/>
    <x v="4"/>
    <x v="28"/>
    <x v="1"/>
    <x v="0"/>
    <n v="1416.637176449"/>
  </r>
  <r>
    <x v="0"/>
    <x v="8"/>
    <x v="5"/>
    <x v="28"/>
    <x v="1"/>
    <x v="1"/>
    <n v="3.9511000000000002E-5"/>
  </r>
  <r>
    <x v="0"/>
    <x v="8"/>
    <x v="6"/>
    <x v="28"/>
    <x v="1"/>
    <x v="1"/>
    <n v="0.485413818"/>
  </r>
  <r>
    <x v="0"/>
    <x v="8"/>
    <x v="4"/>
    <x v="29"/>
    <x v="1"/>
    <x v="0"/>
    <n v="861.08703047699998"/>
  </r>
  <r>
    <x v="0"/>
    <x v="8"/>
    <x v="5"/>
    <x v="29"/>
    <x v="1"/>
    <x v="1"/>
    <n v="4.2147000000000002E-5"/>
  </r>
  <r>
    <x v="0"/>
    <x v="8"/>
    <x v="6"/>
    <x v="29"/>
    <x v="1"/>
    <x v="1"/>
    <n v="0.485413818"/>
  </r>
  <r>
    <x v="0"/>
    <x v="8"/>
    <x v="4"/>
    <x v="30"/>
    <x v="1"/>
    <x v="0"/>
    <n v="146.28593595500001"/>
  </r>
  <r>
    <x v="0"/>
    <x v="8"/>
    <x v="5"/>
    <x v="30"/>
    <x v="1"/>
    <x v="1"/>
    <n v="2.2246999999999999E-5"/>
  </r>
  <r>
    <x v="0"/>
    <x v="8"/>
    <x v="6"/>
    <x v="30"/>
    <x v="1"/>
    <x v="1"/>
    <n v="0.485413818"/>
  </r>
  <r>
    <x v="0"/>
    <x v="8"/>
    <x v="4"/>
    <x v="31"/>
    <x v="1"/>
    <x v="0"/>
    <n v="528.61385760500002"/>
  </r>
  <r>
    <x v="0"/>
    <x v="8"/>
    <x v="5"/>
    <x v="31"/>
    <x v="1"/>
    <x v="1"/>
    <n v="2.9547E-5"/>
  </r>
  <r>
    <x v="0"/>
    <x v="8"/>
    <x v="6"/>
    <x v="31"/>
    <x v="1"/>
    <x v="1"/>
    <n v="0.485413818"/>
  </r>
  <r>
    <x v="0"/>
    <x v="8"/>
    <x v="4"/>
    <x v="32"/>
    <x v="1"/>
    <x v="0"/>
    <n v="1677.7235730299999"/>
  </r>
  <r>
    <x v="0"/>
    <x v="8"/>
    <x v="5"/>
    <x v="32"/>
    <x v="1"/>
    <x v="1"/>
    <n v="5.3643000000000001E-5"/>
  </r>
  <r>
    <x v="0"/>
    <x v="8"/>
    <x v="6"/>
    <x v="32"/>
    <x v="1"/>
    <x v="1"/>
    <n v="0.485413818"/>
  </r>
  <r>
    <x v="0"/>
    <x v="8"/>
    <x v="4"/>
    <x v="33"/>
    <x v="1"/>
    <x v="0"/>
    <n v="1873.515888871"/>
  </r>
  <r>
    <x v="0"/>
    <x v="8"/>
    <x v="5"/>
    <x v="33"/>
    <x v="1"/>
    <x v="1"/>
    <n v="5.9666000000000001E-5"/>
  </r>
  <r>
    <x v="0"/>
    <x v="8"/>
    <x v="6"/>
    <x v="33"/>
    <x v="1"/>
    <x v="1"/>
    <n v="0.485413818"/>
  </r>
  <r>
    <x v="0"/>
    <x v="8"/>
    <x v="4"/>
    <x v="34"/>
    <x v="1"/>
    <x v="0"/>
    <n v="370.88112388100001"/>
  </r>
  <r>
    <x v="0"/>
    <x v="8"/>
    <x v="5"/>
    <x v="34"/>
    <x v="1"/>
    <x v="1"/>
    <n v="5.0324000000000001E-5"/>
  </r>
  <r>
    <x v="0"/>
    <x v="8"/>
    <x v="6"/>
    <x v="34"/>
    <x v="1"/>
    <x v="1"/>
    <n v="0.485413818"/>
  </r>
  <r>
    <x v="0"/>
    <x v="8"/>
    <x v="4"/>
    <x v="35"/>
    <x v="1"/>
    <x v="0"/>
    <n v="303.40204467199999"/>
  </r>
  <r>
    <x v="0"/>
    <x v="8"/>
    <x v="5"/>
    <x v="35"/>
    <x v="1"/>
    <x v="1"/>
    <n v="5.6473E-5"/>
  </r>
  <r>
    <x v="0"/>
    <x v="8"/>
    <x v="6"/>
    <x v="35"/>
    <x v="1"/>
    <x v="1"/>
    <n v="0.485413818"/>
  </r>
  <r>
    <x v="0"/>
    <x v="8"/>
    <x v="4"/>
    <x v="36"/>
    <x v="1"/>
    <x v="0"/>
    <n v="98.003944434000005"/>
  </r>
  <r>
    <x v="0"/>
    <x v="8"/>
    <x v="5"/>
    <x v="36"/>
    <x v="1"/>
    <x v="1"/>
    <n v="8.7397000000000004E-5"/>
  </r>
  <r>
    <x v="0"/>
    <x v="8"/>
    <x v="6"/>
    <x v="36"/>
    <x v="1"/>
    <x v="1"/>
    <n v="0.485413818"/>
  </r>
  <r>
    <x v="0"/>
    <x v="8"/>
    <x v="4"/>
    <x v="37"/>
    <x v="1"/>
    <x v="0"/>
    <n v="128.45746475999999"/>
  </r>
  <r>
    <x v="0"/>
    <x v="8"/>
    <x v="5"/>
    <x v="37"/>
    <x v="1"/>
    <x v="1"/>
    <n v="2.4825E-5"/>
  </r>
  <r>
    <x v="0"/>
    <x v="8"/>
    <x v="6"/>
    <x v="37"/>
    <x v="1"/>
    <x v="1"/>
    <n v="0.485413818"/>
  </r>
  <r>
    <x v="0"/>
    <x v="8"/>
    <x v="4"/>
    <x v="38"/>
    <x v="1"/>
    <x v="0"/>
    <n v="214.98273144699999"/>
  </r>
  <r>
    <x v="0"/>
    <x v="8"/>
    <x v="5"/>
    <x v="38"/>
    <x v="1"/>
    <x v="1"/>
    <n v="9.1432000000000001E-5"/>
  </r>
  <r>
    <x v="0"/>
    <x v="8"/>
    <x v="6"/>
    <x v="38"/>
    <x v="1"/>
    <x v="1"/>
    <n v="0.485413818"/>
  </r>
  <r>
    <x v="0"/>
    <x v="8"/>
    <x v="4"/>
    <x v="39"/>
    <x v="1"/>
    <x v="0"/>
    <n v="97.891257400000001"/>
  </r>
  <r>
    <x v="0"/>
    <x v="8"/>
    <x v="5"/>
    <x v="39"/>
    <x v="1"/>
    <x v="1"/>
    <n v="3.1801999999999998E-5"/>
  </r>
  <r>
    <x v="0"/>
    <x v="8"/>
    <x v="6"/>
    <x v="39"/>
    <x v="1"/>
    <x v="1"/>
    <n v="0.485413818"/>
  </r>
  <r>
    <x v="0"/>
    <x v="8"/>
    <x v="4"/>
    <x v="40"/>
    <x v="1"/>
    <x v="0"/>
    <n v="99.034751173000004"/>
  </r>
  <r>
    <x v="0"/>
    <x v="8"/>
    <x v="5"/>
    <x v="40"/>
    <x v="1"/>
    <x v="1"/>
    <n v="3.7521999999999998E-5"/>
  </r>
  <r>
    <x v="0"/>
    <x v="8"/>
    <x v="6"/>
    <x v="40"/>
    <x v="1"/>
    <x v="1"/>
    <n v="0.485413818"/>
  </r>
  <r>
    <x v="0"/>
    <x v="8"/>
    <x v="4"/>
    <x v="41"/>
    <x v="1"/>
    <x v="0"/>
    <n v="315.44378916099998"/>
  </r>
  <r>
    <x v="0"/>
    <x v="8"/>
    <x v="5"/>
    <x v="41"/>
    <x v="1"/>
    <x v="1"/>
    <n v="1.88906E-4"/>
  </r>
  <r>
    <x v="0"/>
    <x v="8"/>
    <x v="6"/>
    <x v="41"/>
    <x v="1"/>
    <x v="1"/>
    <n v="0.485413818"/>
  </r>
  <r>
    <x v="0"/>
    <x v="8"/>
    <x v="7"/>
    <x v="0"/>
    <x v="2"/>
    <x v="2"/>
    <n v="392.03200856400002"/>
  </r>
  <r>
    <x v="0"/>
    <x v="8"/>
    <x v="7"/>
    <x v="1"/>
    <x v="2"/>
    <x v="2"/>
    <n v="45.338586563"/>
  </r>
  <r>
    <x v="0"/>
    <x v="8"/>
    <x v="7"/>
    <x v="2"/>
    <x v="2"/>
    <x v="2"/>
    <n v="19.430207290999999"/>
  </r>
  <r>
    <x v="0"/>
    <x v="8"/>
    <x v="7"/>
    <x v="3"/>
    <x v="2"/>
    <x v="2"/>
    <n v="15.490646645"/>
  </r>
  <r>
    <x v="0"/>
    <x v="8"/>
    <x v="7"/>
    <x v="4"/>
    <x v="2"/>
    <x v="2"/>
    <n v="9.0879333120000005"/>
  </r>
  <r>
    <x v="0"/>
    <x v="8"/>
    <x v="7"/>
    <x v="5"/>
    <x v="2"/>
    <x v="2"/>
    <n v="33.298684825000002"/>
  </r>
  <r>
    <x v="0"/>
    <x v="8"/>
    <x v="7"/>
    <x v="6"/>
    <x v="2"/>
    <x v="2"/>
    <n v="13.502243483000001"/>
  </r>
  <r>
    <x v="0"/>
    <x v="8"/>
    <x v="7"/>
    <x v="7"/>
    <x v="2"/>
    <x v="2"/>
    <n v="12.449388416"/>
  </r>
  <r>
    <x v="0"/>
    <x v="8"/>
    <x v="7"/>
    <x v="8"/>
    <x v="2"/>
    <x v="2"/>
    <n v="7.0509902860000002"/>
  </r>
  <r>
    <x v="0"/>
    <x v="8"/>
    <x v="7"/>
    <x v="9"/>
    <x v="2"/>
    <x v="2"/>
    <n v="20.216550810000001"/>
  </r>
  <r>
    <x v="0"/>
    <x v="8"/>
    <x v="7"/>
    <x v="10"/>
    <x v="2"/>
    <x v="2"/>
    <n v="9.4178687409999995"/>
  </r>
  <r>
    <x v="0"/>
    <x v="8"/>
    <x v="7"/>
    <x v="11"/>
    <x v="2"/>
    <x v="2"/>
    <n v="42.446738945"/>
  </r>
  <r>
    <x v="0"/>
    <x v="8"/>
    <x v="7"/>
    <x v="12"/>
    <x v="2"/>
    <x v="2"/>
    <n v="19.471850215"/>
  </r>
  <r>
    <x v="0"/>
    <x v="8"/>
    <x v="7"/>
    <x v="13"/>
    <x v="2"/>
    <x v="2"/>
    <n v="27.074328745999999"/>
  </r>
  <r>
    <x v="0"/>
    <x v="8"/>
    <x v="7"/>
    <x v="14"/>
    <x v="2"/>
    <x v="2"/>
    <n v="12.946806355"/>
  </r>
  <r>
    <x v="0"/>
    <x v="8"/>
    <x v="7"/>
    <x v="15"/>
    <x v="2"/>
    <x v="2"/>
    <n v="16.107614103"/>
  </r>
  <r>
    <x v="0"/>
    <x v="8"/>
    <x v="7"/>
    <x v="16"/>
    <x v="2"/>
    <x v="2"/>
    <n v="10.758116750999999"/>
  </r>
  <r>
    <x v="0"/>
    <x v="8"/>
    <x v="7"/>
    <x v="17"/>
    <x v="2"/>
    <x v="2"/>
    <n v="21.859159403"/>
  </r>
  <r>
    <x v="0"/>
    <x v="8"/>
    <x v="7"/>
    <x v="18"/>
    <x v="2"/>
    <x v="2"/>
    <n v="13.519544432"/>
  </r>
  <r>
    <x v="0"/>
    <x v="8"/>
    <x v="7"/>
    <x v="19"/>
    <x v="2"/>
    <x v="2"/>
    <n v="22.686614738999999"/>
  </r>
  <r>
    <x v="0"/>
    <x v="8"/>
    <x v="7"/>
    <x v="20"/>
    <x v="2"/>
    <x v="2"/>
    <n v="3.1123973490000001"/>
  </r>
  <r>
    <x v="0"/>
    <x v="8"/>
    <x v="7"/>
    <x v="21"/>
    <x v="2"/>
    <x v="2"/>
    <n v="1.406147869"/>
  </r>
  <r>
    <x v="0"/>
    <x v="8"/>
    <x v="7"/>
    <x v="22"/>
    <x v="2"/>
    <x v="2"/>
    <n v="0.99027412500000001"/>
  </r>
  <r>
    <x v="0"/>
    <x v="8"/>
    <x v="7"/>
    <x v="23"/>
    <x v="2"/>
    <x v="2"/>
    <n v="0.91739776500000003"/>
  </r>
  <r>
    <x v="0"/>
    <x v="8"/>
    <x v="7"/>
    <x v="24"/>
    <x v="2"/>
    <x v="2"/>
    <n v="19.713674002000001"/>
  </r>
  <r>
    <x v="0"/>
    <x v="8"/>
    <x v="7"/>
    <x v="25"/>
    <x v="2"/>
    <x v="2"/>
    <n v="0.897661453"/>
  </r>
  <r>
    <x v="0"/>
    <x v="8"/>
    <x v="7"/>
    <x v="26"/>
    <x v="2"/>
    <x v="2"/>
    <n v="1.734892264"/>
  </r>
  <r>
    <x v="0"/>
    <x v="8"/>
    <x v="7"/>
    <x v="27"/>
    <x v="2"/>
    <x v="2"/>
    <n v="73.288256349999997"/>
  </r>
  <r>
    <x v="0"/>
    <x v="8"/>
    <x v="7"/>
    <x v="28"/>
    <x v="2"/>
    <x v="2"/>
    <n v="87.486421160999996"/>
  </r>
  <r>
    <x v="0"/>
    <x v="8"/>
    <x v="7"/>
    <x v="29"/>
    <x v="2"/>
    <x v="2"/>
    <n v="67.569685852999996"/>
  </r>
  <r>
    <x v="0"/>
    <x v="8"/>
    <x v="7"/>
    <x v="30"/>
    <x v="2"/>
    <x v="2"/>
    <n v="27.505262282"/>
  </r>
  <r>
    <x v="0"/>
    <x v="8"/>
    <x v="7"/>
    <x v="31"/>
    <x v="2"/>
    <x v="2"/>
    <n v="18.483410764999999"/>
  </r>
  <r>
    <x v="0"/>
    <x v="8"/>
    <x v="7"/>
    <x v="32"/>
    <x v="2"/>
    <x v="2"/>
    <n v="77.107992031999999"/>
  </r>
  <r>
    <x v="0"/>
    <x v="8"/>
    <x v="7"/>
    <x v="33"/>
    <x v="2"/>
    <x v="2"/>
    <n v="28.761052078999999"/>
  </r>
  <r>
    <x v="0"/>
    <x v="8"/>
    <x v="7"/>
    <x v="34"/>
    <x v="2"/>
    <x v="2"/>
    <n v="37.324072377"/>
  </r>
  <r>
    <x v="0"/>
    <x v="8"/>
    <x v="7"/>
    <x v="35"/>
    <x v="2"/>
    <x v="2"/>
    <n v="35.694966385000001"/>
  </r>
  <r>
    <x v="0"/>
    <x v="8"/>
    <x v="7"/>
    <x v="36"/>
    <x v="2"/>
    <x v="2"/>
    <n v="13.734253097"/>
  </r>
  <r>
    <x v="0"/>
    <x v="8"/>
    <x v="7"/>
    <x v="37"/>
    <x v="2"/>
    <x v="2"/>
    <n v="25.215190396000001"/>
  </r>
  <r>
    <x v="0"/>
    <x v="8"/>
    <x v="7"/>
    <x v="38"/>
    <x v="2"/>
    <x v="2"/>
    <n v="130.091666433"/>
  </r>
  <r>
    <x v="0"/>
    <x v="8"/>
    <x v="7"/>
    <x v="39"/>
    <x v="2"/>
    <x v="2"/>
    <n v="39.358040002000003"/>
  </r>
  <r>
    <x v="0"/>
    <x v="8"/>
    <x v="7"/>
    <x v="40"/>
    <x v="2"/>
    <x v="2"/>
    <n v="11.035781761999999"/>
  </r>
  <r>
    <x v="0"/>
    <x v="8"/>
    <x v="7"/>
    <x v="41"/>
    <x v="2"/>
    <x v="2"/>
    <n v="244.542059878"/>
  </r>
  <r>
    <x v="0"/>
    <x v="8"/>
    <x v="8"/>
    <x v="0"/>
    <x v="2"/>
    <x v="3"/>
    <n v="6.6228685999999995E-2"/>
  </r>
  <r>
    <x v="0"/>
    <x v="8"/>
    <x v="8"/>
    <x v="1"/>
    <x v="2"/>
    <x v="3"/>
    <n v="6.6228685999999995E-2"/>
  </r>
  <r>
    <x v="0"/>
    <x v="8"/>
    <x v="8"/>
    <x v="2"/>
    <x v="2"/>
    <x v="3"/>
    <n v="6.6228685999999995E-2"/>
  </r>
  <r>
    <x v="0"/>
    <x v="8"/>
    <x v="8"/>
    <x v="3"/>
    <x v="2"/>
    <x v="3"/>
    <n v="6.6228685999999995E-2"/>
  </r>
  <r>
    <x v="0"/>
    <x v="8"/>
    <x v="8"/>
    <x v="4"/>
    <x v="2"/>
    <x v="3"/>
    <n v="6.6228685999999995E-2"/>
  </r>
  <r>
    <x v="0"/>
    <x v="8"/>
    <x v="8"/>
    <x v="5"/>
    <x v="2"/>
    <x v="3"/>
    <n v="6.6228685999999995E-2"/>
  </r>
  <r>
    <x v="0"/>
    <x v="8"/>
    <x v="8"/>
    <x v="6"/>
    <x v="2"/>
    <x v="3"/>
    <n v="6.6228685999999995E-2"/>
  </r>
  <r>
    <x v="0"/>
    <x v="8"/>
    <x v="8"/>
    <x v="7"/>
    <x v="2"/>
    <x v="3"/>
    <n v="6.6228685999999995E-2"/>
  </r>
  <r>
    <x v="0"/>
    <x v="8"/>
    <x v="8"/>
    <x v="8"/>
    <x v="2"/>
    <x v="3"/>
    <n v="6.6228685999999995E-2"/>
  </r>
  <r>
    <x v="0"/>
    <x v="8"/>
    <x v="8"/>
    <x v="9"/>
    <x v="2"/>
    <x v="3"/>
    <n v="6.6228685999999995E-2"/>
  </r>
  <r>
    <x v="0"/>
    <x v="8"/>
    <x v="8"/>
    <x v="10"/>
    <x v="2"/>
    <x v="3"/>
    <n v="6.6228685999999995E-2"/>
  </r>
  <r>
    <x v="0"/>
    <x v="8"/>
    <x v="8"/>
    <x v="11"/>
    <x v="2"/>
    <x v="3"/>
    <n v="6.6228685999999995E-2"/>
  </r>
  <r>
    <x v="0"/>
    <x v="8"/>
    <x v="8"/>
    <x v="12"/>
    <x v="2"/>
    <x v="3"/>
    <n v="6.6228685999999995E-2"/>
  </r>
  <r>
    <x v="0"/>
    <x v="8"/>
    <x v="8"/>
    <x v="13"/>
    <x v="2"/>
    <x v="3"/>
    <n v="6.6228685999999995E-2"/>
  </r>
  <r>
    <x v="0"/>
    <x v="8"/>
    <x v="8"/>
    <x v="14"/>
    <x v="2"/>
    <x v="3"/>
    <n v="6.6228685999999995E-2"/>
  </r>
  <r>
    <x v="0"/>
    <x v="8"/>
    <x v="8"/>
    <x v="15"/>
    <x v="2"/>
    <x v="3"/>
    <n v="6.6228685999999995E-2"/>
  </r>
  <r>
    <x v="0"/>
    <x v="8"/>
    <x v="8"/>
    <x v="16"/>
    <x v="2"/>
    <x v="3"/>
    <n v="6.6228685999999995E-2"/>
  </r>
  <r>
    <x v="0"/>
    <x v="8"/>
    <x v="8"/>
    <x v="17"/>
    <x v="2"/>
    <x v="3"/>
    <n v="6.6228685999999995E-2"/>
  </r>
  <r>
    <x v="0"/>
    <x v="8"/>
    <x v="8"/>
    <x v="18"/>
    <x v="2"/>
    <x v="3"/>
    <n v="6.6228685999999995E-2"/>
  </r>
  <r>
    <x v="0"/>
    <x v="8"/>
    <x v="8"/>
    <x v="19"/>
    <x v="2"/>
    <x v="3"/>
    <n v="6.6228685999999995E-2"/>
  </r>
  <r>
    <x v="0"/>
    <x v="8"/>
    <x v="8"/>
    <x v="20"/>
    <x v="2"/>
    <x v="3"/>
    <n v="6.6228685999999995E-2"/>
  </r>
  <r>
    <x v="0"/>
    <x v="8"/>
    <x v="8"/>
    <x v="21"/>
    <x v="2"/>
    <x v="3"/>
    <n v="6.6228685999999995E-2"/>
  </r>
  <r>
    <x v="0"/>
    <x v="8"/>
    <x v="8"/>
    <x v="22"/>
    <x v="2"/>
    <x v="3"/>
    <n v="6.6228685999999995E-2"/>
  </r>
  <r>
    <x v="0"/>
    <x v="8"/>
    <x v="8"/>
    <x v="23"/>
    <x v="2"/>
    <x v="3"/>
    <n v="6.6228685999999995E-2"/>
  </r>
  <r>
    <x v="0"/>
    <x v="8"/>
    <x v="8"/>
    <x v="24"/>
    <x v="2"/>
    <x v="3"/>
    <n v="6.6228685999999995E-2"/>
  </r>
  <r>
    <x v="0"/>
    <x v="8"/>
    <x v="8"/>
    <x v="25"/>
    <x v="2"/>
    <x v="3"/>
    <n v="6.6228685999999995E-2"/>
  </r>
  <r>
    <x v="0"/>
    <x v="8"/>
    <x v="8"/>
    <x v="26"/>
    <x v="2"/>
    <x v="3"/>
    <n v="6.6228685999999995E-2"/>
  </r>
  <r>
    <x v="0"/>
    <x v="8"/>
    <x v="8"/>
    <x v="27"/>
    <x v="2"/>
    <x v="3"/>
    <n v="6.6228685999999995E-2"/>
  </r>
  <r>
    <x v="0"/>
    <x v="8"/>
    <x v="8"/>
    <x v="28"/>
    <x v="2"/>
    <x v="3"/>
    <n v="6.6228685999999995E-2"/>
  </r>
  <r>
    <x v="0"/>
    <x v="8"/>
    <x v="8"/>
    <x v="29"/>
    <x v="2"/>
    <x v="3"/>
    <n v="6.6228685999999995E-2"/>
  </r>
  <r>
    <x v="0"/>
    <x v="8"/>
    <x v="8"/>
    <x v="30"/>
    <x v="2"/>
    <x v="3"/>
    <n v="6.6228685999999995E-2"/>
  </r>
  <r>
    <x v="0"/>
    <x v="8"/>
    <x v="8"/>
    <x v="31"/>
    <x v="2"/>
    <x v="3"/>
    <n v="6.6228685999999995E-2"/>
  </r>
  <r>
    <x v="0"/>
    <x v="8"/>
    <x v="8"/>
    <x v="32"/>
    <x v="2"/>
    <x v="3"/>
    <n v="6.6228685999999995E-2"/>
  </r>
  <r>
    <x v="0"/>
    <x v="8"/>
    <x v="8"/>
    <x v="33"/>
    <x v="2"/>
    <x v="3"/>
    <n v="6.6228685999999995E-2"/>
  </r>
  <r>
    <x v="0"/>
    <x v="8"/>
    <x v="8"/>
    <x v="34"/>
    <x v="2"/>
    <x v="3"/>
    <n v="6.6228685999999995E-2"/>
  </r>
  <r>
    <x v="0"/>
    <x v="8"/>
    <x v="8"/>
    <x v="35"/>
    <x v="2"/>
    <x v="3"/>
    <n v="6.6228685999999995E-2"/>
  </r>
  <r>
    <x v="0"/>
    <x v="8"/>
    <x v="8"/>
    <x v="36"/>
    <x v="2"/>
    <x v="3"/>
    <n v="6.6228685999999995E-2"/>
  </r>
  <r>
    <x v="0"/>
    <x v="8"/>
    <x v="8"/>
    <x v="37"/>
    <x v="2"/>
    <x v="3"/>
    <n v="6.6228685999999995E-2"/>
  </r>
  <r>
    <x v="0"/>
    <x v="8"/>
    <x v="8"/>
    <x v="38"/>
    <x v="2"/>
    <x v="3"/>
    <n v="6.6228685999999995E-2"/>
  </r>
  <r>
    <x v="0"/>
    <x v="8"/>
    <x v="8"/>
    <x v="39"/>
    <x v="2"/>
    <x v="3"/>
    <n v="6.6228685999999995E-2"/>
  </r>
  <r>
    <x v="0"/>
    <x v="8"/>
    <x v="8"/>
    <x v="40"/>
    <x v="2"/>
    <x v="3"/>
    <n v="6.6228685999999995E-2"/>
  </r>
  <r>
    <x v="0"/>
    <x v="8"/>
    <x v="8"/>
    <x v="41"/>
    <x v="2"/>
    <x v="3"/>
    <n v="6.6228685999999995E-2"/>
  </r>
  <r>
    <x v="0"/>
    <x v="8"/>
    <x v="7"/>
    <x v="0"/>
    <x v="3"/>
    <x v="2"/>
    <n v="393.91590079399998"/>
  </r>
  <r>
    <x v="0"/>
    <x v="8"/>
    <x v="7"/>
    <x v="1"/>
    <x v="3"/>
    <x v="2"/>
    <n v="43.590170467"/>
  </r>
  <r>
    <x v="0"/>
    <x v="8"/>
    <x v="7"/>
    <x v="2"/>
    <x v="3"/>
    <x v="2"/>
    <n v="17.495839942"/>
  </r>
  <r>
    <x v="0"/>
    <x v="8"/>
    <x v="7"/>
    <x v="3"/>
    <x v="3"/>
    <x v="2"/>
    <n v="14.605070591"/>
  </r>
  <r>
    <x v="0"/>
    <x v="8"/>
    <x v="7"/>
    <x v="4"/>
    <x v="3"/>
    <x v="2"/>
    <n v="8.6607538319999993"/>
  </r>
  <r>
    <x v="0"/>
    <x v="8"/>
    <x v="7"/>
    <x v="5"/>
    <x v="3"/>
    <x v="2"/>
    <n v="30.957614562"/>
  </r>
  <r>
    <x v="0"/>
    <x v="8"/>
    <x v="7"/>
    <x v="6"/>
    <x v="3"/>
    <x v="2"/>
    <n v="12.800812916"/>
  </r>
  <r>
    <x v="0"/>
    <x v="8"/>
    <x v="7"/>
    <x v="7"/>
    <x v="3"/>
    <x v="2"/>
    <n v="11.939884529"/>
  </r>
  <r>
    <x v="0"/>
    <x v="8"/>
    <x v="7"/>
    <x v="8"/>
    <x v="3"/>
    <x v="2"/>
    <n v="6.6653586379999998"/>
  </r>
  <r>
    <x v="0"/>
    <x v="8"/>
    <x v="7"/>
    <x v="9"/>
    <x v="3"/>
    <x v="2"/>
    <n v="19.205952623999998"/>
  </r>
  <r>
    <x v="0"/>
    <x v="8"/>
    <x v="7"/>
    <x v="10"/>
    <x v="3"/>
    <x v="2"/>
    <n v="8.754210037"/>
  </r>
  <r>
    <x v="0"/>
    <x v="8"/>
    <x v="7"/>
    <x v="11"/>
    <x v="3"/>
    <x v="2"/>
    <n v="39.224845109"/>
  </r>
  <r>
    <x v="0"/>
    <x v="8"/>
    <x v="7"/>
    <x v="12"/>
    <x v="3"/>
    <x v="2"/>
    <n v="18.303624995"/>
  </r>
  <r>
    <x v="0"/>
    <x v="8"/>
    <x v="7"/>
    <x v="13"/>
    <x v="3"/>
    <x v="2"/>
    <n v="24.799936871"/>
  </r>
  <r>
    <x v="0"/>
    <x v="8"/>
    <x v="7"/>
    <x v="14"/>
    <x v="3"/>
    <x v="2"/>
    <n v="12.221153229"/>
  </r>
  <r>
    <x v="0"/>
    <x v="8"/>
    <x v="7"/>
    <x v="15"/>
    <x v="3"/>
    <x v="2"/>
    <n v="15.29307107"/>
  </r>
  <r>
    <x v="0"/>
    <x v="8"/>
    <x v="7"/>
    <x v="16"/>
    <x v="3"/>
    <x v="2"/>
    <n v="10.205105323"/>
  </r>
  <r>
    <x v="0"/>
    <x v="8"/>
    <x v="7"/>
    <x v="17"/>
    <x v="3"/>
    <x v="2"/>
    <n v="20.691209844999999"/>
  </r>
  <r>
    <x v="0"/>
    <x v="8"/>
    <x v="7"/>
    <x v="18"/>
    <x v="3"/>
    <x v="2"/>
    <n v="12.638674397000001"/>
  </r>
  <r>
    <x v="0"/>
    <x v="8"/>
    <x v="7"/>
    <x v="19"/>
    <x v="3"/>
    <x v="2"/>
    <n v="21.654207426999999"/>
  </r>
  <r>
    <x v="0"/>
    <x v="8"/>
    <x v="7"/>
    <x v="20"/>
    <x v="3"/>
    <x v="2"/>
    <n v="2.9335415120000001"/>
  </r>
  <r>
    <x v="0"/>
    <x v="8"/>
    <x v="7"/>
    <x v="21"/>
    <x v="3"/>
    <x v="2"/>
    <n v="1.338024178"/>
  </r>
  <r>
    <x v="0"/>
    <x v="8"/>
    <x v="7"/>
    <x v="22"/>
    <x v="3"/>
    <x v="2"/>
    <n v="0.78962213999999997"/>
  </r>
  <r>
    <x v="0"/>
    <x v="8"/>
    <x v="7"/>
    <x v="23"/>
    <x v="3"/>
    <x v="2"/>
    <n v="0.90204707200000001"/>
  </r>
  <r>
    <x v="0"/>
    <x v="8"/>
    <x v="7"/>
    <x v="24"/>
    <x v="3"/>
    <x v="2"/>
    <n v="17.946513334999999"/>
  </r>
  <r>
    <x v="0"/>
    <x v="8"/>
    <x v="7"/>
    <x v="25"/>
    <x v="3"/>
    <x v="2"/>
    <n v="0.81217678500000001"/>
  </r>
  <r>
    <x v="0"/>
    <x v="8"/>
    <x v="7"/>
    <x v="26"/>
    <x v="3"/>
    <x v="2"/>
    <n v="1.646329014"/>
  </r>
  <r>
    <x v="0"/>
    <x v="8"/>
    <x v="7"/>
    <x v="27"/>
    <x v="3"/>
    <x v="2"/>
    <n v="71.146942613999997"/>
  </r>
  <r>
    <x v="0"/>
    <x v="8"/>
    <x v="7"/>
    <x v="28"/>
    <x v="3"/>
    <x v="2"/>
    <n v="81.307793449000002"/>
  </r>
  <r>
    <x v="0"/>
    <x v="8"/>
    <x v="7"/>
    <x v="29"/>
    <x v="3"/>
    <x v="2"/>
    <n v="63.442953261"/>
  </r>
  <r>
    <x v="0"/>
    <x v="8"/>
    <x v="7"/>
    <x v="30"/>
    <x v="3"/>
    <x v="2"/>
    <n v="26.804164841999999"/>
  </r>
  <r>
    <x v="0"/>
    <x v="8"/>
    <x v="7"/>
    <x v="31"/>
    <x v="3"/>
    <x v="2"/>
    <n v="16.753134203999998"/>
  </r>
  <r>
    <x v="0"/>
    <x v="8"/>
    <x v="7"/>
    <x v="32"/>
    <x v="3"/>
    <x v="2"/>
    <n v="70.374833701"/>
  </r>
  <r>
    <x v="0"/>
    <x v="8"/>
    <x v="7"/>
    <x v="33"/>
    <x v="3"/>
    <x v="2"/>
    <n v="24.675536936"/>
  </r>
  <r>
    <x v="0"/>
    <x v="8"/>
    <x v="7"/>
    <x v="34"/>
    <x v="3"/>
    <x v="2"/>
    <n v="35.353287342999998"/>
  </r>
  <r>
    <x v="0"/>
    <x v="8"/>
    <x v="7"/>
    <x v="35"/>
    <x v="3"/>
    <x v="2"/>
    <n v="33.984384622"/>
  </r>
  <r>
    <x v="0"/>
    <x v="8"/>
    <x v="7"/>
    <x v="36"/>
    <x v="3"/>
    <x v="2"/>
    <n v="13.111493939000001"/>
  </r>
  <r>
    <x v="0"/>
    <x v="8"/>
    <x v="7"/>
    <x v="37"/>
    <x v="3"/>
    <x v="2"/>
    <n v="24.583337992000001"/>
  </r>
  <r>
    <x v="0"/>
    <x v="8"/>
    <x v="7"/>
    <x v="38"/>
    <x v="3"/>
    <x v="2"/>
    <n v="129.04649832999999"/>
  </r>
  <r>
    <x v="0"/>
    <x v="8"/>
    <x v="7"/>
    <x v="39"/>
    <x v="3"/>
    <x v="2"/>
    <n v="38.942943599000003"/>
  </r>
  <r>
    <x v="0"/>
    <x v="8"/>
    <x v="7"/>
    <x v="40"/>
    <x v="3"/>
    <x v="2"/>
    <n v="10.525121756000001"/>
  </r>
  <r>
    <x v="0"/>
    <x v="8"/>
    <x v="7"/>
    <x v="41"/>
    <x v="3"/>
    <x v="2"/>
    <n v="242.85271168700001"/>
  </r>
  <r>
    <x v="0"/>
    <x v="8"/>
    <x v="8"/>
    <x v="0"/>
    <x v="3"/>
    <x v="3"/>
    <n v="6.4011209999999999E-2"/>
  </r>
  <r>
    <x v="0"/>
    <x v="8"/>
    <x v="8"/>
    <x v="1"/>
    <x v="3"/>
    <x v="3"/>
    <n v="6.4011209999999999E-2"/>
  </r>
  <r>
    <x v="0"/>
    <x v="8"/>
    <x v="8"/>
    <x v="2"/>
    <x v="3"/>
    <x v="3"/>
    <n v="6.4011209999999999E-2"/>
  </r>
  <r>
    <x v="0"/>
    <x v="8"/>
    <x v="8"/>
    <x v="3"/>
    <x v="3"/>
    <x v="3"/>
    <n v="6.4011209999999999E-2"/>
  </r>
  <r>
    <x v="0"/>
    <x v="8"/>
    <x v="8"/>
    <x v="4"/>
    <x v="3"/>
    <x v="3"/>
    <n v="6.4011209999999999E-2"/>
  </r>
  <r>
    <x v="0"/>
    <x v="8"/>
    <x v="8"/>
    <x v="5"/>
    <x v="3"/>
    <x v="3"/>
    <n v="6.4011209999999999E-2"/>
  </r>
  <r>
    <x v="0"/>
    <x v="8"/>
    <x v="8"/>
    <x v="6"/>
    <x v="3"/>
    <x v="3"/>
    <n v="6.4011209999999999E-2"/>
  </r>
  <r>
    <x v="0"/>
    <x v="8"/>
    <x v="8"/>
    <x v="7"/>
    <x v="3"/>
    <x v="3"/>
    <n v="6.4011209999999999E-2"/>
  </r>
  <r>
    <x v="0"/>
    <x v="8"/>
    <x v="8"/>
    <x v="8"/>
    <x v="3"/>
    <x v="3"/>
    <n v="6.4011209999999999E-2"/>
  </r>
  <r>
    <x v="0"/>
    <x v="8"/>
    <x v="8"/>
    <x v="9"/>
    <x v="3"/>
    <x v="3"/>
    <n v="6.4011209999999999E-2"/>
  </r>
  <r>
    <x v="0"/>
    <x v="8"/>
    <x v="8"/>
    <x v="10"/>
    <x v="3"/>
    <x v="3"/>
    <n v="6.4011209999999999E-2"/>
  </r>
  <r>
    <x v="0"/>
    <x v="8"/>
    <x v="8"/>
    <x v="11"/>
    <x v="3"/>
    <x v="3"/>
    <n v="6.4011209999999999E-2"/>
  </r>
  <r>
    <x v="0"/>
    <x v="8"/>
    <x v="8"/>
    <x v="12"/>
    <x v="3"/>
    <x v="3"/>
    <n v="6.4011209999999999E-2"/>
  </r>
  <r>
    <x v="0"/>
    <x v="8"/>
    <x v="8"/>
    <x v="13"/>
    <x v="3"/>
    <x v="3"/>
    <n v="6.4011209999999999E-2"/>
  </r>
  <r>
    <x v="0"/>
    <x v="8"/>
    <x v="8"/>
    <x v="14"/>
    <x v="3"/>
    <x v="3"/>
    <n v="6.4011209999999999E-2"/>
  </r>
  <r>
    <x v="0"/>
    <x v="8"/>
    <x v="8"/>
    <x v="15"/>
    <x v="3"/>
    <x v="3"/>
    <n v="6.4011209999999999E-2"/>
  </r>
  <r>
    <x v="0"/>
    <x v="8"/>
    <x v="8"/>
    <x v="16"/>
    <x v="3"/>
    <x v="3"/>
    <n v="6.4011209999999999E-2"/>
  </r>
  <r>
    <x v="0"/>
    <x v="8"/>
    <x v="8"/>
    <x v="17"/>
    <x v="3"/>
    <x v="3"/>
    <n v="6.4011209999999999E-2"/>
  </r>
  <r>
    <x v="0"/>
    <x v="8"/>
    <x v="8"/>
    <x v="18"/>
    <x v="3"/>
    <x v="3"/>
    <n v="6.4011209999999999E-2"/>
  </r>
  <r>
    <x v="0"/>
    <x v="8"/>
    <x v="8"/>
    <x v="19"/>
    <x v="3"/>
    <x v="3"/>
    <n v="6.4011209999999999E-2"/>
  </r>
  <r>
    <x v="0"/>
    <x v="8"/>
    <x v="8"/>
    <x v="20"/>
    <x v="3"/>
    <x v="3"/>
    <n v="6.4011209999999999E-2"/>
  </r>
  <r>
    <x v="0"/>
    <x v="8"/>
    <x v="8"/>
    <x v="21"/>
    <x v="3"/>
    <x v="3"/>
    <n v="6.4011209999999999E-2"/>
  </r>
  <r>
    <x v="0"/>
    <x v="8"/>
    <x v="8"/>
    <x v="22"/>
    <x v="3"/>
    <x v="3"/>
    <n v="6.4011209999999999E-2"/>
  </r>
  <r>
    <x v="0"/>
    <x v="8"/>
    <x v="8"/>
    <x v="23"/>
    <x v="3"/>
    <x v="3"/>
    <n v="6.4011209999999999E-2"/>
  </r>
  <r>
    <x v="0"/>
    <x v="8"/>
    <x v="8"/>
    <x v="24"/>
    <x v="3"/>
    <x v="3"/>
    <n v="6.4011209999999999E-2"/>
  </r>
  <r>
    <x v="0"/>
    <x v="8"/>
    <x v="8"/>
    <x v="25"/>
    <x v="3"/>
    <x v="3"/>
    <n v="6.4011209999999999E-2"/>
  </r>
  <r>
    <x v="0"/>
    <x v="8"/>
    <x v="8"/>
    <x v="26"/>
    <x v="3"/>
    <x v="3"/>
    <n v="6.4011209999999999E-2"/>
  </r>
  <r>
    <x v="0"/>
    <x v="8"/>
    <x v="8"/>
    <x v="27"/>
    <x v="3"/>
    <x v="3"/>
    <n v="6.4011209999999999E-2"/>
  </r>
  <r>
    <x v="0"/>
    <x v="8"/>
    <x v="8"/>
    <x v="28"/>
    <x v="3"/>
    <x v="3"/>
    <n v="6.4011209999999999E-2"/>
  </r>
  <r>
    <x v="0"/>
    <x v="8"/>
    <x v="8"/>
    <x v="29"/>
    <x v="3"/>
    <x v="3"/>
    <n v="6.4011209999999999E-2"/>
  </r>
  <r>
    <x v="0"/>
    <x v="8"/>
    <x v="8"/>
    <x v="30"/>
    <x v="3"/>
    <x v="3"/>
    <n v="6.4011209999999999E-2"/>
  </r>
  <r>
    <x v="0"/>
    <x v="8"/>
    <x v="8"/>
    <x v="31"/>
    <x v="3"/>
    <x v="3"/>
    <n v="6.4011209999999999E-2"/>
  </r>
  <r>
    <x v="0"/>
    <x v="8"/>
    <x v="8"/>
    <x v="32"/>
    <x v="3"/>
    <x v="3"/>
    <n v="6.4011209999999999E-2"/>
  </r>
  <r>
    <x v="0"/>
    <x v="8"/>
    <x v="8"/>
    <x v="33"/>
    <x v="3"/>
    <x v="3"/>
    <n v="6.4011209999999999E-2"/>
  </r>
  <r>
    <x v="0"/>
    <x v="8"/>
    <x v="8"/>
    <x v="34"/>
    <x v="3"/>
    <x v="3"/>
    <n v="6.4011209999999999E-2"/>
  </r>
  <r>
    <x v="0"/>
    <x v="8"/>
    <x v="8"/>
    <x v="35"/>
    <x v="3"/>
    <x v="3"/>
    <n v="6.4011209999999999E-2"/>
  </r>
  <r>
    <x v="0"/>
    <x v="8"/>
    <x v="8"/>
    <x v="36"/>
    <x v="3"/>
    <x v="3"/>
    <n v="6.4011209999999999E-2"/>
  </r>
  <r>
    <x v="0"/>
    <x v="8"/>
    <x v="8"/>
    <x v="37"/>
    <x v="3"/>
    <x v="3"/>
    <n v="6.4011209999999999E-2"/>
  </r>
  <r>
    <x v="0"/>
    <x v="8"/>
    <x v="8"/>
    <x v="38"/>
    <x v="3"/>
    <x v="3"/>
    <n v="6.4011209999999999E-2"/>
  </r>
  <r>
    <x v="0"/>
    <x v="8"/>
    <x v="8"/>
    <x v="39"/>
    <x v="3"/>
    <x v="3"/>
    <n v="6.4011209999999999E-2"/>
  </r>
  <r>
    <x v="0"/>
    <x v="8"/>
    <x v="8"/>
    <x v="40"/>
    <x v="3"/>
    <x v="3"/>
    <n v="6.4011209999999999E-2"/>
  </r>
  <r>
    <x v="0"/>
    <x v="8"/>
    <x v="8"/>
    <x v="41"/>
    <x v="3"/>
    <x v="3"/>
    <n v="6.4011209999999999E-2"/>
  </r>
  <r>
    <x v="0"/>
    <x v="8"/>
    <x v="9"/>
    <x v="42"/>
    <x v="4"/>
    <x v="4"/>
    <n v="74.246673384999994"/>
  </r>
  <r>
    <x v="0"/>
    <x v="8"/>
    <x v="9"/>
    <x v="42"/>
    <x v="5"/>
    <x v="4"/>
    <n v="1.07222456"/>
  </r>
  <r>
    <x v="0"/>
    <x v="8"/>
    <x v="9"/>
    <x v="42"/>
    <x v="6"/>
    <x v="4"/>
    <n v="0"/>
  </r>
  <r>
    <x v="0"/>
    <x v="8"/>
    <x v="9"/>
    <x v="42"/>
    <x v="7"/>
    <x v="4"/>
    <n v="0"/>
  </r>
  <r>
    <x v="0"/>
    <x v="8"/>
    <x v="9"/>
    <x v="42"/>
    <x v="8"/>
    <x v="4"/>
    <n v="0"/>
  </r>
  <r>
    <x v="0"/>
    <x v="8"/>
    <x v="9"/>
    <x v="42"/>
    <x v="9"/>
    <x v="4"/>
    <n v="81.731044608000005"/>
  </r>
  <r>
    <x v="0"/>
    <x v="8"/>
    <x v="9"/>
    <x v="42"/>
    <x v="10"/>
    <x v="4"/>
    <n v="2.2864000959999999"/>
  </r>
  <r>
    <x v="0"/>
    <x v="8"/>
    <x v="9"/>
    <x v="42"/>
    <x v="11"/>
    <x v="4"/>
    <n v="13.965747273"/>
  </r>
  <r>
    <x v="0"/>
    <x v="8"/>
    <x v="9"/>
    <x v="42"/>
    <x v="12"/>
    <x v="4"/>
    <n v="1.9735845999999999"/>
  </r>
  <r>
    <x v="0"/>
    <x v="8"/>
    <x v="9"/>
    <x v="42"/>
    <x v="13"/>
    <x v="4"/>
    <n v="3.1730803060000001"/>
  </r>
  <r>
    <x v="0"/>
    <x v="8"/>
    <x v="9"/>
    <x v="42"/>
    <x v="14"/>
    <x v="4"/>
    <n v="2.5214723289999998"/>
  </r>
  <r>
    <x v="0"/>
    <x v="8"/>
    <x v="9"/>
    <x v="42"/>
    <x v="15"/>
    <x v="4"/>
    <n v="11.118628727000001"/>
  </r>
  <r>
    <x v="0"/>
    <x v="8"/>
    <x v="9"/>
    <x v="42"/>
    <x v="16"/>
    <x v="4"/>
    <n v="1.4892334089999999"/>
  </r>
  <r>
    <x v="0"/>
    <x v="8"/>
    <x v="9"/>
    <x v="42"/>
    <x v="17"/>
    <x v="4"/>
    <n v="0"/>
  </r>
  <r>
    <x v="0"/>
    <x v="8"/>
    <x v="9"/>
    <x v="42"/>
    <x v="18"/>
    <x v="4"/>
    <n v="0.91718318600000004"/>
  </r>
  <r>
    <x v="0"/>
    <x v="8"/>
    <x v="9"/>
    <x v="42"/>
    <x v="19"/>
    <x v="4"/>
    <n v="0.48080473000000001"/>
  </r>
  <r>
    <x v="0"/>
    <x v="8"/>
    <x v="9"/>
    <x v="42"/>
    <x v="20"/>
    <x v="4"/>
    <n v="0.122688124"/>
  </r>
  <r>
    <x v="0"/>
    <x v="8"/>
    <x v="9"/>
    <x v="42"/>
    <x v="21"/>
    <x v="4"/>
    <n v="8.2952587389999994"/>
  </r>
  <r>
    <x v="0"/>
    <x v="8"/>
    <x v="9"/>
    <x v="42"/>
    <x v="22"/>
    <x v="4"/>
    <n v="8.8355501790000002"/>
  </r>
  <r>
    <x v="0"/>
    <x v="8"/>
    <x v="9"/>
    <x v="42"/>
    <x v="23"/>
    <x v="4"/>
    <n v="8.3605119820000002"/>
  </r>
  <r>
    <x v="0"/>
    <x v="8"/>
    <x v="9"/>
    <x v="42"/>
    <x v="24"/>
    <x v="4"/>
    <n v="0.597882366"/>
  </r>
  <r>
    <x v="0"/>
    <x v="8"/>
    <x v="9"/>
    <x v="42"/>
    <x v="25"/>
    <x v="4"/>
    <n v="0.61427374599999995"/>
  </r>
  <r>
    <x v="0"/>
    <x v="8"/>
    <x v="9"/>
    <x v="42"/>
    <x v="26"/>
    <x v="4"/>
    <n v="0"/>
  </r>
  <r>
    <x v="0"/>
    <x v="8"/>
    <x v="9"/>
    <x v="42"/>
    <x v="27"/>
    <x v="4"/>
    <n v="0"/>
  </r>
  <r>
    <x v="0"/>
    <x v="8"/>
    <x v="9"/>
    <x v="42"/>
    <x v="28"/>
    <x v="4"/>
    <n v="7.723224783"/>
  </r>
  <r>
    <x v="0"/>
    <x v="8"/>
    <x v="9"/>
    <x v="42"/>
    <x v="29"/>
    <x v="4"/>
    <n v="1.0770256419999999"/>
  </r>
  <r>
    <x v="0"/>
    <x v="8"/>
    <x v="9"/>
    <x v="42"/>
    <x v="30"/>
    <x v="4"/>
    <n v="0.42607662000000002"/>
  </r>
  <r>
    <x v="0"/>
    <x v="8"/>
    <x v="9"/>
    <x v="42"/>
    <x v="31"/>
    <x v="4"/>
    <n v="0"/>
  </r>
  <r>
    <x v="0"/>
    <x v="8"/>
    <x v="9"/>
    <x v="42"/>
    <x v="32"/>
    <x v="4"/>
    <n v="31.957106836000001"/>
  </r>
  <r>
    <x v="0"/>
    <x v="8"/>
    <x v="9"/>
    <x v="42"/>
    <x v="33"/>
    <x v="4"/>
    <n v="10.462027425"/>
  </r>
  <r>
    <x v="0"/>
    <x v="8"/>
    <x v="9"/>
    <x v="42"/>
    <x v="34"/>
    <x v="4"/>
    <n v="-0.138210956"/>
  </r>
  <r>
    <x v="0"/>
    <x v="8"/>
    <x v="9"/>
    <x v="42"/>
    <x v="35"/>
    <x v="4"/>
    <n v="16.236130846999998"/>
  </r>
  <r>
    <x v="0"/>
    <x v="8"/>
    <x v="9"/>
    <x v="42"/>
    <x v="36"/>
    <x v="4"/>
    <n v="20.89812414"/>
  </r>
  <r>
    <x v="0"/>
    <x v="8"/>
    <x v="9"/>
    <x v="42"/>
    <x v="37"/>
    <x v="4"/>
    <n v="152.60695897700001"/>
  </r>
  <r>
    <x v="0"/>
    <x v="8"/>
    <x v="9"/>
    <x v="42"/>
    <x v="38"/>
    <x v="4"/>
    <n v="0.38132889199999997"/>
  </r>
  <r>
    <x v="0"/>
    <x v="8"/>
    <x v="9"/>
    <x v="42"/>
    <x v="39"/>
    <x v="4"/>
    <n v="0.16226908700000001"/>
  </r>
  <r>
    <x v="0"/>
    <x v="8"/>
    <x v="9"/>
    <x v="42"/>
    <x v="40"/>
    <x v="4"/>
    <n v="0.19307224200000001"/>
  </r>
  <r>
    <x v="0"/>
    <x v="8"/>
    <x v="9"/>
    <x v="42"/>
    <x v="41"/>
    <x v="4"/>
    <n v="1.557175652"/>
  </r>
  <r>
    <x v="0"/>
    <x v="8"/>
    <x v="9"/>
    <x v="42"/>
    <x v="42"/>
    <x v="4"/>
    <n v="-6.2012338539999998"/>
  </r>
  <r>
    <x v="0"/>
    <x v="8"/>
    <x v="9"/>
    <x v="42"/>
    <x v="43"/>
    <x v="4"/>
    <n v="-3.010343523"/>
  </r>
  <r>
    <x v="0"/>
    <x v="8"/>
    <x v="9"/>
    <x v="42"/>
    <x v="44"/>
    <x v="4"/>
    <n v="1.7171100340000001"/>
  </r>
  <r>
    <x v="0"/>
    <x v="8"/>
    <x v="9"/>
    <x v="42"/>
    <x v="45"/>
    <x v="4"/>
    <n v="-0.14223443399999999"/>
  </r>
  <r>
    <x v="0"/>
    <x v="8"/>
    <x v="10"/>
    <x v="42"/>
    <x v="0"/>
    <x v="4"/>
    <n v="0.504296419"/>
  </r>
  <r>
    <x v="0"/>
    <x v="8"/>
    <x v="11"/>
    <x v="42"/>
    <x v="0"/>
    <x v="4"/>
    <n v="12.393947315"/>
  </r>
  <r>
    <x v="0"/>
    <x v="8"/>
    <x v="9"/>
    <x v="43"/>
    <x v="4"/>
    <x v="4"/>
    <n v="134.71097675300001"/>
  </r>
  <r>
    <x v="0"/>
    <x v="8"/>
    <x v="9"/>
    <x v="43"/>
    <x v="5"/>
    <x v="4"/>
    <n v="0.69026671900000003"/>
  </r>
  <r>
    <x v="0"/>
    <x v="8"/>
    <x v="9"/>
    <x v="43"/>
    <x v="6"/>
    <x v="4"/>
    <n v="0"/>
  </r>
  <r>
    <x v="0"/>
    <x v="8"/>
    <x v="9"/>
    <x v="43"/>
    <x v="7"/>
    <x v="4"/>
    <n v="0"/>
  </r>
  <r>
    <x v="0"/>
    <x v="8"/>
    <x v="9"/>
    <x v="43"/>
    <x v="8"/>
    <x v="4"/>
    <n v="0"/>
  </r>
  <r>
    <x v="0"/>
    <x v="8"/>
    <x v="9"/>
    <x v="43"/>
    <x v="9"/>
    <x v="4"/>
    <n v="304.41519026399999"/>
  </r>
  <r>
    <x v="0"/>
    <x v="8"/>
    <x v="9"/>
    <x v="43"/>
    <x v="10"/>
    <x v="4"/>
    <n v="2.9412004120000002"/>
  </r>
  <r>
    <x v="0"/>
    <x v="8"/>
    <x v="9"/>
    <x v="43"/>
    <x v="11"/>
    <x v="4"/>
    <n v="58.766351667999999"/>
  </r>
  <r>
    <x v="0"/>
    <x v="8"/>
    <x v="9"/>
    <x v="43"/>
    <x v="12"/>
    <x v="4"/>
    <n v="5.4143397069999999"/>
  </r>
  <r>
    <x v="0"/>
    <x v="8"/>
    <x v="9"/>
    <x v="43"/>
    <x v="13"/>
    <x v="4"/>
    <n v="10.205388489000001"/>
  </r>
  <r>
    <x v="0"/>
    <x v="8"/>
    <x v="9"/>
    <x v="43"/>
    <x v="14"/>
    <x v="4"/>
    <n v="20.042629484999999"/>
  </r>
  <r>
    <x v="0"/>
    <x v="8"/>
    <x v="9"/>
    <x v="43"/>
    <x v="15"/>
    <x v="4"/>
    <n v="40.162651072999999"/>
  </r>
  <r>
    <x v="0"/>
    <x v="8"/>
    <x v="9"/>
    <x v="43"/>
    <x v="16"/>
    <x v="4"/>
    <n v="2.667961891"/>
  </r>
  <r>
    <x v="0"/>
    <x v="8"/>
    <x v="9"/>
    <x v="43"/>
    <x v="17"/>
    <x v="4"/>
    <n v="0"/>
  </r>
  <r>
    <x v="0"/>
    <x v="8"/>
    <x v="9"/>
    <x v="43"/>
    <x v="18"/>
    <x v="4"/>
    <n v="3.1628036989999999"/>
  </r>
  <r>
    <x v="0"/>
    <x v="8"/>
    <x v="9"/>
    <x v="43"/>
    <x v="19"/>
    <x v="4"/>
    <n v="0.85290528300000001"/>
  </r>
  <r>
    <x v="0"/>
    <x v="8"/>
    <x v="9"/>
    <x v="43"/>
    <x v="20"/>
    <x v="4"/>
    <n v="0.84674458900000005"/>
  </r>
  <r>
    <x v="0"/>
    <x v="8"/>
    <x v="9"/>
    <x v="43"/>
    <x v="21"/>
    <x v="4"/>
    <n v="48.383943746"/>
  </r>
  <r>
    <x v="0"/>
    <x v="8"/>
    <x v="9"/>
    <x v="43"/>
    <x v="22"/>
    <x v="4"/>
    <n v="21.204097924999999"/>
  </r>
  <r>
    <x v="0"/>
    <x v="8"/>
    <x v="9"/>
    <x v="43"/>
    <x v="23"/>
    <x v="4"/>
    <n v="23.58472458"/>
  </r>
  <r>
    <x v="0"/>
    <x v="8"/>
    <x v="9"/>
    <x v="43"/>
    <x v="24"/>
    <x v="4"/>
    <n v="1.1418349569999999"/>
  </r>
  <r>
    <x v="0"/>
    <x v="8"/>
    <x v="9"/>
    <x v="43"/>
    <x v="25"/>
    <x v="4"/>
    <n v="1.0574615810000001"/>
  </r>
  <r>
    <x v="0"/>
    <x v="8"/>
    <x v="9"/>
    <x v="43"/>
    <x v="26"/>
    <x v="4"/>
    <n v="0"/>
  </r>
  <r>
    <x v="0"/>
    <x v="8"/>
    <x v="9"/>
    <x v="43"/>
    <x v="27"/>
    <x v="4"/>
    <n v="0"/>
  </r>
  <r>
    <x v="0"/>
    <x v="8"/>
    <x v="9"/>
    <x v="43"/>
    <x v="28"/>
    <x v="4"/>
    <n v="11.065131846"/>
  </r>
  <r>
    <x v="0"/>
    <x v="8"/>
    <x v="9"/>
    <x v="43"/>
    <x v="29"/>
    <x v="4"/>
    <n v="9.5009451879999993"/>
  </r>
  <r>
    <x v="0"/>
    <x v="8"/>
    <x v="9"/>
    <x v="43"/>
    <x v="30"/>
    <x v="4"/>
    <n v="0.111428413"/>
  </r>
  <r>
    <x v="0"/>
    <x v="8"/>
    <x v="9"/>
    <x v="43"/>
    <x v="31"/>
    <x v="4"/>
    <n v="0"/>
  </r>
  <r>
    <x v="0"/>
    <x v="8"/>
    <x v="9"/>
    <x v="43"/>
    <x v="32"/>
    <x v="4"/>
    <n v="48.333366865000002"/>
  </r>
  <r>
    <x v="0"/>
    <x v="8"/>
    <x v="9"/>
    <x v="43"/>
    <x v="33"/>
    <x v="4"/>
    <n v="14.794641646000001"/>
  </r>
  <r>
    <x v="0"/>
    <x v="8"/>
    <x v="9"/>
    <x v="43"/>
    <x v="34"/>
    <x v="4"/>
    <n v="-19.695010832000001"/>
  </r>
  <r>
    <x v="0"/>
    <x v="8"/>
    <x v="9"/>
    <x v="43"/>
    <x v="35"/>
    <x v="4"/>
    <n v="32.206766467000001"/>
  </r>
  <r>
    <x v="0"/>
    <x v="8"/>
    <x v="9"/>
    <x v="43"/>
    <x v="36"/>
    <x v="4"/>
    <n v="60.237289365999999"/>
  </r>
  <r>
    <x v="0"/>
    <x v="8"/>
    <x v="9"/>
    <x v="43"/>
    <x v="37"/>
    <x v="4"/>
    <n v="298.14357442400001"/>
  </r>
  <r>
    <x v="0"/>
    <x v="8"/>
    <x v="9"/>
    <x v="43"/>
    <x v="38"/>
    <x v="4"/>
    <n v="1.2817868290000001"/>
  </r>
  <r>
    <x v="0"/>
    <x v="8"/>
    <x v="9"/>
    <x v="43"/>
    <x v="39"/>
    <x v="4"/>
    <n v="-3.8923000999999999E-2"/>
  </r>
  <r>
    <x v="0"/>
    <x v="8"/>
    <x v="9"/>
    <x v="43"/>
    <x v="40"/>
    <x v="4"/>
    <n v="-0.84994192199999996"/>
  </r>
  <r>
    <x v="0"/>
    <x v="8"/>
    <x v="9"/>
    <x v="43"/>
    <x v="41"/>
    <x v="4"/>
    <n v="-12.274575943"/>
  </r>
  <r>
    <x v="0"/>
    <x v="8"/>
    <x v="9"/>
    <x v="43"/>
    <x v="42"/>
    <x v="4"/>
    <n v="-30.312121585"/>
  </r>
  <r>
    <x v="0"/>
    <x v="8"/>
    <x v="9"/>
    <x v="43"/>
    <x v="43"/>
    <x v="4"/>
    <n v="-26.929889717999998"/>
  </r>
  <r>
    <x v="0"/>
    <x v="8"/>
    <x v="9"/>
    <x v="43"/>
    <x v="44"/>
    <x v="4"/>
    <n v="-0.48365529600000001"/>
  </r>
  <r>
    <x v="0"/>
    <x v="8"/>
    <x v="9"/>
    <x v="43"/>
    <x v="45"/>
    <x v="4"/>
    <n v="-1.9388786629999999"/>
  </r>
  <r>
    <x v="0"/>
    <x v="8"/>
    <x v="10"/>
    <x v="43"/>
    <x v="0"/>
    <x v="4"/>
    <n v="1.5715776480000001"/>
  </r>
  <r>
    <x v="0"/>
    <x v="8"/>
    <x v="11"/>
    <x v="43"/>
    <x v="0"/>
    <x v="4"/>
    <n v="41.298973238999999"/>
  </r>
  <r>
    <x v="0"/>
    <x v="8"/>
    <x v="12"/>
    <x v="0"/>
    <x v="0"/>
    <x v="0"/>
    <n v="678.15992450500005"/>
  </r>
  <r>
    <x v="0"/>
    <x v="8"/>
    <x v="13"/>
    <x v="0"/>
    <x v="0"/>
    <x v="0"/>
    <n v="306.12692180800002"/>
  </r>
  <r>
    <x v="0"/>
    <x v="8"/>
    <x v="14"/>
    <x v="0"/>
    <x v="0"/>
    <x v="0"/>
    <n v="0.87791390499999999"/>
  </r>
  <r>
    <x v="0"/>
    <x v="8"/>
    <x v="15"/>
    <x v="0"/>
    <x v="0"/>
    <x v="1"/>
    <n v="9.3263753000000005E-2"/>
  </r>
  <r>
    <x v="0"/>
    <x v="8"/>
    <x v="16"/>
    <x v="0"/>
    <x v="0"/>
    <x v="1"/>
    <n v="0.10007643300000001"/>
  </r>
  <r>
    <x v="0"/>
    <x v="8"/>
    <x v="12"/>
    <x v="1"/>
    <x v="0"/>
    <x v="0"/>
    <n v="213.83159584500001"/>
  </r>
  <r>
    <x v="0"/>
    <x v="8"/>
    <x v="13"/>
    <x v="1"/>
    <x v="0"/>
    <x v="0"/>
    <n v="37.358853314999998"/>
  </r>
  <r>
    <x v="0"/>
    <x v="8"/>
    <x v="14"/>
    <x v="1"/>
    <x v="0"/>
    <x v="0"/>
    <n v="0.28710494800000003"/>
  </r>
  <r>
    <x v="0"/>
    <x v="8"/>
    <x v="15"/>
    <x v="1"/>
    <x v="0"/>
    <x v="1"/>
    <n v="5.3224652999999997E-2"/>
  </r>
  <r>
    <x v="0"/>
    <x v="8"/>
    <x v="16"/>
    <x v="1"/>
    <x v="0"/>
    <x v="1"/>
    <n v="5.4480252E-2"/>
  </r>
  <r>
    <x v="0"/>
    <x v="8"/>
    <x v="12"/>
    <x v="2"/>
    <x v="0"/>
    <x v="0"/>
    <n v="267.00676089500001"/>
  </r>
  <r>
    <x v="0"/>
    <x v="8"/>
    <x v="13"/>
    <x v="2"/>
    <x v="0"/>
    <x v="0"/>
    <n v="96.303009954000004"/>
  </r>
  <r>
    <x v="0"/>
    <x v="8"/>
    <x v="14"/>
    <x v="2"/>
    <x v="0"/>
    <x v="0"/>
    <n v="2.1959653659999998"/>
  </r>
  <r>
    <x v="0"/>
    <x v="8"/>
    <x v="15"/>
    <x v="2"/>
    <x v="0"/>
    <x v="1"/>
    <n v="3.2703216E-2"/>
  </r>
  <r>
    <x v="0"/>
    <x v="8"/>
    <x v="16"/>
    <x v="2"/>
    <x v="0"/>
    <x v="1"/>
    <n v="3.0632441999999999E-2"/>
  </r>
  <r>
    <x v="0"/>
    <x v="8"/>
    <x v="12"/>
    <x v="3"/>
    <x v="0"/>
    <x v="0"/>
    <n v="123.750719934"/>
  </r>
  <r>
    <x v="0"/>
    <x v="8"/>
    <x v="13"/>
    <x v="3"/>
    <x v="0"/>
    <x v="0"/>
    <n v="79.881451841000001"/>
  </r>
  <r>
    <x v="0"/>
    <x v="8"/>
    <x v="14"/>
    <x v="3"/>
    <x v="0"/>
    <x v="0"/>
    <n v="0.28163038200000001"/>
  </r>
  <r>
    <x v="0"/>
    <x v="8"/>
    <x v="15"/>
    <x v="3"/>
    <x v="0"/>
    <x v="1"/>
    <n v="4.1206284000000003E-2"/>
  </r>
  <r>
    <x v="0"/>
    <x v="8"/>
    <x v="16"/>
    <x v="3"/>
    <x v="0"/>
    <x v="1"/>
    <n v="4.2506526000000003E-2"/>
  </r>
  <r>
    <x v="0"/>
    <x v="8"/>
    <x v="12"/>
    <x v="4"/>
    <x v="0"/>
    <x v="0"/>
    <n v="56.882352064999999"/>
  </r>
  <r>
    <x v="0"/>
    <x v="8"/>
    <x v="13"/>
    <x v="4"/>
    <x v="0"/>
    <x v="0"/>
    <n v="6.7544763110000003"/>
  </r>
  <r>
    <x v="0"/>
    <x v="8"/>
    <x v="14"/>
    <x v="4"/>
    <x v="0"/>
    <x v="0"/>
    <n v="0.465131658"/>
  </r>
  <r>
    <x v="0"/>
    <x v="8"/>
    <x v="15"/>
    <x v="4"/>
    <x v="0"/>
    <x v="1"/>
    <n v="4.8336799999999999E-2"/>
  </r>
  <r>
    <x v="0"/>
    <x v="8"/>
    <x v="16"/>
    <x v="4"/>
    <x v="0"/>
    <x v="1"/>
    <n v="4.8954967000000002E-2"/>
  </r>
  <r>
    <x v="0"/>
    <x v="8"/>
    <x v="12"/>
    <x v="5"/>
    <x v="0"/>
    <x v="0"/>
    <n v="547.89737679100006"/>
  </r>
  <r>
    <x v="0"/>
    <x v="8"/>
    <x v="13"/>
    <x v="5"/>
    <x v="0"/>
    <x v="0"/>
    <n v="156.23344985200001"/>
  </r>
  <r>
    <x v="0"/>
    <x v="8"/>
    <x v="14"/>
    <x v="5"/>
    <x v="0"/>
    <x v="0"/>
    <n v="4.665448187"/>
  </r>
  <r>
    <x v="0"/>
    <x v="8"/>
    <x v="15"/>
    <x v="5"/>
    <x v="0"/>
    <x v="1"/>
    <n v="7.0008382999999993E-2"/>
  </r>
  <r>
    <x v="0"/>
    <x v="8"/>
    <x v="16"/>
    <x v="5"/>
    <x v="0"/>
    <x v="1"/>
    <n v="7.2751997999999998E-2"/>
  </r>
  <r>
    <x v="0"/>
    <x v="8"/>
    <x v="12"/>
    <x v="6"/>
    <x v="0"/>
    <x v="0"/>
    <n v="164.87403421600001"/>
  </r>
  <r>
    <x v="0"/>
    <x v="8"/>
    <x v="13"/>
    <x v="6"/>
    <x v="0"/>
    <x v="0"/>
    <n v="23.451348652"/>
  </r>
  <r>
    <x v="0"/>
    <x v="8"/>
    <x v="14"/>
    <x v="6"/>
    <x v="0"/>
    <x v="0"/>
    <n v="8.5588645529999994"/>
  </r>
  <r>
    <x v="0"/>
    <x v="8"/>
    <x v="15"/>
    <x v="6"/>
    <x v="0"/>
    <x v="1"/>
    <n v="6.3531182000000005E-2"/>
  </r>
  <r>
    <x v="0"/>
    <x v="8"/>
    <x v="16"/>
    <x v="6"/>
    <x v="0"/>
    <x v="1"/>
    <n v="6.4720020000000003E-2"/>
  </r>
  <r>
    <x v="0"/>
    <x v="8"/>
    <x v="12"/>
    <x v="7"/>
    <x v="0"/>
    <x v="0"/>
    <n v="92.432545317999995"/>
  </r>
  <r>
    <x v="0"/>
    <x v="8"/>
    <x v="13"/>
    <x v="7"/>
    <x v="0"/>
    <x v="0"/>
    <n v="38.124099014000002"/>
  </r>
  <r>
    <x v="0"/>
    <x v="8"/>
    <x v="14"/>
    <x v="7"/>
    <x v="0"/>
    <x v="0"/>
    <n v="17.893075024000002"/>
  </r>
  <r>
    <x v="0"/>
    <x v="8"/>
    <x v="15"/>
    <x v="7"/>
    <x v="0"/>
    <x v="1"/>
    <n v="6.5233199000000006E-2"/>
  </r>
  <r>
    <x v="0"/>
    <x v="8"/>
    <x v="16"/>
    <x v="7"/>
    <x v="0"/>
    <x v="1"/>
    <n v="6.8759245999999996E-2"/>
  </r>
  <r>
    <x v="0"/>
    <x v="8"/>
    <x v="12"/>
    <x v="8"/>
    <x v="0"/>
    <x v="0"/>
    <n v="75.842421995999999"/>
  </r>
  <r>
    <x v="0"/>
    <x v="8"/>
    <x v="13"/>
    <x v="8"/>
    <x v="0"/>
    <x v="0"/>
    <n v="10.714300371"/>
  </r>
  <r>
    <x v="0"/>
    <x v="8"/>
    <x v="14"/>
    <x v="8"/>
    <x v="0"/>
    <x v="0"/>
    <n v="6.9283975629999999"/>
  </r>
  <r>
    <x v="0"/>
    <x v="8"/>
    <x v="15"/>
    <x v="8"/>
    <x v="0"/>
    <x v="1"/>
    <n v="5.9087319999999999E-2"/>
  </r>
  <r>
    <x v="0"/>
    <x v="8"/>
    <x v="16"/>
    <x v="8"/>
    <x v="0"/>
    <x v="1"/>
    <n v="6.0157718999999998E-2"/>
  </r>
  <r>
    <x v="0"/>
    <x v="8"/>
    <x v="12"/>
    <x v="9"/>
    <x v="0"/>
    <x v="0"/>
    <n v="190.401717596"/>
  </r>
  <r>
    <x v="0"/>
    <x v="8"/>
    <x v="13"/>
    <x v="9"/>
    <x v="0"/>
    <x v="0"/>
    <n v="35.870733127999998"/>
  </r>
  <r>
    <x v="0"/>
    <x v="8"/>
    <x v="14"/>
    <x v="9"/>
    <x v="0"/>
    <x v="0"/>
    <n v="16.000433816000001"/>
  </r>
  <r>
    <x v="0"/>
    <x v="8"/>
    <x v="15"/>
    <x v="9"/>
    <x v="0"/>
    <x v="1"/>
    <n v="5.2066452999999999E-2"/>
  </r>
  <r>
    <x v="0"/>
    <x v="8"/>
    <x v="16"/>
    <x v="9"/>
    <x v="0"/>
    <x v="1"/>
    <n v="5.3157161000000001E-2"/>
  </r>
  <r>
    <x v="0"/>
    <x v="8"/>
    <x v="12"/>
    <x v="10"/>
    <x v="0"/>
    <x v="0"/>
    <n v="315.95437882700003"/>
  </r>
  <r>
    <x v="0"/>
    <x v="8"/>
    <x v="13"/>
    <x v="10"/>
    <x v="0"/>
    <x v="0"/>
    <n v="34.244301114000002"/>
  </r>
  <r>
    <x v="0"/>
    <x v="8"/>
    <x v="14"/>
    <x v="10"/>
    <x v="0"/>
    <x v="0"/>
    <n v="6.282271519"/>
  </r>
  <r>
    <x v="0"/>
    <x v="8"/>
    <x v="15"/>
    <x v="10"/>
    <x v="0"/>
    <x v="1"/>
    <n v="3.6675924999999998E-2"/>
  </r>
  <r>
    <x v="0"/>
    <x v="8"/>
    <x v="16"/>
    <x v="10"/>
    <x v="0"/>
    <x v="1"/>
    <n v="3.6581704999999999E-2"/>
  </r>
  <r>
    <x v="0"/>
    <x v="8"/>
    <x v="12"/>
    <x v="11"/>
    <x v="0"/>
    <x v="0"/>
    <n v="801.88197621200004"/>
  </r>
  <r>
    <x v="0"/>
    <x v="8"/>
    <x v="13"/>
    <x v="11"/>
    <x v="0"/>
    <x v="0"/>
    <n v="193.785545517"/>
  </r>
  <r>
    <x v="0"/>
    <x v="8"/>
    <x v="14"/>
    <x v="11"/>
    <x v="0"/>
    <x v="0"/>
    <n v="34.362666564999998"/>
  </r>
  <r>
    <x v="0"/>
    <x v="8"/>
    <x v="15"/>
    <x v="11"/>
    <x v="0"/>
    <x v="1"/>
    <n v="4.4918726999999999E-2"/>
  </r>
  <r>
    <x v="0"/>
    <x v="8"/>
    <x v="16"/>
    <x v="11"/>
    <x v="0"/>
    <x v="1"/>
    <n v="4.5706938000000003E-2"/>
  </r>
  <r>
    <x v="0"/>
    <x v="8"/>
    <x v="12"/>
    <x v="12"/>
    <x v="0"/>
    <x v="0"/>
    <n v="229.64497496199999"/>
  </r>
  <r>
    <x v="0"/>
    <x v="8"/>
    <x v="13"/>
    <x v="12"/>
    <x v="0"/>
    <x v="0"/>
    <n v="8.121663002"/>
  </r>
  <r>
    <x v="0"/>
    <x v="8"/>
    <x v="14"/>
    <x v="12"/>
    <x v="0"/>
    <x v="0"/>
    <n v="7.8700330799999998"/>
  </r>
  <r>
    <x v="0"/>
    <x v="8"/>
    <x v="15"/>
    <x v="12"/>
    <x v="0"/>
    <x v="1"/>
    <n v="4.6137015000000003E-2"/>
  </r>
  <r>
    <x v="0"/>
    <x v="8"/>
    <x v="16"/>
    <x v="12"/>
    <x v="0"/>
    <x v="1"/>
    <n v="4.6271245000000003E-2"/>
  </r>
  <r>
    <x v="0"/>
    <x v="8"/>
    <x v="12"/>
    <x v="13"/>
    <x v="0"/>
    <x v="0"/>
    <n v="631.97734483800002"/>
  </r>
  <r>
    <x v="0"/>
    <x v="8"/>
    <x v="13"/>
    <x v="13"/>
    <x v="0"/>
    <x v="0"/>
    <n v="78.599532285999999"/>
  </r>
  <r>
    <x v="0"/>
    <x v="8"/>
    <x v="14"/>
    <x v="13"/>
    <x v="0"/>
    <x v="0"/>
    <n v="19.716291777999999"/>
  </r>
  <r>
    <x v="0"/>
    <x v="8"/>
    <x v="15"/>
    <x v="13"/>
    <x v="0"/>
    <x v="1"/>
    <n v="3.7509479999999998E-2"/>
  </r>
  <r>
    <x v="0"/>
    <x v="8"/>
    <x v="16"/>
    <x v="13"/>
    <x v="0"/>
    <x v="1"/>
    <n v="3.7463870000000003E-2"/>
  </r>
  <r>
    <x v="0"/>
    <x v="8"/>
    <x v="12"/>
    <x v="14"/>
    <x v="0"/>
    <x v="0"/>
    <n v="159.88394799700001"/>
  </r>
  <r>
    <x v="0"/>
    <x v="8"/>
    <x v="13"/>
    <x v="14"/>
    <x v="0"/>
    <x v="0"/>
    <n v="10.481793257"/>
  </r>
  <r>
    <x v="0"/>
    <x v="8"/>
    <x v="14"/>
    <x v="14"/>
    <x v="0"/>
    <x v="0"/>
    <n v="14.383028415"/>
  </r>
  <r>
    <x v="0"/>
    <x v="8"/>
    <x v="15"/>
    <x v="14"/>
    <x v="0"/>
    <x v="1"/>
    <n v="4.3969473000000002E-2"/>
  </r>
  <r>
    <x v="0"/>
    <x v="8"/>
    <x v="16"/>
    <x v="14"/>
    <x v="0"/>
    <x v="1"/>
    <n v="4.4154644E-2"/>
  </r>
  <r>
    <x v="0"/>
    <x v="8"/>
    <x v="12"/>
    <x v="15"/>
    <x v="0"/>
    <x v="0"/>
    <n v="165.71863124500001"/>
  </r>
  <r>
    <x v="0"/>
    <x v="8"/>
    <x v="13"/>
    <x v="15"/>
    <x v="0"/>
    <x v="0"/>
    <n v="67.787228932999994"/>
  </r>
  <r>
    <x v="0"/>
    <x v="8"/>
    <x v="14"/>
    <x v="15"/>
    <x v="0"/>
    <x v="0"/>
    <n v="20.382688847000001"/>
  </r>
  <r>
    <x v="0"/>
    <x v="8"/>
    <x v="15"/>
    <x v="15"/>
    <x v="0"/>
    <x v="1"/>
    <n v="4.6599452999999999E-2"/>
  </r>
  <r>
    <x v="0"/>
    <x v="8"/>
    <x v="16"/>
    <x v="15"/>
    <x v="0"/>
    <x v="1"/>
    <n v="4.8206404000000001E-2"/>
  </r>
  <r>
    <x v="0"/>
    <x v="8"/>
    <x v="12"/>
    <x v="16"/>
    <x v="0"/>
    <x v="0"/>
    <n v="105.372921369"/>
  </r>
  <r>
    <x v="0"/>
    <x v="8"/>
    <x v="13"/>
    <x v="16"/>
    <x v="0"/>
    <x v="0"/>
    <n v="58.132871234"/>
  </r>
  <r>
    <x v="0"/>
    <x v="8"/>
    <x v="14"/>
    <x v="16"/>
    <x v="0"/>
    <x v="0"/>
    <n v="9.5697219459999996"/>
  </r>
  <r>
    <x v="0"/>
    <x v="8"/>
    <x v="15"/>
    <x v="16"/>
    <x v="0"/>
    <x v="1"/>
    <n v="4.8455466000000003E-2"/>
  </r>
  <r>
    <x v="0"/>
    <x v="8"/>
    <x v="16"/>
    <x v="16"/>
    <x v="0"/>
    <x v="1"/>
    <n v="5.0961703999999997E-2"/>
  </r>
  <r>
    <x v="0"/>
    <x v="8"/>
    <x v="12"/>
    <x v="17"/>
    <x v="0"/>
    <x v="0"/>
    <n v="257.936762859"/>
  </r>
  <r>
    <x v="0"/>
    <x v="8"/>
    <x v="13"/>
    <x v="17"/>
    <x v="0"/>
    <x v="0"/>
    <n v="96.879558242000002"/>
  </r>
  <r>
    <x v="0"/>
    <x v="8"/>
    <x v="14"/>
    <x v="17"/>
    <x v="0"/>
    <x v="0"/>
    <n v="15.816206104999999"/>
  </r>
  <r>
    <x v="0"/>
    <x v="8"/>
    <x v="15"/>
    <x v="17"/>
    <x v="0"/>
    <x v="1"/>
    <n v="4.8825109999999998E-2"/>
  </r>
  <r>
    <x v="0"/>
    <x v="8"/>
    <x v="16"/>
    <x v="17"/>
    <x v="0"/>
    <x v="1"/>
    <n v="5.0571415000000002E-2"/>
  </r>
  <r>
    <x v="0"/>
    <x v="8"/>
    <x v="12"/>
    <x v="18"/>
    <x v="0"/>
    <x v="0"/>
    <n v="203.79448457800001"/>
  </r>
  <r>
    <x v="0"/>
    <x v="8"/>
    <x v="13"/>
    <x v="18"/>
    <x v="0"/>
    <x v="0"/>
    <n v="52.691577594000002"/>
  </r>
  <r>
    <x v="0"/>
    <x v="8"/>
    <x v="14"/>
    <x v="18"/>
    <x v="0"/>
    <x v="0"/>
    <n v="35.050586928999998"/>
  </r>
  <r>
    <x v="0"/>
    <x v="8"/>
    <x v="15"/>
    <x v="18"/>
    <x v="0"/>
    <x v="1"/>
    <n v="4.4173080000000003E-2"/>
  </r>
  <r>
    <x v="0"/>
    <x v="8"/>
    <x v="16"/>
    <x v="18"/>
    <x v="0"/>
    <x v="1"/>
    <n v="4.4920213000000001E-2"/>
  </r>
  <r>
    <x v="0"/>
    <x v="8"/>
    <x v="12"/>
    <x v="19"/>
    <x v="0"/>
    <x v="0"/>
    <n v="190.876681964"/>
  </r>
  <r>
    <x v="0"/>
    <x v="8"/>
    <x v="13"/>
    <x v="19"/>
    <x v="0"/>
    <x v="0"/>
    <n v="272.823459953"/>
  </r>
  <r>
    <x v="0"/>
    <x v="8"/>
    <x v="14"/>
    <x v="19"/>
    <x v="0"/>
    <x v="0"/>
    <n v="89.321260159999994"/>
  </r>
  <r>
    <x v="0"/>
    <x v="8"/>
    <x v="15"/>
    <x v="19"/>
    <x v="0"/>
    <x v="1"/>
    <n v="4.3938542999999997E-2"/>
  </r>
  <r>
    <x v="0"/>
    <x v="8"/>
    <x v="16"/>
    <x v="19"/>
    <x v="0"/>
    <x v="1"/>
    <n v="4.8035853000000003E-2"/>
  </r>
  <r>
    <x v="0"/>
    <x v="8"/>
    <x v="12"/>
    <x v="20"/>
    <x v="0"/>
    <x v="0"/>
    <n v="29.724713524999999"/>
  </r>
  <r>
    <x v="0"/>
    <x v="8"/>
    <x v="13"/>
    <x v="20"/>
    <x v="0"/>
    <x v="0"/>
    <n v="37.651065985999999"/>
  </r>
  <r>
    <x v="0"/>
    <x v="8"/>
    <x v="14"/>
    <x v="20"/>
    <x v="0"/>
    <x v="0"/>
    <n v="6.9173531109999997"/>
  </r>
  <r>
    <x v="0"/>
    <x v="8"/>
    <x v="15"/>
    <x v="20"/>
    <x v="0"/>
    <x v="1"/>
    <n v="4.2574147999999999E-2"/>
  </r>
  <r>
    <x v="0"/>
    <x v="8"/>
    <x v="16"/>
    <x v="20"/>
    <x v="0"/>
    <x v="1"/>
    <n v="4.5686193E-2"/>
  </r>
  <r>
    <x v="0"/>
    <x v="8"/>
    <x v="12"/>
    <x v="21"/>
    <x v="0"/>
    <x v="0"/>
    <n v="13.870591638000001"/>
  </r>
  <r>
    <x v="0"/>
    <x v="8"/>
    <x v="13"/>
    <x v="21"/>
    <x v="0"/>
    <x v="0"/>
    <n v="0.90333403499999998"/>
  </r>
  <r>
    <x v="0"/>
    <x v="8"/>
    <x v="14"/>
    <x v="21"/>
    <x v="0"/>
    <x v="0"/>
    <n v="1.2442729459999999"/>
  </r>
  <r>
    <x v="0"/>
    <x v="8"/>
    <x v="15"/>
    <x v="21"/>
    <x v="0"/>
    <x v="1"/>
    <n v="5.5082917000000002E-2"/>
  </r>
  <r>
    <x v="0"/>
    <x v="8"/>
    <x v="16"/>
    <x v="21"/>
    <x v="0"/>
    <x v="1"/>
    <n v="5.5508348999999998E-2"/>
  </r>
  <r>
    <x v="0"/>
    <x v="8"/>
    <x v="12"/>
    <x v="22"/>
    <x v="0"/>
    <x v="0"/>
    <n v="75.187350076000001"/>
  </r>
  <r>
    <x v="0"/>
    <x v="8"/>
    <x v="13"/>
    <x v="22"/>
    <x v="0"/>
    <x v="0"/>
    <n v="1.3249533410000001"/>
  </r>
  <r>
    <x v="0"/>
    <x v="8"/>
    <x v="14"/>
    <x v="22"/>
    <x v="0"/>
    <x v="0"/>
    <n v="4.304331135"/>
  </r>
  <r>
    <x v="0"/>
    <x v="8"/>
    <x v="15"/>
    <x v="22"/>
    <x v="0"/>
    <x v="1"/>
    <n v="1.1050623000000001E-2"/>
  </r>
  <r>
    <x v="0"/>
    <x v="8"/>
    <x v="16"/>
    <x v="22"/>
    <x v="0"/>
    <x v="1"/>
    <n v="9.3526779999999997E-3"/>
  </r>
  <r>
    <x v="0"/>
    <x v="8"/>
    <x v="12"/>
    <x v="23"/>
    <x v="0"/>
    <x v="0"/>
    <n v="6.9915001139999999"/>
  </r>
  <r>
    <x v="0"/>
    <x v="8"/>
    <x v="13"/>
    <x v="23"/>
    <x v="0"/>
    <x v="0"/>
    <n v="0"/>
  </r>
  <r>
    <x v="0"/>
    <x v="8"/>
    <x v="14"/>
    <x v="23"/>
    <x v="0"/>
    <x v="0"/>
    <n v="0"/>
  </r>
  <r>
    <x v="0"/>
    <x v="8"/>
    <x v="15"/>
    <x v="23"/>
    <x v="0"/>
    <x v="1"/>
    <n v="5.2801797999999997E-2"/>
  </r>
  <r>
    <x v="0"/>
    <x v="8"/>
    <x v="16"/>
    <x v="23"/>
    <x v="0"/>
    <x v="1"/>
    <n v="5.2801797999999997E-2"/>
  </r>
  <r>
    <x v="0"/>
    <x v="8"/>
    <x v="12"/>
    <x v="24"/>
    <x v="0"/>
    <x v="0"/>
    <n v="368.64502518500001"/>
  </r>
  <r>
    <x v="0"/>
    <x v="8"/>
    <x v="13"/>
    <x v="24"/>
    <x v="0"/>
    <x v="0"/>
    <n v="0.300761852"/>
  </r>
  <r>
    <x v="0"/>
    <x v="8"/>
    <x v="14"/>
    <x v="24"/>
    <x v="0"/>
    <x v="0"/>
    <n v="0.33685954499999998"/>
  </r>
  <r>
    <x v="0"/>
    <x v="8"/>
    <x v="15"/>
    <x v="24"/>
    <x v="0"/>
    <x v="1"/>
    <n v="4.0824672999999999E-2"/>
  </r>
  <r>
    <x v="0"/>
    <x v="8"/>
    <x v="16"/>
    <x v="24"/>
    <x v="0"/>
    <x v="1"/>
    <n v="4.0825846999999998E-2"/>
  </r>
  <r>
    <x v="0"/>
    <x v="8"/>
    <x v="12"/>
    <x v="25"/>
    <x v="0"/>
    <x v="0"/>
    <n v="19.586462234999999"/>
  </r>
  <r>
    <x v="0"/>
    <x v="8"/>
    <x v="13"/>
    <x v="25"/>
    <x v="0"/>
    <x v="0"/>
    <n v="1.79E-7"/>
  </r>
  <r>
    <x v="0"/>
    <x v="8"/>
    <x v="14"/>
    <x v="25"/>
    <x v="0"/>
    <x v="0"/>
    <n v="0"/>
  </r>
  <r>
    <x v="0"/>
    <x v="8"/>
    <x v="15"/>
    <x v="25"/>
    <x v="0"/>
    <x v="1"/>
    <n v="3.6630679999999999E-2"/>
  </r>
  <r>
    <x v="0"/>
    <x v="8"/>
    <x v="16"/>
    <x v="25"/>
    <x v="0"/>
    <x v="1"/>
    <n v="3.6630679999999999E-2"/>
  </r>
  <r>
    <x v="0"/>
    <x v="8"/>
    <x v="12"/>
    <x v="26"/>
    <x v="0"/>
    <x v="0"/>
    <n v="8.8174245199999994"/>
  </r>
  <r>
    <x v="0"/>
    <x v="8"/>
    <x v="13"/>
    <x v="26"/>
    <x v="0"/>
    <x v="0"/>
    <n v="0"/>
  </r>
  <r>
    <x v="0"/>
    <x v="8"/>
    <x v="14"/>
    <x v="26"/>
    <x v="0"/>
    <x v="0"/>
    <n v="0"/>
  </r>
  <r>
    <x v="0"/>
    <x v="8"/>
    <x v="15"/>
    <x v="26"/>
    <x v="0"/>
    <x v="1"/>
    <n v="5.2767112999999997E-2"/>
  </r>
  <r>
    <x v="0"/>
    <x v="8"/>
    <x v="16"/>
    <x v="26"/>
    <x v="0"/>
    <x v="1"/>
    <n v="5.2767112999999997E-2"/>
  </r>
  <r>
    <x v="0"/>
    <x v="8"/>
    <x v="12"/>
    <x v="27"/>
    <x v="0"/>
    <x v="0"/>
    <n v="439.60992033899998"/>
  </r>
  <r>
    <x v="0"/>
    <x v="8"/>
    <x v="13"/>
    <x v="27"/>
    <x v="0"/>
    <x v="0"/>
    <n v="5.1609187370000003"/>
  </r>
  <r>
    <x v="0"/>
    <x v="8"/>
    <x v="14"/>
    <x v="27"/>
    <x v="0"/>
    <x v="0"/>
    <n v="1.542314191"/>
  </r>
  <r>
    <x v="0"/>
    <x v="8"/>
    <x v="15"/>
    <x v="27"/>
    <x v="0"/>
    <x v="1"/>
    <n v="6.0152440000000001E-2"/>
  </r>
  <r>
    <x v="0"/>
    <x v="8"/>
    <x v="16"/>
    <x v="27"/>
    <x v="0"/>
    <x v="1"/>
    <n v="6.0246821999999998E-2"/>
  </r>
  <r>
    <x v="0"/>
    <x v="8"/>
    <x v="12"/>
    <x v="28"/>
    <x v="0"/>
    <x v="0"/>
    <n v="492.025609729"/>
  </r>
  <r>
    <x v="0"/>
    <x v="8"/>
    <x v="13"/>
    <x v="28"/>
    <x v="0"/>
    <x v="0"/>
    <n v="0"/>
  </r>
  <r>
    <x v="0"/>
    <x v="8"/>
    <x v="14"/>
    <x v="28"/>
    <x v="0"/>
    <x v="0"/>
    <n v="61.336069891999998"/>
  </r>
  <r>
    <x v="0"/>
    <x v="8"/>
    <x v="15"/>
    <x v="28"/>
    <x v="0"/>
    <x v="1"/>
    <n v="4.2424629999999998E-2"/>
  </r>
  <r>
    <x v="0"/>
    <x v="8"/>
    <x v="16"/>
    <x v="28"/>
    <x v="0"/>
    <x v="1"/>
    <n v="4.2424629999999998E-2"/>
  </r>
  <r>
    <x v="0"/>
    <x v="8"/>
    <x v="12"/>
    <x v="29"/>
    <x v="0"/>
    <x v="0"/>
    <n v="443.8629765"/>
  </r>
  <r>
    <x v="0"/>
    <x v="8"/>
    <x v="13"/>
    <x v="29"/>
    <x v="0"/>
    <x v="0"/>
    <n v="55.204559799000002"/>
  </r>
  <r>
    <x v="0"/>
    <x v="8"/>
    <x v="14"/>
    <x v="29"/>
    <x v="0"/>
    <x v="0"/>
    <n v="20.987082265000002"/>
  </r>
  <r>
    <x v="0"/>
    <x v="8"/>
    <x v="15"/>
    <x v="29"/>
    <x v="0"/>
    <x v="1"/>
    <n v="4.6756930000000002E-2"/>
  </r>
  <r>
    <x v="0"/>
    <x v="8"/>
    <x v="16"/>
    <x v="29"/>
    <x v="0"/>
    <x v="1"/>
    <n v="4.7297487999999999E-2"/>
  </r>
  <r>
    <x v="0"/>
    <x v="8"/>
    <x v="12"/>
    <x v="30"/>
    <x v="0"/>
    <x v="0"/>
    <n v="105.23271490800001"/>
  </r>
  <r>
    <x v="0"/>
    <x v="8"/>
    <x v="13"/>
    <x v="30"/>
    <x v="0"/>
    <x v="0"/>
    <n v="34.337867013"/>
  </r>
  <r>
    <x v="0"/>
    <x v="8"/>
    <x v="14"/>
    <x v="30"/>
    <x v="0"/>
    <x v="0"/>
    <n v="0.81114417299999997"/>
  </r>
  <r>
    <x v="0"/>
    <x v="8"/>
    <x v="15"/>
    <x v="30"/>
    <x v="0"/>
    <x v="1"/>
    <n v="7.2368057999999999E-2"/>
  </r>
  <r>
    <x v="0"/>
    <x v="8"/>
    <x v="16"/>
    <x v="30"/>
    <x v="0"/>
    <x v="1"/>
    <n v="7.5955112000000005E-2"/>
  </r>
  <r>
    <x v="0"/>
    <x v="8"/>
    <x v="12"/>
    <x v="31"/>
    <x v="0"/>
    <x v="0"/>
    <n v="166.43500219200001"/>
  </r>
  <r>
    <x v="0"/>
    <x v="8"/>
    <x v="13"/>
    <x v="31"/>
    <x v="0"/>
    <x v="0"/>
    <n v="7.9841556459999996"/>
  </r>
  <r>
    <x v="0"/>
    <x v="8"/>
    <x v="14"/>
    <x v="31"/>
    <x v="0"/>
    <x v="0"/>
    <n v="5.8190575669999998"/>
  </r>
  <r>
    <x v="0"/>
    <x v="8"/>
    <x v="15"/>
    <x v="31"/>
    <x v="0"/>
    <x v="1"/>
    <n v="3.7848009000000002E-2"/>
  </r>
  <r>
    <x v="0"/>
    <x v="8"/>
    <x v="16"/>
    <x v="31"/>
    <x v="0"/>
    <x v="1"/>
    <n v="3.7838598000000001E-2"/>
  </r>
  <r>
    <x v="0"/>
    <x v="8"/>
    <x v="12"/>
    <x v="32"/>
    <x v="0"/>
    <x v="0"/>
    <n v="580.89828925799998"/>
  </r>
  <r>
    <x v="0"/>
    <x v="8"/>
    <x v="13"/>
    <x v="32"/>
    <x v="0"/>
    <x v="0"/>
    <n v="4.4796534880000003"/>
  </r>
  <r>
    <x v="0"/>
    <x v="8"/>
    <x v="14"/>
    <x v="32"/>
    <x v="0"/>
    <x v="0"/>
    <n v="2.7537254560000002"/>
  </r>
  <r>
    <x v="0"/>
    <x v="8"/>
    <x v="15"/>
    <x v="32"/>
    <x v="0"/>
    <x v="1"/>
    <n v="3.7162665999999997E-2"/>
  </r>
  <r>
    <x v="0"/>
    <x v="8"/>
    <x v="16"/>
    <x v="32"/>
    <x v="0"/>
    <x v="1"/>
    <n v="3.7157126999999998E-2"/>
  </r>
  <r>
    <x v="0"/>
    <x v="8"/>
    <x v="12"/>
    <x v="33"/>
    <x v="0"/>
    <x v="0"/>
    <n v="553.55292987500002"/>
  </r>
  <r>
    <x v="0"/>
    <x v="8"/>
    <x v="13"/>
    <x v="33"/>
    <x v="0"/>
    <x v="0"/>
    <n v="0"/>
  </r>
  <r>
    <x v="0"/>
    <x v="8"/>
    <x v="14"/>
    <x v="33"/>
    <x v="0"/>
    <x v="0"/>
    <n v="0"/>
  </r>
  <r>
    <x v="0"/>
    <x v="8"/>
    <x v="15"/>
    <x v="33"/>
    <x v="0"/>
    <x v="1"/>
    <n v="2.2896188000000001E-2"/>
  </r>
  <r>
    <x v="0"/>
    <x v="8"/>
    <x v="16"/>
    <x v="33"/>
    <x v="0"/>
    <x v="1"/>
    <n v="2.2896188000000001E-2"/>
  </r>
  <r>
    <x v="0"/>
    <x v="8"/>
    <x v="12"/>
    <x v="34"/>
    <x v="0"/>
    <x v="0"/>
    <n v="264.087291478"/>
  </r>
  <r>
    <x v="0"/>
    <x v="8"/>
    <x v="13"/>
    <x v="34"/>
    <x v="0"/>
    <x v="0"/>
    <n v="58.164661547000001"/>
  </r>
  <r>
    <x v="0"/>
    <x v="8"/>
    <x v="14"/>
    <x v="34"/>
    <x v="0"/>
    <x v="0"/>
    <n v="13.53632024"/>
  </r>
  <r>
    <x v="0"/>
    <x v="8"/>
    <x v="15"/>
    <x v="34"/>
    <x v="0"/>
    <x v="1"/>
    <n v="4.9651837999999997E-2"/>
  </r>
  <r>
    <x v="0"/>
    <x v="8"/>
    <x v="16"/>
    <x v="34"/>
    <x v="0"/>
    <x v="1"/>
    <n v="5.0823712E-2"/>
  </r>
  <r>
    <x v="0"/>
    <x v="8"/>
    <x v="12"/>
    <x v="35"/>
    <x v="0"/>
    <x v="0"/>
    <n v="206.68418528699999"/>
  </r>
  <r>
    <x v="0"/>
    <x v="8"/>
    <x v="13"/>
    <x v="35"/>
    <x v="0"/>
    <x v="0"/>
    <n v="5.8528164450000002"/>
  </r>
  <r>
    <x v="0"/>
    <x v="8"/>
    <x v="14"/>
    <x v="35"/>
    <x v="0"/>
    <x v="0"/>
    <n v="8.2165914000000007E-2"/>
  </r>
  <r>
    <x v="0"/>
    <x v="8"/>
    <x v="15"/>
    <x v="35"/>
    <x v="0"/>
    <x v="1"/>
    <n v="5.3698199000000002E-2"/>
  </r>
  <r>
    <x v="0"/>
    <x v="8"/>
    <x v="16"/>
    <x v="35"/>
    <x v="0"/>
    <x v="1"/>
    <n v="5.3889905000000002E-2"/>
  </r>
  <r>
    <x v="0"/>
    <x v="8"/>
    <x v="12"/>
    <x v="36"/>
    <x v="0"/>
    <x v="0"/>
    <n v="60.651164616000003"/>
  </r>
  <r>
    <x v="0"/>
    <x v="8"/>
    <x v="13"/>
    <x v="36"/>
    <x v="0"/>
    <x v="0"/>
    <n v="11.665583437"/>
  </r>
  <r>
    <x v="0"/>
    <x v="8"/>
    <x v="14"/>
    <x v="36"/>
    <x v="0"/>
    <x v="0"/>
    <n v="0.32565552599999997"/>
  </r>
  <r>
    <x v="0"/>
    <x v="8"/>
    <x v="15"/>
    <x v="36"/>
    <x v="0"/>
    <x v="1"/>
    <n v="6.0827834999999997E-2"/>
  </r>
  <r>
    <x v="0"/>
    <x v="8"/>
    <x v="16"/>
    <x v="36"/>
    <x v="0"/>
    <x v="1"/>
    <n v="6.2528258000000003E-2"/>
  </r>
  <r>
    <x v="0"/>
    <x v="8"/>
    <x v="12"/>
    <x v="37"/>
    <x v="0"/>
    <x v="0"/>
    <n v="76.415632270000003"/>
  </r>
  <r>
    <x v="0"/>
    <x v="8"/>
    <x v="13"/>
    <x v="37"/>
    <x v="0"/>
    <x v="0"/>
    <n v="3.0300222140000002"/>
  </r>
  <r>
    <x v="0"/>
    <x v="8"/>
    <x v="14"/>
    <x v="37"/>
    <x v="0"/>
    <x v="0"/>
    <n v="0.22097433"/>
  </r>
  <r>
    <x v="0"/>
    <x v="8"/>
    <x v="15"/>
    <x v="37"/>
    <x v="0"/>
    <x v="1"/>
    <n v="6.6663953999999997E-2"/>
  </r>
  <r>
    <x v="0"/>
    <x v="8"/>
    <x v="16"/>
    <x v="37"/>
    <x v="0"/>
    <x v="1"/>
    <n v="6.7099194000000001E-2"/>
  </r>
  <r>
    <x v="0"/>
    <x v="8"/>
    <x v="12"/>
    <x v="38"/>
    <x v="0"/>
    <x v="0"/>
    <n v="202.65534196600001"/>
  </r>
  <r>
    <x v="0"/>
    <x v="8"/>
    <x v="13"/>
    <x v="38"/>
    <x v="0"/>
    <x v="0"/>
    <n v="12.085475829"/>
  </r>
  <r>
    <x v="0"/>
    <x v="8"/>
    <x v="14"/>
    <x v="38"/>
    <x v="0"/>
    <x v="0"/>
    <n v="7.0651413999999996E-2"/>
  </r>
  <r>
    <x v="0"/>
    <x v="8"/>
    <x v="15"/>
    <x v="38"/>
    <x v="0"/>
    <x v="1"/>
    <n v="9.7081995000000004E-2"/>
  </r>
  <r>
    <x v="0"/>
    <x v="8"/>
    <x v="16"/>
    <x v="38"/>
    <x v="0"/>
    <x v="1"/>
    <n v="9.8162221999999993E-2"/>
  </r>
  <r>
    <x v="0"/>
    <x v="8"/>
    <x v="12"/>
    <x v="39"/>
    <x v="0"/>
    <x v="0"/>
    <n v="102.215708861"/>
  </r>
  <r>
    <x v="0"/>
    <x v="8"/>
    <x v="13"/>
    <x v="39"/>
    <x v="0"/>
    <x v="0"/>
    <n v="4.4840673879999997"/>
  </r>
  <r>
    <x v="0"/>
    <x v="8"/>
    <x v="14"/>
    <x v="39"/>
    <x v="0"/>
    <x v="0"/>
    <n v="6.8869045000000004E-2"/>
  </r>
  <r>
    <x v="0"/>
    <x v="8"/>
    <x v="15"/>
    <x v="39"/>
    <x v="0"/>
    <x v="1"/>
    <n v="7.8939335999999999E-2"/>
  </r>
  <r>
    <x v="0"/>
    <x v="8"/>
    <x v="16"/>
    <x v="39"/>
    <x v="0"/>
    <x v="1"/>
    <n v="7.9487901E-2"/>
  </r>
  <r>
    <x v="0"/>
    <x v="8"/>
    <x v="12"/>
    <x v="40"/>
    <x v="0"/>
    <x v="0"/>
    <n v="43.917052595999998"/>
  </r>
  <r>
    <x v="0"/>
    <x v="8"/>
    <x v="13"/>
    <x v="40"/>
    <x v="0"/>
    <x v="0"/>
    <n v="30.427632373000002"/>
  </r>
  <r>
    <x v="0"/>
    <x v="8"/>
    <x v="14"/>
    <x v="40"/>
    <x v="0"/>
    <x v="0"/>
    <n v="1.5012469879999999"/>
  </r>
  <r>
    <x v="0"/>
    <x v="8"/>
    <x v="15"/>
    <x v="40"/>
    <x v="0"/>
    <x v="1"/>
    <n v="5.5109502999999997E-2"/>
  </r>
  <r>
    <x v="0"/>
    <x v="8"/>
    <x v="16"/>
    <x v="40"/>
    <x v="0"/>
    <x v="1"/>
    <n v="6.0337753000000001E-2"/>
  </r>
  <r>
    <x v="0"/>
    <x v="8"/>
    <x v="12"/>
    <x v="41"/>
    <x v="0"/>
    <x v="0"/>
    <n v="448.30531745299999"/>
  </r>
  <r>
    <x v="0"/>
    <x v="8"/>
    <x v="13"/>
    <x v="41"/>
    <x v="0"/>
    <x v="0"/>
    <n v="10.006496756000001"/>
  </r>
  <r>
    <x v="0"/>
    <x v="8"/>
    <x v="14"/>
    <x v="41"/>
    <x v="0"/>
    <x v="0"/>
    <n v="0.123415074"/>
  </r>
  <r>
    <x v="0"/>
    <x v="8"/>
    <x v="15"/>
    <x v="41"/>
    <x v="0"/>
    <x v="1"/>
    <n v="9.3199816000000005E-2"/>
  </r>
  <r>
    <x v="0"/>
    <x v="8"/>
    <x v="16"/>
    <x v="41"/>
    <x v="0"/>
    <x v="1"/>
    <n v="9.3557270999999997E-2"/>
  </r>
  <r>
    <x v="0"/>
    <x v="8"/>
    <x v="17"/>
    <x v="0"/>
    <x v="46"/>
    <x v="1"/>
    <n v="67.929983968000002"/>
  </r>
  <r>
    <x v="0"/>
    <x v="8"/>
    <x v="17"/>
    <x v="0"/>
    <x v="47"/>
    <x v="1"/>
    <n v="67.929983968000002"/>
  </r>
  <r>
    <x v="0"/>
    <x v="8"/>
    <x v="17"/>
    <x v="0"/>
    <x v="48"/>
    <x v="1"/>
    <n v="67.929983968000002"/>
  </r>
  <r>
    <x v="0"/>
    <x v="8"/>
    <x v="17"/>
    <x v="0"/>
    <x v="49"/>
    <x v="1"/>
    <n v="0"/>
  </r>
  <r>
    <x v="0"/>
    <x v="8"/>
    <x v="17"/>
    <x v="0"/>
    <x v="50"/>
    <x v="1"/>
    <n v="0"/>
  </r>
  <r>
    <x v="0"/>
    <x v="8"/>
    <x v="17"/>
    <x v="0"/>
    <x v="51"/>
    <x v="1"/>
    <n v="0"/>
  </r>
  <r>
    <x v="0"/>
    <x v="8"/>
    <x v="17"/>
    <x v="0"/>
    <x v="52"/>
    <x v="1"/>
    <n v="0"/>
  </r>
  <r>
    <x v="0"/>
    <x v="8"/>
    <x v="17"/>
    <x v="0"/>
    <x v="53"/>
    <x v="1"/>
    <n v="0"/>
  </r>
  <r>
    <x v="0"/>
    <x v="8"/>
    <x v="17"/>
    <x v="0"/>
    <x v="54"/>
    <x v="1"/>
    <n v="0"/>
  </r>
  <r>
    <x v="0"/>
    <x v="8"/>
    <x v="17"/>
    <x v="0"/>
    <x v="55"/>
    <x v="1"/>
    <n v="0"/>
  </r>
  <r>
    <x v="0"/>
    <x v="8"/>
    <x v="17"/>
    <x v="1"/>
    <x v="46"/>
    <x v="1"/>
    <n v="11.663763002"/>
  </r>
  <r>
    <x v="0"/>
    <x v="8"/>
    <x v="17"/>
    <x v="1"/>
    <x v="47"/>
    <x v="1"/>
    <n v="11.663763002"/>
  </r>
  <r>
    <x v="0"/>
    <x v="8"/>
    <x v="17"/>
    <x v="1"/>
    <x v="48"/>
    <x v="1"/>
    <n v="11.663763002"/>
  </r>
  <r>
    <x v="0"/>
    <x v="8"/>
    <x v="17"/>
    <x v="1"/>
    <x v="49"/>
    <x v="1"/>
    <n v="0"/>
  </r>
  <r>
    <x v="0"/>
    <x v="8"/>
    <x v="17"/>
    <x v="1"/>
    <x v="50"/>
    <x v="1"/>
    <n v="0"/>
  </r>
  <r>
    <x v="0"/>
    <x v="8"/>
    <x v="17"/>
    <x v="1"/>
    <x v="51"/>
    <x v="1"/>
    <n v="0"/>
  </r>
  <r>
    <x v="0"/>
    <x v="8"/>
    <x v="17"/>
    <x v="1"/>
    <x v="52"/>
    <x v="1"/>
    <n v="0"/>
  </r>
  <r>
    <x v="0"/>
    <x v="8"/>
    <x v="17"/>
    <x v="1"/>
    <x v="53"/>
    <x v="1"/>
    <n v="0"/>
  </r>
  <r>
    <x v="0"/>
    <x v="8"/>
    <x v="17"/>
    <x v="1"/>
    <x v="54"/>
    <x v="1"/>
    <n v="0"/>
  </r>
  <r>
    <x v="0"/>
    <x v="8"/>
    <x v="17"/>
    <x v="1"/>
    <x v="55"/>
    <x v="1"/>
    <n v="0"/>
  </r>
  <r>
    <x v="0"/>
    <x v="8"/>
    <x v="17"/>
    <x v="2"/>
    <x v="46"/>
    <x v="1"/>
    <n v="8.2542548799999995"/>
  </r>
  <r>
    <x v="0"/>
    <x v="8"/>
    <x v="17"/>
    <x v="2"/>
    <x v="47"/>
    <x v="1"/>
    <n v="8.2542548799999995"/>
  </r>
  <r>
    <x v="0"/>
    <x v="8"/>
    <x v="17"/>
    <x v="2"/>
    <x v="48"/>
    <x v="1"/>
    <n v="8.2542548799999995"/>
  </r>
  <r>
    <x v="0"/>
    <x v="8"/>
    <x v="17"/>
    <x v="2"/>
    <x v="49"/>
    <x v="1"/>
    <n v="0"/>
  </r>
  <r>
    <x v="0"/>
    <x v="8"/>
    <x v="17"/>
    <x v="2"/>
    <x v="50"/>
    <x v="1"/>
    <n v="0"/>
  </r>
  <r>
    <x v="0"/>
    <x v="8"/>
    <x v="17"/>
    <x v="2"/>
    <x v="51"/>
    <x v="1"/>
    <n v="0"/>
  </r>
  <r>
    <x v="0"/>
    <x v="8"/>
    <x v="17"/>
    <x v="2"/>
    <x v="52"/>
    <x v="1"/>
    <n v="0"/>
  </r>
  <r>
    <x v="0"/>
    <x v="8"/>
    <x v="17"/>
    <x v="2"/>
    <x v="53"/>
    <x v="1"/>
    <n v="0"/>
  </r>
  <r>
    <x v="0"/>
    <x v="8"/>
    <x v="17"/>
    <x v="2"/>
    <x v="54"/>
    <x v="1"/>
    <n v="0"/>
  </r>
  <r>
    <x v="0"/>
    <x v="8"/>
    <x v="17"/>
    <x v="2"/>
    <x v="55"/>
    <x v="1"/>
    <n v="0"/>
  </r>
  <r>
    <x v="0"/>
    <x v="8"/>
    <x v="17"/>
    <x v="3"/>
    <x v="46"/>
    <x v="1"/>
    <n v="5.2726253649999997"/>
  </r>
  <r>
    <x v="0"/>
    <x v="8"/>
    <x v="17"/>
    <x v="3"/>
    <x v="47"/>
    <x v="1"/>
    <n v="5.2726253649999997"/>
  </r>
  <r>
    <x v="0"/>
    <x v="8"/>
    <x v="17"/>
    <x v="3"/>
    <x v="48"/>
    <x v="1"/>
    <n v="5.2726253649999997"/>
  </r>
  <r>
    <x v="0"/>
    <x v="8"/>
    <x v="17"/>
    <x v="3"/>
    <x v="49"/>
    <x v="1"/>
    <n v="0"/>
  </r>
  <r>
    <x v="0"/>
    <x v="8"/>
    <x v="17"/>
    <x v="3"/>
    <x v="50"/>
    <x v="1"/>
    <n v="0"/>
  </r>
  <r>
    <x v="0"/>
    <x v="8"/>
    <x v="17"/>
    <x v="3"/>
    <x v="51"/>
    <x v="1"/>
    <n v="0"/>
  </r>
  <r>
    <x v="0"/>
    <x v="8"/>
    <x v="17"/>
    <x v="3"/>
    <x v="52"/>
    <x v="1"/>
    <n v="0"/>
  </r>
  <r>
    <x v="0"/>
    <x v="8"/>
    <x v="17"/>
    <x v="3"/>
    <x v="53"/>
    <x v="1"/>
    <n v="0"/>
  </r>
  <r>
    <x v="0"/>
    <x v="8"/>
    <x v="17"/>
    <x v="3"/>
    <x v="54"/>
    <x v="1"/>
    <n v="0"/>
  </r>
  <r>
    <x v="0"/>
    <x v="8"/>
    <x v="17"/>
    <x v="3"/>
    <x v="55"/>
    <x v="1"/>
    <n v="0"/>
  </r>
  <r>
    <x v="0"/>
    <x v="8"/>
    <x v="17"/>
    <x v="4"/>
    <x v="46"/>
    <x v="1"/>
    <n v="2.8062879999999999"/>
  </r>
  <r>
    <x v="0"/>
    <x v="8"/>
    <x v="17"/>
    <x v="4"/>
    <x v="47"/>
    <x v="1"/>
    <n v="2.8062879999999999"/>
  </r>
  <r>
    <x v="0"/>
    <x v="8"/>
    <x v="17"/>
    <x v="4"/>
    <x v="48"/>
    <x v="1"/>
    <n v="2.8062879999999999"/>
  </r>
  <r>
    <x v="0"/>
    <x v="8"/>
    <x v="17"/>
    <x v="4"/>
    <x v="49"/>
    <x v="1"/>
    <n v="0"/>
  </r>
  <r>
    <x v="0"/>
    <x v="8"/>
    <x v="17"/>
    <x v="4"/>
    <x v="50"/>
    <x v="1"/>
    <n v="0"/>
  </r>
  <r>
    <x v="0"/>
    <x v="8"/>
    <x v="17"/>
    <x v="4"/>
    <x v="51"/>
    <x v="1"/>
    <n v="0"/>
  </r>
  <r>
    <x v="0"/>
    <x v="8"/>
    <x v="17"/>
    <x v="4"/>
    <x v="52"/>
    <x v="1"/>
    <n v="0"/>
  </r>
  <r>
    <x v="0"/>
    <x v="8"/>
    <x v="17"/>
    <x v="4"/>
    <x v="53"/>
    <x v="1"/>
    <n v="0"/>
  </r>
  <r>
    <x v="0"/>
    <x v="8"/>
    <x v="17"/>
    <x v="4"/>
    <x v="54"/>
    <x v="1"/>
    <n v="0"/>
  </r>
  <r>
    <x v="0"/>
    <x v="8"/>
    <x v="17"/>
    <x v="4"/>
    <x v="55"/>
    <x v="1"/>
    <n v="0"/>
  </r>
  <r>
    <x v="0"/>
    <x v="8"/>
    <x v="17"/>
    <x v="5"/>
    <x v="46"/>
    <x v="1"/>
    <n v="40.129750731000001"/>
  </r>
  <r>
    <x v="0"/>
    <x v="8"/>
    <x v="17"/>
    <x v="5"/>
    <x v="47"/>
    <x v="1"/>
    <n v="40.129750731000001"/>
  </r>
  <r>
    <x v="0"/>
    <x v="8"/>
    <x v="17"/>
    <x v="5"/>
    <x v="48"/>
    <x v="1"/>
    <n v="40.129750731000001"/>
  </r>
  <r>
    <x v="0"/>
    <x v="8"/>
    <x v="17"/>
    <x v="5"/>
    <x v="49"/>
    <x v="1"/>
    <n v="0"/>
  </r>
  <r>
    <x v="0"/>
    <x v="8"/>
    <x v="17"/>
    <x v="5"/>
    <x v="50"/>
    <x v="1"/>
    <n v="0"/>
  </r>
  <r>
    <x v="0"/>
    <x v="8"/>
    <x v="17"/>
    <x v="5"/>
    <x v="51"/>
    <x v="1"/>
    <n v="0"/>
  </r>
  <r>
    <x v="0"/>
    <x v="8"/>
    <x v="17"/>
    <x v="5"/>
    <x v="52"/>
    <x v="1"/>
    <n v="0"/>
  </r>
  <r>
    <x v="0"/>
    <x v="8"/>
    <x v="17"/>
    <x v="5"/>
    <x v="53"/>
    <x v="1"/>
    <n v="0"/>
  </r>
  <r>
    <x v="0"/>
    <x v="8"/>
    <x v="17"/>
    <x v="5"/>
    <x v="54"/>
    <x v="1"/>
    <n v="0"/>
  </r>
  <r>
    <x v="0"/>
    <x v="8"/>
    <x v="17"/>
    <x v="5"/>
    <x v="55"/>
    <x v="1"/>
    <n v="0"/>
  </r>
  <r>
    <x v="0"/>
    <x v="8"/>
    <x v="17"/>
    <x v="6"/>
    <x v="46"/>
    <x v="1"/>
    <n v="11.160477394000001"/>
  </r>
  <r>
    <x v="0"/>
    <x v="8"/>
    <x v="17"/>
    <x v="6"/>
    <x v="47"/>
    <x v="1"/>
    <n v="11.160477394000001"/>
  </r>
  <r>
    <x v="0"/>
    <x v="8"/>
    <x v="17"/>
    <x v="6"/>
    <x v="48"/>
    <x v="1"/>
    <n v="11.160477394000001"/>
  </r>
  <r>
    <x v="0"/>
    <x v="8"/>
    <x v="17"/>
    <x v="6"/>
    <x v="49"/>
    <x v="1"/>
    <n v="0"/>
  </r>
  <r>
    <x v="0"/>
    <x v="8"/>
    <x v="17"/>
    <x v="6"/>
    <x v="50"/>
    <x v="1"/>
    <n v="0"/>
  </r>
  <r>
    <x v="0"/>
    <x v="8"/>
    <x v="17"/>
    <x v="6"/>
    <x v="51"/>
    <x v="1"/>
    <n v="0"/>
  </r>
  <r>
    <x v="0"/>
    <x v="8"/>
    <x v="17"/>
    <x v="6"/>
    <x v="52"/>
    <x v="1"/>
    <n v="0"/>
  </r>
  <r>
    <x v="0"/>
    <x v="8"/>
    <x v="17"/>
    <x v="6"/>
    <x v="53"/>
    <x v="1"/>
    <n v="0"/>
  </r>
  <r>
    <x v="0"/>
    <x v="8"/>
    <x v="17"/>
    <x v="6"/>
    <x v="54"/>
    <x v="1"/>
    <n v="0"/>
  </r>
  <r>
    <x v="0"/>
    <x v="8"/>
    <x v="17"/>
    <x v="6"/>
    <x v="55"/>
    <x v="1"/>
    <n v="0"/>
  </r>
  <r>
    <x v="0"/>
    <x v="8"/>
    <x v="17"/>
    <x v="7"/>
    <x v="46"/>
    <x v="1"/>
    <n v="7.3839767040000002"/>
  </r>
  <r>
    <x v="0"/>
    <x v="8"/>
    <x v="17"/>
    <x v="7"/>
    <x v="47"/>
    <x v="1"/>
    <n v="7.3839767040000002"/>
  </r>
  <r>
    <x v="0"/>
    <x v="8"/>
    <x v="17"/>
    <x v="7"/>
    <x v="48"/>
    <x v="1"/>
    <n v="7.3839767040000002"/>
  </r>
  <r>
    <x v="0"/>
    <x v="8"/>
    <x v="17"/>
    <x v="7"/>
    <x v="49"/>
    <x v="1"/>
    <n v="0"/>
  </r>
  <r>
    <x v="0"/>
    <x v="8"/>
    <x v="17"/>
    <x v="7"/>
    <x v="50"/>
    <x v="1"/>
    <n v="0"/>
  </r>
  <r>
    <x v="0"/>
    <x v="8"/>
    <x v="17"/>
    <x v="7"/>
    <x v="51"/>
    <x v="1"/>
    <n v="0"/>
  </r>
  <r>
    <x v="0"/>
    <x v="8"/>
    <x v="17"/>
    <x v="7"/>
    <x v="52"/>
    <x v="1"/>
    <n v="0"/>
  </r>
  <r>
    <x v="0"/>
    <x v="8"/>
    <x v="17"/>
    <x v="7"/>
    <x v="53"/>
    <x v="1"/>
    <n v="0"/>
  </r>
  <r>
    <x v="0"/>
    <x v="8"/>
    <x v="17"/>
    <x v="7"/>
    <x v="54"/>
    <x v="1"/>
    <n v="0"/>
  </r>
  <r>
    <x v="0"/>
    <x v="8"/>
    <x v="17"/>
    <x v="7"/>
    <x v="55"/>
    <x v="1"/>
    <n v="0"/>
  </r>
  <r>
    <x v="0"/>
    <x v="8"/>
    <x v="17"/>
    <x v="8"/>
    <x v="46"/>
    <x v="1"/>
    <n v="4.9427323640000003"/>
  </r>
  <r>
    <x v="0"/>
    <x v="8"/>
    <x v="17"/>
    <x v="8"/>
    <x v="47"/>
    <x v="1"/>
    <n v="4.9427323640000003"/>
  </r>
  <r>
    <x v="0"/>
    <x v="8"/>
    <x v="17"/>
    <x v="8"/>
    <x v="48"/>
    <x v="1"/>
    <n v="4.9427323640000003"/>
  </r>
  <r>
    <x v="0"/>
    <x v="8"/>
    <x v="17"/>
    <x v="8"/>
    <x v="49"/>
    <x v="1"/>
    <n v="0"/>
  </r>
  <r>
    <x v="0"/>
    <x v="8"/>
    <x v="17"/>
    <x v="8"/>
    <x v="50"/>
    <x v="1"/>
    <n v="0"/>
  </r>
  <r>
    <x v="0"/>
    <x v="8"/>
    <x v="17"/>
    <x v="8"/>
    <x v="51"/>
    <x v="1"/>
    <n v="0"/>
  </r>
  <r>
    <x v="0"/>
    <x v="8"/>
    <x v="17"/>
    <x v="8"/>
    <x v="52"/>
    <x v="1"/>
    <n v="0"/>
  </r>
  <r>
    <x v="0"/>
    <x v="8"/>
    <x v="17"/>
    <x v="8"/>
    <x v="53"/>
    <x v="1"/>
    <n v="0"/>
  </r>
  <r>
    <x v="0"/>
    <x v="8"/>
    <x v="17"/>
    <x v="8"/>
    <x v="54"/>
    <x v="1"/>
    <n v="0"/>
  </r>
  <r>
    <x v="0"/>
    <x v="8"/>
    <x v="17"/>
    <x v="8"/>
    <x v="55"/>
    <x v="1"/>
    <n v="0"/>
  </r>
  <r>
    <x v="0"/>
    <x v="8"/>
    <x v="17"/>
    <x v="9"/>
    <x v="46"/>
    <x v="1"/>
    <n v="10.893325908"/>
  </r>
  <r>
    <x v="0"/>
    <x v="8"/>
    <x v="17"/>
    <x v="9"/>
    <x v="47"/>
    <x v="1"/>
    <n v="10.893325908"/>
  </r>
  <r>
    <x v="0"/>
    <x v="8"/>
    <x v="17"/>
    <x v="9"/>
    <x v="48"/>
    <x v="1"/>
    <n v="10.893325908"/>
  </r>
  <r>
    <x v="0"/>
    <x v="8"/>
    <x v="17"/>
    <x v="9"/>
    <x v="49"/>
    <x v="1"/>
    <n v="0"/>
  </r>
  <r>
    <x v="0"/>
    <x v="8"/>
    <x v="17"/>
    <x v="9"/>
    <x v="50"/>
    <x v="1"/>
    <n v="0"/>
  </r>
  <r>
    <x v="0"/>
    <x v="8"/>
    <x v="17"/>
    <x v="9"/>
    <x v="51"/>
    <x v="1"/>
    <n v="0"/>
  </r>
  <r>
    <x v="0"/>
    <x v="8"/>
    <x v="17"/>
    <x v="9"/>
    <x v="52"/>
    <x v="1"/>
    <n v="0"/>
  </r>
  <r>
    <x v="0"/>
    <x v="8"/>
    <x v="17"/>
    <x v="9"/>
    <x v="53"/>
    <x v="1"/>
    <n v="0"/>
  </r>
  <r>
    <x v="0"/>
    <x v="8"/>
    <x v="17"/>
    <x v="9"/>
    <x v="54"/>
    <x v="1"/>
    <n v="0"/>
  </r>
  <r>
    <x v="0"/>
    <x v="8"/>
    <x v="17"/>
    <x v="9"/>
    <x v="55"/>
    <x v="1"/>
    <n v="0"/>
  </r>
  <r>
    <x v="0"/>
    <x v="8"/>
    <x v="17"/>
    <x v="10"/>
    <x v="46"/>
    <x v="1"/>
    <n v="11.802671273"/>
  </r>
  <r>
    <x v="0"/>
    <x v="8"/>
    <x v="17"/>
    <x v="10"/>
    <x v="47"/>
    <x v="1"/>
    <n v="11.802671273"/>
  </r>
  <r>
    <x v="0"/>
    <x v="8"/>
    <x v="17"/>
    <x v="10"/>
    <x v="48"/>
    <x v="1"/>
    <n v="11.802671273"/>
  </r>
  <r>
    <x v="0"/>
    <x v="8"/>
    <x v="17"/>
    <x v="10"/>
    <x v="49"/>
    <x v="1"/>
    <n v="0"/>
  </r>
  <r>
    <x v="0"/>
    <x v="8"/>
    <x v="17"/>
    <x v="10"/>
    <x v="50"/>
    <x v="1"/>
    <n v="0"/>
  </r>
  <r>
    <x v="0"/>
    <x v="8"/>
    <x v="17"/>
    <x v="10"/>
    <x v="51"/>
    <x v="1"/>
    <n v="0"/>
  </r>
  <r>
    <x v="0"/>
    <x v="8"/>
    <x v="17"/>
    <x v="10"/>
    <x v="52"/>
    <x v="1"/>
    <n v="0"/>
  </r>
  <r>
    <x v="0"/>
    <x v="8"/>
    <x v="17"/>
    <x v="10"/>
    <x v="53"/>
    <x v="1"/>
    <n v="0"/>
  </r>
  <r>
    <x v="0"/>
    <x v="8"/>
    <x v="17"/>
    <x v="10"/>
    <x v="54"/>
    <x v="1"/>
    <n v="0"/>
  </r>
  <r>
    <x v="0"/>
    <x v="8"/>
    <x v="17"/>
    <x v="10"/>
    <x v="55"/>
    <x v="1"/>
    <n v="0"/>
  </r>
  <r>
    <x v="0"/>
    <x v="8"/>
    <x v="17"/>
    <x v="11"/>
    <x v="46"/>
    <x v="1"/>
    <n v="38.203294313999997"/>
  </r>
  <r>
    <x v="0"/>
    <x v="8"/>
    <x v="17"/>
    <x v="11"/>
    <x v="47"/>
    <x v="1"/>
    <n v="38.203294313999997"/>
  </r>
  <r>
    <x v="0"/>
    <x v="8"/>
    <x v="17"/>
    <x v="11"/>
    <x v="48"/>
    <x v="1"/>
    <n v="38.203294313999997"/>
  </r>
  <r>
    <x v="0"/>
    <x v="8"/>
    <x v="17"/>
    <x v="11"/>
    <x v="49"/>
    <x v="1"/>
    <n v="0"/>
  </r>
  <r>
    <x v="0"/>
    <x v="8"/>
    <x v="17"/>
    <x v="11"/>
    <x v="50"/>
    <x v="1"/>
    <n v="0"/>
  </r>
  <r>
    <x v="0"/>
    <x v="8"/>
    <x v="17"/>
    <x v="11"/>
    <x v="51"/>
    <x v="1"/>
    <n v="0"/>
  </r>
  <r>
    <x v="0"/>
    <x v="8"/>
    <x v="17"/>
    <x v="11"/>
    <x v="52"/>
    <x v="1"/>
    <n v="0"/>
  </r>
  <r>
    <x v="0"/>
    <x v="8"/>
    <x v="17"/>
    <x v="11"/>
    <x v="53"/>
    <x v="1"/>
    <n v="0"/>
  </r>
  <r>
    <x v="0"/>
    <x v="8"/>
    <x v="17"/>
    <x v="11"/>
    <x v="54"/>
    <x v="1"/>
    <n v="0"/>
  </r>
  <r>
    <x v="0"/>
    <x v="8"/>
    <x v="17"/>
    <x v="11"/>
    <x v="55"/>
    <x v="1"/>
    <n v="0"/>
  </r>
  <r>
    <x v="0"/>
    <x v="8"/>
    <x v="17"/>
    <x v="12"/>
    <x v="46"/>
    <x v="1"/>
    <n v="11.001402552"/>
  </r>
  <r>
    <x v="0"/>
    <x v="8"/>
    <x v="17"/>
    <x v="12"/>
    <x v="47"/>
    <x v="1"/>
    <n v="11.001402552"/>
  </r>
  <r>
    <x v="0"/>
    <x v="8"/>
    <x v="17"/>
    <x v="12"/>
    <x v="48"/>
    <x v="1"/>
    <n v="11.001402552"/>
  </r>
  <r>
    <x v="0"/>
    <x v="8"/>
    <x v="17"/>
    <x v="12"/>
    <x v="49"/>
    <x v="1"/>
    <n v="0"/>
  </r>
  <r>
    <x v="0"/>
    <x v="8"/>
    <x v="17"/>
    <x v="12"/>
    <x v="50"/>
    <x v="1"/>
    <n v="0"/>
  </r>
  <r>
    <x v="0"/>
    <x v="8"/>
    <x v="17"/>
    <x v="12"/>
    <x v="51"/>
    <x v="1"/>
    <n v="0"/>
  </r>
  <r>
    <x v="0"/>
    <x v="8"/>
    <x v="17"/>
    <x v="12"/>
    <x v="52"/>
    <x v="1"/>
    <n v="0"/>
  </r>
  <r>
    <x v="0"/>
    <x v="8"/>
    <x v="17"/>
    <x v="12"/>
    <x v="53"/>
    <x v="1"/>
    <n v="0"/>
  </r>
  <r>
    <x v="0"/>
    <x v="8"/>
    <x v="17"/>
    <x v="12"/>
    <x v="54"/>
    <x v="1"/>
    <n v="0"/>
  </r>
  <r>
    <x v="0"/>
    <x v="8"/>
    <x v="17"/>
    <x v="12"/>
    <x v="55"/>
    <x v="1"/>
    <n v="0"/>
  </r>
  <r>
    <x v="0"/>
    <x v="8"/>
    <x v="17"/>
    <x v="13"/>
    <x v="46"/>
    <x v="1"/>
    <n v="24.494095254000001"/>
  </r>
  <r>
    <x v="0"/>
    <x v="8"/>
    <x v="17"/>
    <x v="13"/>
    <x v="47"/>
    <x v="1"/>
    <n v="24.494095254000001"/>
  </r>
  <r>
    <x v="0"/>
    <x v="8"/>
    <x v="17"/>
    <x v="13"/>
    <x v="48"/>
    <x v="1"/>
    <n v="24.494095254000001"/>
  </r>
  <r>
    <x v="0"/>
    <x v="8"/>
    <x v="17"/>
    <x v="13"/>
    <x v="49"/>
    <x v="1"/>
    <n v="0"/>
  </r>
  <r>
    <x v="0"/>
    <x v="8"/>
    <x v="17"/>
    <x v="13"/>
    <x v="50"/>
    <x v="1"/>
    <n v="0"/>
  </r>
  <r>
    <x v="0"/>
    <x v="8"/>
    <x v="17"/>
    <x v="13"/>
    <x v="51"/>
    <x v="1"/>
    <n v="0"/>
  </r>
  <r>
    <x v="0"/>
    <x v="8"/>
    <x v="17"/>
    <x v="13"/>
    <x v="52"/>
    <x v="1"/>
    <n v="0"/>
  </r>
  <r>
    <x v="0"/>
    <x v="8"/>
    <x v="17"/>
    <x v="13"/>
    <x v="53"/>
    <x v="1"/>
    <n v="0"/>
  </r>
  <r>
    <x v="0"/>
    <x v="8"/>
    <x v="17"/>
    <x v="13"/>
    <x v="54"/>
    <x v="1"/>
    <n v="0"/>
  </r>
  <r>
    <x v="0"/>
    <x v="8"/>
    <x v="17"/>
    <x v="13"/>
    <x v="55"/>
    <x v="1"/>
    <n v="0"/>
  </r>
  <r>
    <x v="0"/>
    <x v="8"/>
    <x v="17"/>
    <x v="14"/>
    <x v="46"/>
    <x v="1"/>
    <n v="7.7108915830000004"/>
  </r>
  <r>
    <x v="0"/>
    <x v="8"/>
    <x v="17"/>
    <x v="14"/>
    <x v="47"/>
    <x v="1"/>
    <n v="7.7108915830000004"/>
  </r>
  <r>
    <x v="0"/>
    <x v="8"/>
    <x v="17"/>
    <x v="14"/>
    <x v="48"/>
    <x v="1"/>
    <n v="7.7108915830000004"/>
  </r>
  <r>
    <x v="0"/>
    <x v="8"/>
    <x v="17"/>
    <x v="14"/>
    <x v="49"/>
    <x v="1"/>
    <n v="0"/>
  </r>
  <r>
    <x v="0"/>
    <x v="8"/>
    <x v="17"/>
    <x v="14"/>
    <x v="50"/>
    <x v="1"/>
    <n v="0"/>
  </r>
  <r>
    <x v="0"/>
    <x v="8"/>
    <x v="17"/>
    <x v="14"/>
    <x v="51"/>
    <x v="1"/>
    <n v="0"/>
  </r>
  <r>
    <x v="0"/>
    <x v="8"/>
    <x v="17"/>
    <x v="14"/>
    <x v="52"/>
    <x v="1"/>
    <n v="0"/>
  </r>
  <r>
    <x v="0"/>
    <x v="8"/>
    <x v="17"/>
    <x v="14"/>
    <x v="53"/>
    <x v="1"/>
    <n v="0"/>
  </r>
  <r>
    <x v="0"/>
    <x v="8"/>
    <x v="17"/>
    <x v="14"/>
    <x v="54"/>
    <x v="1"/>
    <n v="0"/>
  </r>
  <r>
    <x v="0"/>
    <x v="8"/>
    <x v="17"/>
    <x v="14"/>
    <x v="55"/>
    <x v="1"/>
    <n v="0"/>
  </r>
  <r>
    <x v="0"/>
    <x v="8"/>
    <x v="17"/>
    <x v="15"/>
    <x v="46"/>
    <x v="1"/>
    <n v="8.9735540819999997"/>
  </r>
  <r>
    <x v="0"/>
    <x v="8"/>
    <x v="17"/>
    <x v="15"/>
    <x v="47"/>
    <x v="1"/>
    <n v="8.9735540819999997"/>
  </r>
  <r>
    <x v="0"/>
    <x v="8"/>
    <x v="17"/>
    <x v="15"/>
    <x v="48"/>
    <x v="1"/>
    <n v="8.9735540819999997"/>
  </r>
  <r>
    <x v="0"/>
    <x v="8"/>
    <x v="17"/>
    <x v="15"/>
    <x v="49"/>
    <x v="1"/>
    <n v="0"/>
  </r>
  <r>
    <x v="0"/>
    <x v="8"/>
    <x v="17"/>
    <x v="15"/>
    <x v="50"/>
    <x v="1"/>
    <n v="0"/>
  </r>
  <r>
    <x v="0"/>
    <x v="8"/>
    <x v="17"/>
    <x v="15"/>
    <x v="51"/>
    <x v="1"/>
    <n v="0"/>
  </r>
  <r>
    <x v="0"/>
    <x v="8"/>
    <x v="17"/>
    <x v="15"/>
    <x v="52"/>
    <x v="1"/>
    <n v="0"/>
  </r>
  <r>
    <x v="0"/>
    <x v="8"/>
    <x v="17"/>
    <x v="15"/>
    <x v="53"/>
    <x v="1"/>
    <n v="0"/>
  </r>
  <r>
    <x v="0"/>
    <x v="8"/>
    <x v="17"/>
    <x v="15"/>
    <x v="54"/>
    <x v="1"/>
    <n v="0"/>
  </r>
  <r>
    <x v="0"/>
    <x v="8"/>
    <x v="17"/>
    <x v="15"/>
    <x v="55"/>
    <x v="1"/>
    <n v="0"/>
  </r>
  <r>
    <x v="0"/>
    <x v="8"/>
    <x v="17"/>
    <x v="16"/>
    <x v="46"/>
    <x v="1"/>
    <n v="5.8453001950000001"/>
  </r>
  <r>
    <x v="0"/>
    <x v="8"/>
    <x v="17"/>
    <x v="16"/>
    <x v="47"/>
    <x v="1"/>
    <n v="5.8453001950000001"/>
  </r>
  <r>
    <x v="0"/>
    <x v="8"/>
    <x v="17"/>
    <x v="16"/>
    <x v="48"/>
    <x v="1"/>
    <n v="5.8453001950000001"/>
  </r>
  <r>
    <x v="0"/>
    <x v="8"/>
    <x v="17"/>
    <x v="16"/>
    <x v="49"/>
    <x v="1"/>
    <n v="0"/>
  </r>
  <r>
    <x v="0"/>
    <x v="8"/>
    <x v="17"/>
    <x v="16"/>
    <x v="50"/>
    <x v="1"/>
    <n v="0"/>
  </r>
  <r>
    <x v="0"/>
    <x v="8"/>
    <x v="17"/>
    <x v="16"/>
    <x v="51"/>
    <x v="1"/>
    <n v="0"/>
  </r>
  <r>
    <x v="0"/>
    <x v="8"/>
    <x v="17"/>
    <x v="16"/>
    <x v="52"/>
    <x v="1"/>
    <n v="0"/>
  </r>
  <r>
    <x v="0"/>
    <x v="8"/>
    <x v="17"/>
    <x v="16"/>
    <x v="53"/>
    <x v="1"/>
    <n v="0"/>
  </r>
  <r>
    <x v="0"/>
    <x v="8"/>
    <x v="17"/>
    <x v="16"/>
    <x v="54"/>
    <x v="1"/>
    <n v="0"/>
  </r>
  <r>
    <x v="0"/>
    <x v="8"/>
    <x v="17"/>
    <x v="16"/>
    <x v="55"/>
    <x v="1"/>
    <n v="0"/>
  </r>
  <r>
    <x v="0"/>
    <x v="8"/>
    <x v="17"/>
    <x v="17"/>
    <x v="46"/>
    <x v="1"/>
    <n v="13.820659457"/>
  </r>
  <r>
    <x v="0"/>
    <x v="8"/>
    <x v="17"/>
    <x v="17"/>
    <x v="47"/>
    <x v="1"/>
    <n v="13.820659457"/>
  </r>
  <r>
    <x v="0"/>
    <x v="8"/>
    <x v="17"/>
    <x v="17"/>
    <x v="48"/>
    <x v="1"/>
    <n v="13.820659457"/>
  </r>
  <r>
    <x v="0"/>
    <x v="8"/>
    <x v="17"/>
    <x v="17"/>
    <x v="49"/>
    <x v="1"/>
    <n v="0"/>
  </r>
  <r>
    <x v="0"/>
    <x v="8"/>
    <x v="17"/>
    <x v="17"/>
    <x v="50"/>
    <x v="1"/>
    <n v="0"/>
  </r>
  <r>
    <x v="0"/>
    <x v="8"/>
    <x v="17"/>
    <x v="17"/>
    <x v="51"/>
    <x v="1"/>
    <n v="0"/>
  </r>
  <r>
    <x v="0"/>
    <x v="8"/>
    <x v="17"/>
    <x v="17"/>
    <x v="52"/>
    <x v="1"/>
    <n v="0"/>
  </r>
  <r>
    <x v="0"/>
    <x v="8"/>
    <x v="17"/>
    <x v="17"/>
    <x v="53"/>
    <x v="1"/>
    <n v="0"/>
  </r>
  <r>
    <x v="0"/>
    <x v="8"/>
    <x v="17"/>
    <x v="17"/>
    <x v="54"/>
    <x v="1"/>
    <n v="0"/>
  </r>
  <r>
    <x v="0"/>
    <x v="8"/>
    <x v="17"/>
    <x v="17"/>
    <x v="55"/>
    <x v="1"/>
    <n v="0"/>
  </r>
  <r>
    <x v="0"/>
    <x v="8"/>
    <x v="17"/>
    <x v="18"/>
    <x v="46"/>
    <x v="1"/>
    <n v="10.758487561000001"/>
  </r>
  <r>
    <x v="0"/>
    <x v="8"/>
    <x v="17"/>
    <x v="18"/>
    <x v="47"/>
    <x v="1"/>
    <n v="10.758487561000001"/>
  </r>
  <r>
    <x v="0"/>
    <x v="8"/>
    <x v="17"/>
    <x v="18"/>
    <x v="48"/>
    <x v="1"/>
    <n v="10.758487561000001"/>
  </r>
  <r>
    <x v="0"/>
    <x v="8"/>
    <x v="17"/>
    <x v="18"/>
    <x v="49"/>
    <x v="1"/>
    <n v="0"/>
  </r>
  <r>
    <x v="0"/>
    <x v="8"/>
    <x v="17"/>
    <x v="18"/>
    <x v="50"/>
    <x v="1"/>
    <n v="0"/>
  </r>
  <r>
    <x v="0"/>
    <x v="8"/>
    <x v="17"/>
    <x v="18"/>
    <x v="51"/>
    <x v="1"/>
    <n v="0"/>
  </r>
  <r>
    <x v="0"/>
    <x v="8"/>
    <x v="17"/>
    <x v="18"/>
    <x v="52"/>
    <x v="1"/>
    <n v="0"/>
  </r>
  <r>
    <x v="0"/>
    <x v="8"/>
    <x v="17"/>
    <x v="18"/>
    <x v="53"/>
    <x v="1"/>
    <n v="0"/>
  </r>
  <r>
    <x v="0"/>
    <x v="8"/>
    <x v="17"/>
    <x v="18"/>
    <x v="54"/>
    <x v="1"/>
    <n v="0"/>
  </r>
  <r>
    <x v="0"/>
    <x v="8"/>
    <x v="17"/>
    <x v="18"/>
    <x v="55"/>
    <x v="1"/>
    <n v="0"/>
  </r>
  <r>
    <x v="0"/>
    <x v="8"/>
    <x v="17"/>
    <x v="19"/>
    <x v="46"/>
    <x v="1"/>
    <n v="13.530621777"/>
  </r>
  <r>
    <x v="0"/>
    <x v="8"/>
    <x v="17"/>
    <x v="19"/>
    <x v="47"/>
    <x v="1"/>
    <n v="13.530621777"/>
  </r>
  <r>
    <x v="0"/>
    <x v="8"/>
    <x v="17"/>
    <x v="19"/>
    <x v="48"/>
    <x v="1"/>
    <n v="13.530621777"/>
  </r>
  <r>
    <x v="0"/>
    <x v="8"/>
    <x v="17"/>
    <x v="19"/>
    <x v="49"/>
    <x v="1"/>
    <n v="0"/>
  </r>
  <r>
    <x v="0"/>
    <x v="8"/>
    <x v="17"/>
    <x v="19"/>
    <x v="50"/>
    <x v="1"/>
    <n v="0"/>
  </r>
  <r>
    <x v="0"/>
    <x v="8"/>
    <x v="17"/>
    <x v="19"/>
    <x v="51"/>
    <x v="1"/>
    <n v="0"/>
  </r>
  <r>
    <x v="0"/>
    <x v="8"/>
    <x v="17"/>
    <x v="19"/>
    <x v="52"/>
    <x v="1"/>
    <n v="0"/>
  </r>
  <r>
    <x v="0"/>
    <x v="8"/>
    <x v="17"/>
    <x v="19"/>
    <x v="53"/>
    <x v="1"/>
    <n v="0"/>
  </r>
  <r>
    <x v="0"/>
    <x v="8"/>
    <x v="17"/>
    <x v="19"/>
    <x v="54"/>
    <x v="1"/>
    <n v="0"/>
  </r>
  <r>
    <x v="0"/>
    <x v="8"/>
    <x v="17"/>
    <x v="19"/>
    <x v="55"/>
    <x v="1"/>
    <n v="0"/>
  </r>
  <r>
    <x v="0"/>
    <x v="8"/>
    <x v="17"/>
    <x v="20"/>
    <x v="46"/>
    <x v="1"/>
    <n v="1.6726491969999999"/>
  </r>
  <r>
    <x v="0"/>
    <x v="8"/>
    <x v="17"/>
    <x v="20"/>
    <x v="47"/>
    <x v="1"/>
    <n v="1.6726491969999999"/>
  </r>
  <r>
    <x v="0"/>
    <x v="8"/>
    <x v="17"/>
    <x v="20"/>
    <x v="48"/>
    <x v="1"/>
    <n v="1.6726491969999999"/>
  </r>
  <r>
    <x v="0"/>
    <x v="8"/>
    <x v="17"/>
    <x v="20"/>
    <x v="49"/>
    <x v="1"/>
    <n v="0"/>
  </r>
  <r>
    <x v="0"/>
    <x v="8"/>
    <x v="17"/>
    <x v="20"/>
    <x v="50"/>
    <x v="1"/>
    <n v="0"/>
  </r>
  <r>
    <x v="0"/>
    <x v="8"/>
    <x v="17"/>
    <x v="20"/>
    <x v="51"/>
    <x v="1"/>
    <n v="0"/>
  </r>
  <r>
    <x v="0"/>
    <x v="8"/>
    <x v="17"/>
    <x v="20"/>
    <x v="52"/>
    <x v="1"/>
    <n v="0"/>
  </r>
  <r>
    <x v="0"/>
    <x v="8"/>
    <x v="17"/>
    <x v="20"/>
    <x v="53"/>
    <x v="1"/>
    <n v="0"/>
  </r>
  <r>
    <x v="0"/>
    <x v="8"/>
    <x v="17"/>
    <x v="20"/>
    <x v="54"/>
    <x v="1"/>
    <n v="0"/>
  </r>
  <r>
    <x v="0"/>
    <x v="8"/>
    <x v="17"/>
    <x v="20"/>
    <x v="55"/>
    <x v="1"/>
    <n v="0"/>
  </r>
  <r>
    <x v="0"/>
    <x v="8"/>
    <x v="17"/>
    <x v="21"/>
    <x v="46"/>
    <x v="1"/>
    <n v="0.83189103600000003"/>
  </r>
  <r>
    <x v="0"/>
    <x v="8"/>
    <x v="17"/>
    <x v="21"/>
    <x v="47"/>
    <x v="1"/>
    <n v="0.83189103600000003"/>
  </r>
  <r>
    <x v="0"/>
    <x v="8"/>
    <x v="17"/>
    <x v="21"/>
    <x v="48"/>
    <x v="1"/>
    <n v="0.83189103600000003"/>
  </r>
  <r>
    <x v="0"/>
    <x v="8"/>
    <x v="17"/>
    <x v="21"/>
    <x v="49"/>
    <x v="1"/>
    <n v="0"/>
  </r>
  <r>
    <x v="0"/>
    <x v="8"/>
    <x v="17"/>
    <x v="21"/>
    <x v="50"/>
    <x v="1"/>
    <n v="0"/>
  </r>
  <r>
    <x v="0"/>
    <x v="8"/>
    <x v="17"/>
    <x v="21"/>
    <x v="51"/>
    <x v="1"/>
    <n v="0"/>
  </r>
  <r>
    <x v="0"/>
    <x v="8"/>
    <x v="17"/>
    <x v="21"/>
    <x v="52"/>
    <x v="1"/>
    <n v="0"/>
  </r>
  <r>
    <x v="0"/>
    <x v="8"/>
    <x v="17"/>
    <x v="21"/>
    <x v="53"/>
    <x v="1"/>
    <n v="0"/>
  </r>
  <r>
    <x v="0"/>
    <x v="8"/>
    <x v="17"/>
    <x v="21"/>
    <x v="54"/>
    <x v="1"/>
    <n v="0"/>
  </r>
  <r>
    <x v="0"/>
    <x v="8"/>
    <x v="17"/>
    <x v="21"/>
    <x v="55"/>
    <x v="1"/>
    <n v="0"/>
  </r>
  <r>
    <x v="0"/>
    <x v="8"/>
    <x v="17"/>
    <x v="22"/>
    <x v="46"/>
    <x v="1"/>
    <n v="0.77897166100000004"/>
  </r>
  <r>
    <x v="0"/>
    <x v="8"/>
    <x v="17"/>
    <x v="22"/>
    <x v="47"/>
    <x v="1"/>
    <n v="0.77897166100000004"/>
  </r>
  <r>
    <x v="0"/>
    <x v="8"/>
    <x v="17"/>
    <x v="22"/>
    <x v="48"/>
    <x v="1"/>
    <n v="0.77897166100000004"/>
  </r>
  <r>
    <x v="0"/>
    <x v="8"/>
    <x v="17"/>
    <x v="22"/>
    <x v="49"/>
    <x v="1"/>
    <n v="0"/>
  </r>
  <r>
    <x v="0"/>
    <x v="8"/>
    <x v="17"/>
    <x v="22"/>
    <x v="50"/>
    <x v="1"/>
    <n v="0"/>
  </r>
  <r>
    <x v="0"/>
    <x v="8"/>
    <x v="17"/>
    <x v="22"/>
    <x v="51"/>
    <x v="1"/>
    <n v="0"/>
  </r>
  <r>
    <x v="0"/>
    <x v="8"/>
    <x v="17"/>
    <x v="22"/>
    <x v="52"/>
    <x v="1"/>
    <n v="0"/>
  </r>
  <r>
    <x v="0"/>
    <x v="8"/>
    <x v="17"/>
    <x v="22"/>
    <x v="53"/>
    <x v="1"/>
    <n v="0"/>
  </r>
  <r>
    <x v="0"/>
    <x v="8"/>
    <x v="17"/>
    <x v="22"/>
    <x v="54"/>
    <x v="1"/>
    <n v="0"/>
  </r>
  <r>
    <x v="0"/>
    <x v="8"/>
    <x v="17"/>
    <x v="22"/>
    <x v="55"/>
    <x v="1"/>
    <n v="0"/>
  </r>
  <r>
    <x v="0"/>
    <x v="8"/>
    <x v="17"/>
    <x v="23"/>
    <x v="46"/>
    <x v="1"/>
    <n v="0.369163774"/>
  </r>
  <r>
    <x v="0"/>
    <x v="8"/>
    <x v="17"/>
    <x v="23"/>
    <x v="47"/>
    <x v="1"/>
    <n v="0.369163774"/>
  </r>
  <r>
    <x v="0"/>
    <x v="8"/>
    <x v="17"/>
    <x v="23"/>
    <x v="48"/>
    <x v="1"/>
    <n v="0.369163774"/>
  </r>
  <r>
    <x v="0"/>
    <x v="8"/>
    <x v="17"/>
    <x v="23"/>
    <x v="49"/>
    <x v="1"/>
    <n v="0"/>
  </r>
  <r>
    <x v="0"/>
    <x v="8"/>
    <x v="17"/>
    <x v="23"/>
    <x v="50"/>
    <x v="1"/>
    <n v="0"/>
  </r>
  <r>
    <x v="0"/>
    <x v="8"/>
    <x v="17"/>
    <x v="23"/>
    <x v="51"/>
    <x v="1"/>
    <n v="0"/>
  </r>
  <r>
    <x v="0"/>
    <x v="8"/>
    <x v="17"/>
    <x v="23"/>
    <x v="52"/>
    <x v="1"/>
    <n v="0"/>
  </r>
  <r>
    <x v="0"/>
    <x v="8"/>
    <x v="17"/>
    <x v="23"/>
    <x v="53"/>
    <x v="1"/>
    <n v="0"/>
  </r>
  <r>
    <x v="0"/>
    <x v="8"/>
    <x v="17"/>
    <x v="23"/>
    <x v="54"/>
    <x v="1"/>
    <n v="0"/>
  </r>
  <r>
    <x v="0"/>
    <x v="8"/>
    <x v="17"/>
    <x v="23"/>
    <x v="55"/>
    <x v="1"/>
    <n v="0"/>
  </r>
  <r>
    <x v="0"/>
    <x v="8"/>
    <x v="17"/>
    <x v="24"/>
    <x v="46"/>
    <x v="1"/>
    <n v="15.064361559"/>
  </r>
  <r>
    <x v="0"/>
    <x v="8"/>
    <x v="17"/>
    <x v="24"/>
    <x v="47"/>
    <x v="1"/>
    <n v="15.064361559"/>
  </r>
  <r>
    <x v="0"/>
    <x v="8"/>
    <x v="17"/>
    <x v="24"/>
    <x v="48"/>
    <x v="1"/>
    <n v="15.064361559"/>
  </r>
  <r>
    <x v="0"/>
    <x v="8"/>
    <x v="17"/>
    <x v="24"/>
    <x v="49"/>
    <x v="1"/>
    <n v="0"/>
  </r>
  <r>
    <x v="0"/>
    <x v="8"/>
    <x v="17"/>
    <x v="24"/>
    <x v="50"/>
    <x v="1"/>
    <n v="0"/>
  </r>
  <r>
    <x v="0"/>
    <x v="8"/>
    <x v="17"/>
    <x v="24"/>
    <x v="51"/>
    <x v="1"/>
    <n v="0"/>
  </r>
  <r>
    <x v="0"/>
    <x v="8"/>
    <x v="17"/>
    <x v="24"/>
    <x v="52"/>
    <x v="1"/>
    <n v="0"/>
  </r>
  <r>
    <x v="0"/>
    <x v="8"/>
    <x v="17"/>
    <x v="24"/>
    <x v="53"/>
    <x v="1"/>
    <n v="0"/>
  </r>
  <r>
    <x v="0"/>
    <x v="8"/>
    <x v="17"/>
    <x v="24"/>
    <x v="54"/>
    <x v="1"/>
    <n v="0"/>
  </r>
  <r>
    <x v="0"/>
    <x v="8"/>
    <x v="17"/>
    <x v="24"/>
    <x v="55"/>
    <x v="1"/>
    <n v="0"/>
  </r>
  <r>
    <x v="0"/>
    <x v="8"/>
    <x v="17"/>
    <x v="25"/>
    <x v="46"/>
    <x v="1"/>
    <n v="0.71747058799999996"/>
  </r>
  <r>
    <x v="0"/>
    <x v="8"/>
    <x v="17"/>
    <x v="25"/>
    <x v="47"/>
    <x v="1"/>
    <n v="0.71747058799999996"/>
  </r>
  <r>
    <x v="0"/>
    <x v="8"/>
    <x v="17"/>
    <x v="25"/>
    <x v="48"/>
    <x v="1"/>
    <n v="0.71747058799999996"/>
  </r>
  <r>
    <x v="0"/>
    <x v="8"/>
    <x v="17"/>
    <x v="25"/>
    <x v="49"/>
    <x v="1"/>
    <n v="0"/>
  </r>
  <r>
    <x v="0"/>
    <x v="8"/>
    <x v="17"/>
    <x v="25"/>
    <x v="50"/>
    <x v="1"/>
    <n v="0"/>
  </r>
  <r>
    <x v="0"/>
    <x v="8"/>
    <x v="17"/>
    <x v="25"/>
    <x v="51"/>
    <x v="1"/>
    <n v="0"/>
  </r>
  <r>
    <x v="0"/>
    <x v="8"/>
    <x v="17"/>
    <x v="25"/>
    <x v="52"/>
    <x v="1"/>
    <n v="0"/>
  </r>
  <r>
    <x v="0"/>
    <x v="8"/>
    <x v="17"/>
    <x v="25"/>
    <x v="53"/>
    <x v="1"/>
    <n v="0"/>
  </r>
  <r>
    <x v="0"/>
    <x v="8"/>
    <x v="17"/>
    <x v="25"/>
    <x v="54"/>
    <x v="1"/>
    <n v="0"/>
  </r>
  <r>
    <x v="0"/>
    <x v="8"/>
    <x v="17"/>
    <x v="25"/>
    <x v="55"/>
    <x v="1"/>
    <n v="0"/>
  </r>
  <r>
    <x v="0"/>
    <x v="8"/>
    <x v="17"/>
    <x v="26"/>
    <x v="46"/>
    <x v="1"/>
    <n v="0.465270032"/>
  </r>
  <r>
    <x v="0"/>
    <x v="8"/>
    <x v="17"/>
    <x v="26"/>
    <x v="47"/>
    <x v="1"/>
    <n v="0.465270032"/>
  </r>
  <r>
    <x v="0"/>
    <x v="8"/>
    <x v="17"/>
    <x v="26"/>
    <x v="48"/>
    <x v="1"/>
    <n v="0.465270032"/>
  </r>
  <r>
    <x v="0"/>
    <x v="8"/>
    <x v="17"/>
    <x v="26"/>
    <x v="49"/>
    <x v="1"/>
    <n v="0"/>
  </r>
  <r>
    <x v="0"/>
    <x v="8"/>
    <x v="17"/>
    <x v="26"/>
    <x v="50"/>
    <x v="1"/>
    <n v="0"/>
  </r>
  <r>
    <x v="0"/>
    <x v="8"/>
    <x v="17"/>
    <x v="26"/>
    <x v="51"/>
    <x v="1"/>
    <n v="0"/>
  </r>
  <r>
    <x v="0"/>
    <x v="8"/>
    <x v="17"/>
    <x v="26"/>
    <x v="52"/>
    <x v="1"/>
    <n v="0"/>
  </r>
  <r>
    <x v="0"/>
    <x v="8"/>
    <x v="17"/>
    <x v="26"/>
    <x v="53"/>
    <x v="1"/>
    <n v="0"/>
  </r>
  <r>
    <x v="0"/>
    <x v="8"/>
    <x v="17"/>
    <x v="26"/>
    <x v="54"/>
    <x v="1"/>
    <n v="0"/>
  </r>
  <r>
    <x v="0"/>
    <x v="8"/>
    <x v="17"/>
    <x v="26"/>
    <x v="55"/>
    <x v="1"/>
    <n v="0"/>
  </r>
  <r>
    <x v="0"/>
    <x v="8"/>
    <x v="17"/>
    <x v="27"/>
    <x v="46"/>
    <x v="1"/>
    <n v="26.568911616000001"/>
  </r>
  <r>
    <x v="0"/>
    <x v="8"/>
    <x v="17"/>
    <x v="27"/>
    <x v="47"/>
    <x v="1"/>
    <n v="26.568911616000001"/>
  </r>
  <r>
    <x v="0"/>
    <x v="8"/>
    <x v="17"/>
    <x v="27"/>
    <x v="48"/>
    <x v="1"/>
    <n v="26.568911616000001"/>
  </r>
  <r>
    <x v="0"/>
    <x v="8"/>
    <x v="17"/>
    <x v="27"/>
    <x v="49"/>
    <x v="1"/>
    <n v="0"/>
  </r>
  <r>
    <x v="0"/>
    <x v="8"/>
    <x v="17"/>
    <x v="27"/>
    <x v="50"/>
    <x v="1"/>
    <n v="0"/>
  </r>
  <r>
    <x v="0"/>
    <x v="8"/>
    <x v="17"/>
    <x v="27"/>
    <x v="51"/>
    <x v="1"/>
    <n v="0"/>
  </r>
  <r>
    <x v="0"/>
    <x v="8"/>
    <x v="17"/>
    <x v="27"/>
    <x v="52"/>
    <x v="1"/>
    <n v="0"/>
  </r>
  <r>
    <x v="0"/>
    <x v="8"/>
    <x v="17"/>
    <x v="27"/>
    <x v="53"/>
    <x v="1"/>
    <n v="0"/>
  </r>
  <r>
    <x v="0"/>
    <x v="8"/>
    <x v="17"/>
    <x v="27"/>
    <x v="54"/>
    <x v="1"/>
    <n v="0"/>
  </r>
  <r>
    <x v="0"/>
    <x v="8"/>
    <x v="17"/>
    <x v="27"/>
    <x v="55"/>
    <x v="1"/>
    <n v="0"/>
  </r>
  <r>
    <x v="0"/>
    <x v="8"/>
    <x v="17"/>
    <x v="28"/>
    <x v="46"/>
    <x v="1"/>
    <n v="23.531645230999999"/>
  </r>
  <r>
    <x v="0"/>
    <x v="8"/>
    <x v="17"/>
    <x v="28"/>
    <x v="47"/>
    <x v="1"/>
    <n v="23.531645230999999"/>
  </r>
  <r>
    <x v="0"/>
    <x v="8"/>
    <x v="17"/>
    <x v="28"/>
    <x v="48"/>
    <x v="1"/>
    <n v="23.531645230999999"/>
  </r>
  <r>
    <x v="0"/>
    <x v="8"/>
    <x v="17"/>
    <x v="28"/>
    <x v="49"/>
    <x v="1"/>
    <n v="0"/>
  </r>
  <r>
    <x v="0"/>
    <x v="8"/>
    <x v="17"/>
    <x v="28"/>
    <x v="50"/>
    <x v="1"/>
    <n v="0"/>
  </r>
  <r>
    <x v="0"/>
    <x v="8"/>
    <x v="17"/>
    <x v="28"/>
    <x v="51"/>
    <x v="1"/>
    <n v="0"/>
  </r>
  <r>
    <x v="0"/>
    <x v="8"/>
    <x v="17"/>
    <x v="28"/>
    <x v="52"/>
    <x v="1"/>
    <n v="0"/>
  </r>
  <r>
    <x v="0"/>
    <x v="8"/>
    <x v="17"/>
    <x v="28"/>
    <x v="53"/>
    <x v="1"/>
    <n v="0"/>
  </r>
  <r>
    <x v="0"/>
    <x v="8"/>
    <x v="17"/>
    <x v="28"/>
    <x v="54"/>
    <x v="1"/>
    <n v="0"/>
  </r>
  <r>
    <x v="0"/>
    <x v="8"/>
    <x v="17"/>
    <x v="28"/>
    <x v="55"/>
    <x v="1"/>
    <n v="0"/>
  </r>
  <r>
    <x v="0"/>
    <x v="8"/>
    <x v="17"/>
    <x v="29"/>
    <x v="46"/>
    <x v="1"/>
    <n v="21.948548254999999"/>
  </r>
  <r>
    <x v="0"/>
    <x v="8"/>
    <x v="17"/>
    <x v="29"/>
    <x v="47"/>
    <x v="1"/>
    <n v="21.948548254999999"/>
  </r>
  <r>
    <x v="0"/>
    <x v="8"/>
    <x v="17"/>
    <x v="29"/>
    <x v="48"/>
    <x v="1"/>
    <n v="21.948548254999999"/>
  </r>
  <r>
    <x v="0"/>
    <x v="8"/>
    <x v="17"/>
    <x v="29"/>
    <x v="49"/>
    <x v="1"/>
    <n v="0"/>
  </r>
  <r>
    <x v="0"/>
    <x v="8"/>
    <x v="17"/>
    <x v="29"/>
    <x v="50"/>
    <x v="1"/>
    <n v="0"/>
  </r>
  <r>
    <x v="0"/>
    <x v="8"/>
    <x v="17"/>
    <x v="29"/>
    <x v="51"/>
    <x v="1"/>
    <n v="0"/>
  </r>
  <r>
    <x v="0"/>
    <x v="8"/>
    <x v="17"/>
    <x v="29"/>
    <x v="52"/>
    <x v="1"/>
    <n v="0"/>
  </r>
  <r>
    <x v="0"/>
    <x v="8"/>
    <x v="17"/>
    <x v="29"/>
    <x v="53"/>
    <x v="1"/>
    <n v="0"/>
  </r>
  <r>
    <x v="0"/>
    <x v="8"/>
    <x v="17"/>
    <x v="29"/>
    <x v="54"/>
    <x v="1"/>
    <n v="0"/>
  </r>
  <r>
    <x v="0"/>
    <x v="8"/>
    <x v="17"/>
    <x v="29"/>
    <x v="55"/>
    <x v="1"/>
    <n v="0"/>
  </r>
  <r>
    <x v="0"/>
    <x v="8"/>
    <x v="17"/>
    <x v="30"/>
    <x v="46"/>
    <x v="1"/>
    <n v="8.0438867579999993"/>
  </r>
  <r>
    <x v="0"/>
    <x v="8"/>
    <x v="17"/>
    <x v="30"/>
    <x v="47"/>
    <x v="1"/>
    <n v="8.0438867579999993"/>
  </r>
  <r>
    <x v="0"/>
    <x v="8"/>
    <x v="17"/>
    <x v="30"/>
    <x v="48"/>
    <x v="1"/>
    <n v="8.0438867579999993"/>
  </r>
  <r>
    <x v="0"/>
    <x v="8"/>
    <x v="17"/>
    <x v="30"/>
    <x v="49"/>
    <x v="1"/>
    <n v="0"/>
  </r>
  <r>
    <x v="0"/>
    <x v="8"/>
    <x v="17"/>
    <x v="30"/>
    <x v="50"/>
    <x v="1"/>
    <n v="0"/>
  </r>
  <r>
    <x v="0"/>
    <x v="8"/>
    <x v="17"/>
    <x v="30"/>
    <x v="51"/>
    <x v="1"/>
    <n v="0"/>
  </r>
  <r>
    <x v="0"/>
    <x v="8"/>
    <x v="17"/>
    <x v="30"/>
    <x v="52"/>
    <x v="1"/>
    <n v="0"/>
  </r>
  <r>
    <x v="0"/>
    <x v="8"/>
    <x v="17"/>
    <x v="30"/>
    <x v="53"/>
    <x v="1"/>
    <n v="0"/>
  </r>
  <r>
    <x v="0"/>
    <x v="8"/>
    <x v="17"/>
    <x v="30"/>
    <x v="54"/>
    <x v="1"/>
    <n v="0"/>
  </r>
  <r>
    <x v="0"/>
    <x v="8"/>
    <x v="17"/>
    <x v="30"/>
    <x v="55"/>
    <x v="1"/>
    <n v="0"/>
  </r>
  <r>
    <x v="0"/>
    <x v="8"/>
    <x v="17"/>
    <x v="31"/>
    <x v="46"/>
    <x v="1"/>
    <n v="6.5289948539999996"/>
  </r>
  <r>
    <x v="0"/>
    <x v="8"/>
    <x v="17"/>
    <x v="31"/>
    <x v="47"/>
    <x v="1"/>
    <n v="6.5289948539999996"/>
  </r>
  <r>
    <x v="0"/>
    <x v="8"/>
    <x v="17"/>
    <x v="31"/>
    <x v="48"/>
    <x v="1"/>
    <n v="6.5289948539999996"/>
  </r>
  <r>
    <x v="0"/>
    <x v="8"/>
    <x v="17"/>
    <x v="31"/>
    <x v="49"/>
    <x v="1"/>
    <n v="0"/>
  </r>
  <r>
    <x v="0"/>
    <x v="8"/>
    <x v="17"/>
    <x v="31"/>
    <x v="50"/>
    <x v="1"/>
    <n v="0"/>
  </r>
  <r>
    <x v="0"/>
    <x v="8"/>
    <x v="17"/>
    <x v="31"/>
    <x v="51"/>
    <x v="1"/>
    <n v="0"/>
  </r>
  <r>
    <x v="0"/>
    <x v="8"/>
    <x v="17"/>
    <x v="31"/>
    <x v="52"/>
    <x v="1"/>
    <n v="0"/>
  </r>
  <r>
    <x v="0"/>
    <x v="8"/>
    <x v="17"/>
    <x v="31"/>
    <x v="53"/>
    <x v="1"/>
    <n v="0"/>
  </r>
  <r>
    <x v="0"/>
    <x v="8"/>
    <x v="17"/>
    <x v="31"/>
    <x v="54"/>
    <x v="1"/>
    <n v="0"/>
  </r>
  <r>
    <x v="0"/>
    <x v="8"/>
    <x v="17"/>
    <x v="31"/>
    <x v="55"/>
    <x v="1"/>
    <n v="0"/>
  </r>
  <r>
    <x v="0"/>
    <x v="8"/>
    <x v="17"/>
    <x v="32"/>
    <x v="46"/>
    <x v="1"/>
    <n v="21.692123747"/>
  </r>
  <r>
    <x v="0"/>
    <x v="8"/>
    <x v="17"/>
    <x v="32"/>
    <x v="47"/>
    <x v="1"/>
    <n v="21.692123747"/>
  </r>
  <r>
    <x v="0"/>
    <x v="8"/>
    <x v="17"/>
    <x v="32"/>
    <x v="48"/>
    <x v="1"/>
    <n v="21.692123747"/>
  </r>
  <r>
    <x v="0"/>
    <x v="8"/>
    <x v="17"/>
    <x v="32"/>
    <x v="49"/>
    <x v="1"/>
    <n v="0"/>
  </r>
  <r>
    <x v="0"/>
    <x v="8"/>
    <x v="17"/>
    <x v="32"/>
    <x v="50"/>
    <x v="1"/>
    <n v="0"/>
  </r>
  <r>
    <x v="0"/>
    <x v="8"/>
    <x v="17"/>
    <x v="32"/>
    <x v="51"/>
    <x v="1"/>
    <n v="0"/>
  </r>
  <r>
    <x v="0"/>
    <x v="8"/>
    <x v="17"/>
    <x v="32"/>
    <x v="52"/>
    <x v="1"/>
    <n v="0"/>
  </r>
  <r>
    <x v="0"/>
    <x v="8"/>
    <x v="17"/>
    <x v="32"/>
    <x v="53"/>
    <x v="1"/>
    <n v="0"/>
  </r>
  <r>
    <x v="0"/>
    <x v="8"/>
    <x v="17"/>
    <x v="32"/>
    <x v="54"/>
    <x v="1"/>
    <n v="0"/>
  </r>
  <r>
    <x v="0"/>
    <x v="8"/>
    <x v="17"/>
    <x v="32"/>
    <x v="55"/>
    <x v="1"/>
    <n v="0"/>
  </r>
  <r>
    <x v="0"/>
    <x v="8"/>
    <x v="17"/>
    <x v="33"/>
    <x v="46"/>
    <x v="1"/>
    <n v="12.673919057000001"/>
  </r>
  <r>
    <x v="0"/>
    <x v="8"/>
    <x v="17"/>
    <x v="33"/>
    <x v="47"/>
    <x v="1"/>
    <n v="12.673919057000001"/>
  </r>
  <r>
    <x v="0"/>
    <x v="8"/>
    <x v="17"/>
    <x v="33"/>
    <x v="48"/>
    <x v="1"/>
    <n v="12.673919057000001"/>
  </r>
  <r>
    <x v="0"/>
    <x v="8"/>
    <x v="17"/>
    <x v="33"/>
    <x v="49"/>
    <x v="1"/>
    <n v="0"/>
  </r>
  <r>
    <x v="0"/>
    <x v="8"/>
    <x v="17"/>
    <x v="33"/>
    <x v="50"/>
    <x v="1"/>
    <n v="0"/>
  </r>
  <r>
    <x v="0"/>
    <x v="8"/>
    <x v="17"/>
    <x v="33"/>
    <x v="51"/>
    <x v="1"/>
    <n v="0"/>
  </r>
  <r>
    <x v="0"/>
    <x v="8"/>
    <x v="17"/>
    <x v="33"/>
    <x v="52"/>
    <x v="1"/>
    <n v="0"/>
  </r>
  <r>
    <x v="0"/>
    <x v="8"/>
    <x v="17"/>
    <x v="33"/>
    <x v="53"/>
    <x v="1"/>
    <n v="0"/>
  </r>
  <r>
    <x v="0"/>
    <x v="8"/>
    <x v="17"/>
    <x v="33"/>
    <x v="54"/>
    <x v="1"/>
    <n v="0"/>
  </r>
  <r>
    <x v="0"/>
    <x v="8"/>
    <x v="17"/>
    <x v="33"/>
    <x v="55"/>
    <x v="1"/>
    <n v="0"/>
  </r>
  <r>
    <x v="0"/>
    <x v="8"/>
    <x v="17"/>
    <x v="34"/>
    <x v="46"/>
    <x v="1"/>
    <n v="14.059219017"/>
  </r>
  <r>
    <x v="0"/>
    <x v="8"/>
    <x v="17"/>
    <x v="34"/>
    <x v="47"/>
    <x v="1"/>
    <n v="14.059219017"/>
  </r>
  <r>
    <x v="0"/>
    <x v="8"/>
    <x v="17"/>
    <x v="34"/>
    <x v="48"/>
    <x v="1"/>
    <n v="14.059219017"/>
  </r>
  <r>
    <x v="0"/>
    <x v="8"/>
    <x v="17"/>
    <x v="34"/>
    <x v="49"/>
    <x v="1"/>
    <n v="0"/>
  </r>
  <r>
    <x v="0"/>
    <x v="8"/>
    <x v="17"/>
    <x v="34"/>
    <x v="50"/>
    <x v="1"/>
    <n v="0"/>
  </r>
  <r>
    <x v="0"/>
    <x v="8"/>
    <x v="17"/>
    <x v="34"/>
    <x v="51"/>
    <x v="1"/>
    <n v="0"/>
  </r>
  <r>
    <x v="0"/>
    <x v="8"/>
    <x v="17"/>
    <x v="34"/>
    <x v="52"/>
    <x v="1"/>
    <n v="0"/>
  </r>
  <r>
    <x v="0"/>
    <x v="8"/>
    <x v="17"/>
    <x v="34"/>
    <x v="53"/>
    <x v="1"/>
    <n v="0"/>
  </r>
  <r>
    <x v="0"/>
    <x v="8"/>
    <x v="17"/>
    <x v="34"/>
    <x v="54"/>
    <x v="1"/>
    <n v="0"/>
  </r>
  <r>
    <x v="0"/>
    <x v="8"/>
    <x v="17"/>
    <x v="34"/>
    <x v="55"/>
    <x v="1"/>
    <n v="0"/>
  </r>
  <r>
    <x v="0"/>
    <x v="8"/>
    <x v="17"/>
    <x v="35"/>
    <x v="46"/>
    <x v="1"/>
    <n v="11.142131196999999"/>
  </r>
  <r>
    <x v="0"/>
    <x v="8"/>
    <x v="17"/>
    <x v="35"/>
    <x v="47"/>
    <x v="1"/>
    <n v="11.142131196999999"/>
  </r>
  <r>
    <x v="0"/>
    <x v="8"/>
    <x v="17"/>
    <x v="35"/>
    <x v="48"/>
    <x v="1"/>
    <n v="11.142131196999999"/>
  </r>
  <r>
    <x v="0"/>
    <x v="8"/>
    <x v="17"/>
    <x v="35"/>
    <x v="49"/>
    <x v="1"/>
    <n v="0"/>
  </r>
  <r>
    <x v="0"/>
    <x v="8"/>
    <x v="17"/>
    <x v="35"/>
    <x v="50"/>
    <x v="1"/>
    <n v="0"/>
  </r>
  <r>
    <x v="0"/>
    <x v="8"/>
    <x v="17"/>
    <x v="35"/>
    <x v="51"/>
    <x v="1"/>
    <n v="0"/>
  </r>
  <r>
    <x v="0"/>
    <x v="8"/>
    <x v="17"/>
    <x v="35"/>
    <x v="52"/>
    <x v="1"/>
    <n v="0"/>
  </r>
  <r>
    <x v="0"/>
    <x v="8"/>
    <x v="17"/>
    <x v="35"/>
    <x v="53"/>
    <x v="1"/>
    <n v="0"/>
  </r>
  <r>
    <x v="0"/>
    <x v="8"/>
    <x v="17"/>
    <x v="35"/>
    <x v="54"/>
    <x v="1"/>
    <n v="0"/>
  </r>
  <r>
    <x v="0"/>
    <x v="8"/>
    <x v="17"/>
    <x v="35"/>
    <x v="55"/>
    <x v="1"/>
    <n v="0"/>
  </r>
  <r>
    <x v="0"/>
    <x v="8"/>
    <x v="17"/>
    <x v="36"/>
    <x v="46"/>
    <x v="1"/>
    <n v="3.8083427090000002"/>
  </r>
  <r>
    <x v="0"/>
    <x v="8"/>
    <x v="17"/>
    <x v="36"/>
    <x v="47"/>
    <x v="1"/>
    <n v="3.8083427090000002"/>
  </r>
  <r>
    <x v="0"/>
    <x v="8"/>
    <x v="17"/>
    <x v="36"/>
    <x v="48"/>
    <x v="1"/>
    <n v="3.8083427090000002"/>
  </r>
  <r>
    <x v="0"/>
    <x v="8"/>
    <x v="17"/>
    <x v="36"/>
    <x v="49"/>
    <x v="1"/>
    <n v="0"/>
  </r>
  <r>
    <x v="0"/>
    <x v="8"/>
    <x v="17"/>
    <x v="36"/>
    <x v="50"/>
    <x v="1"/>
    <n v="0"/>
  </r>
  <r>
    <x v="0"/>
    <x v="8"/>
    <x v="17"/>
    <x v="36"/>
    <x v="51"/>
    <x v="1"/>
    <n v="0"/>
  </r>
  <r>
    <x v="0"/>
    <x v="8"/>
    <x v="17"/>
    <x v="36"/>
    <x v="52"/>
    <x v="1"/>
    <n v="0"/>
  </r>
  <r>
    <x v="0"/>
    <x v="8"/>
    <x v="17"/>
    <x v="36"/>
    <x v="53"/>
    <x v="1"/>
    <n v="0"/>
  </r>
  <r>
    <x v="0"/>
    <x v="8"/>
    <x v="17"/>
    <x v="36"/>
    <x v="54"/>
    <x v="1"/>
    <n v="0"/>
  </r>
  <r>
    <x v="0"/>
    <x v="8"/>
    <x v="17"/>
    <x v="36"/>
    <x v="55"/>
    <x v="1"/>
    <n v="0"/>
  </r>
  <r>
    <x v="0"/>
    <x v="8"/>
    <x v="17"/>
    <x v="37"/>
    <x v="46"/>
    <x v="1"/>
    <n v="5.1403308340000002"/>
  </r>
  <r>
    <x v="0"/>
    <x v="8"/>
    <x v="17"/>
    <x v="37"/>
    <x v="47"/>
    <x v="1"/>
    <n v="5.1403308340000002"/>
  </r>
  <r>
    <x v="0"/>
    <x v="8"/>
    <x v="17"/>
    <x v="37"/>
    <x v="48"/>
    <x v="1"/>
    <n v="5.1403308340000002"/>
  </r>
  <r>
    <x v="0"/>
    <x v="8"/>
    <x v="17"/>
    <x v="37"/>
    <x v="49"/>
    <x v="1"/>
    <n v="0"/>
  </r>
  <r>
    <x v="0"/>
    <x v="8"/>
    <x v="17"/>
    <x v="37"/>
    <x v="50"/>
    <x v="1"/>
    <n v="0"/>
  </r>
  <r>
    <x v="0"/>
    <x v="8"/>
    <x v="17"/>
    <x v="37"/>
    <x v="51"/>
    <x v="1"/>
    <n v="0"/>
  </r>
  <r>
    <x v="0"/>
    <x v="8"/>
    <x v="17"/>
    <x v="37"/>
    <x v="52"/>
    <x v="1"/>
    <n v="0"/>
  </r>
  <r>
    <x v="0"/>
    <x v="8"/>
    <x v="17"/>
    <x v="37"/>
    <x v="53"/>
    <x v="1"/>
    <n v="0"/>
  </r>
  <r>
    <x v="0"/>
    <x v="8"/>
    <x v="17"/>
    <x v="37"/>
    <x v="54"/>
    <x v="1"/>
    <n v="0"/>
  </r>
  <r>
    <x v="0"/>
    <x v="8"/>
    <x v="17"/>
    <x v="37"/>
    <x v="55"/>
    <x v="1"/>
    <n v="0"/>
  </r>
  <r>
    <x v="0"/>
    <x v="8"/>
    <x v="17"/>
    <x v="38"/>
    <x v="46"/>
    <x v="1"/>
    <n v="19.897663056999999"/>
  </r>
  <r>
    <x v="0"/>
    <x v="8"/>
    <x v="17"/>
    <x v="38"/>
    <x v="47"/>
    <x v="1"/>
    <n v="19.897663056999999"/>
  </r>
  <r>
    <x v="0"/>
    <x v="8"/>
    <x v="17"/>
    <x v="38"/>
    <x v="48"/>
    <x v="1"/>
    <n v="19.897663056999999"/>
  </r>
  <r>
    <x v="0"/>
    <x v="8"/>
    <x v="17"/>
    <x v="38"/>
    <x v="49"/>
    <x v="1"/>
    <n v="0"/>
  </r>
  <r>
    <x v="0"/>
    <x v="8"/>
    <x v="17"/>
    <x v="38"/>
    <x v="50"/>
    <x v="1"/>
    <n v="0"/>
  </r>
  <r>
    <x v="0"/>
    <x v="8"/>
    <x v="17"/>
    <x v="38"/>
    <x v="51"/>
    <x v="1"/>
    <n v="0"/>
  </r>
  <r>
    <x v="0"/>
    <x v="8"/>
    <x v="17"/>
    <x v="38"/>
    <x v="52"/>
    <x v="1"/>
    <n v="0"/>
  </r>
  <r>
    <x v="0"/>
    <x v="8"/>
    <x v="17"/>
    <x v="38"/>
    <x v="53"/>
    <x v="1"/>
    <n v="0"/>
  </r>
  <r>
    <x v="0"/>
    <x v="8"/>
    <x v="17"/>
    <x v="38"/>
    <x v="54"/>
    <x v="1"/>
    <n v="0"/>
  </r>
  <r>
    <x v="0"/>
    <x v="8"/>
    <x v="17"/>
    <x v="38"/>
    <x v="55"/>
    <x v="1"/>
    <n v="0"/>
  </r>
  <r>
    <x v="0"/>
    <x v="8"/>
    <x v="17"/>
    <x v="39"/>
    <x v="46"/>
    <x v="1"/>
    <n v="8.1290713540000006"/>
  </r>
  <r>
    <x v="0"/>
    <x v="8"/>
    <x v="17"/>
    <x v="39"/>
    <x v="47"/>
    <x v="1"/>
    <n v="8.1290713540000006"/>
  </r>
  <r>
    <x v="0"/>
    <x v="8"/>
    <x v="17"/>
    <x v="39"/>
    <x v="48"/>
    <x v="1"/>
    <n v="8.1290713540000006"/>
  </r>
  <r>
    <x v="0"/>
    <x v="8"/>
    <x v="17"/>
    <x v="39"/>
    <x v="49"/>
    <x v="1"/>
    <n v="0"/>
  </r>
  <r>
    <x v="0"/>
    <x v="8"/>
    <x v="17"/>
    <x v="39"/>
    <x v="50"/>
    <x v="1"/>
    <n v="0"/>
  </r>
  <r>
    <x v="0"/>
    <x v="8"/>
    <x v="17"/>
    <x v="39"/>
    <x v="51"/>
    <x v="1"/>
    <n v="0"/>
  </r>
  <r>
    <x v="0"/>
    <x v="8"/>
    <x v="17"/>
    <x v="39"/>
    <x v="52"/>
    <x v="1"/>
    <n v="0"/>
  </r>
  <r>
    <x v="0"/>
    <x v="8"/>
    <x v="17"/>
    <x v="39"/>
    <x v="53"/>
    <x v="1"/>
    <n v="0"/>
  </r>
  <r>
    <x v="0"/>
    <x v="8"/>
    <x v="17"/>
    <x v="39"/>
    <x v="54"/>
    <x v="1"/>
    <n v="0"/>
  </r>
  <r>
    <x v="0"/>
    <x v="8"/>
    <x v="17"/>
    <x v="39"/>
    <x v="55"/>
    <x v="1"/>
    <n v="0"/>
  </r>
  <r>
    <x v="0"/>
    <x v="8"/>
    <x v="17"/>
    <x v="40"/>
    <x v="46"/>
    <x v="1"/>
    <n v="2.7283410199999998"/>
  </r>
  <r>
    <x v="0"/>
    <x v="8"/>
    <x v="17"/>
    <x v="40"/>
    <x v="47"/>
    <x v="1"/>
    <n v="2.7283410199999998"/>
  </r>
  <r>
    <x v="0"/>
    <x v="8"/>
    <x v="17"/>
    <x v="40"/>
    <x v="48"/>
    <x v="1"/>
    <n v="2.7283410199999998"/>
  </r>
  <r>
    <x v="0"/>
    <x v="8"/>
    <x v="17"/>
    <x v="40"/>
    <x v="49"/>
    <x v="1"/>
    <n v="0"/>
  </r>
  <r>
    <x v="0"/>
    <x v="8"/>
    <x v="17"/>
    <x v="40"/>
    <x v="50"/>
    <x v="1"/>
    <n v="0"/>
  </r>
  <r>
    <x v="0"/>
    <x v="8"/>
    <x v="17"/>
    <x v="40"/>
    <x v="51"/>
    <x v="1"/>
    <n v="0"/>
  </r>
  <r>
    <x v="0"/>
    <x v="8"/>
    <x v="17"/>
    <x v="40"/>
    <x v="52"/>
    <x v="1"/>
    <n v="0"/>
  </r>
  <r>
    <x v="0"/>
    <x v="8"/>
    <x v="17"/>
    <x v="40"/>
    <x v="53"/>
    <x v="1"/>
    <n v="0"/>
  </r>
  <r>
    <x v="0"/>
    <x v="8"/>
    <x v="17"/>
    <x v="40"/>
    <x v="54"/>
    <x v="1"/>
    <n v="0"/>
  </r>
  <r>
    <x v="0"/>
    <x v="8"/>
    <x v="17"/>
    <x v="40"/>
    <x v="55"/>
    <x v="1"/>
    <n v="0"/>
  </r>
  <r>
    <x v="0"/>
    <x v="8"/>
    <x v="17"/>
    <x v="41"/>
    <x v="46"/>
    <x v="1"/>
    <n v="41.949445449999999"/>
  </r>
  <r>
    <x v="0"/>
    <x v="8"/>
    <x v="17"/>
    <x v="41"/>
    <x v="47"/>
    <x v="1"/>
    <n v="41.949445449999999"/>
  </r>
  <r>
    <x v="0"/>
    <x v="8"/>
    <x v="17"/>
    <x v="41"/>
    <x v="48"/>
    <x v="1"/>
    <n v="41.949445449999999"/>
  </r>
  <r>
    <x v="0"/>
    <x v="8"/>
    <x v="17"/>
    <x v="41"/>
    <x v="49"/>
    <x v="1"/>
    <n v="0"/>
  </r>
  <r>
    <x v="0"/>
    <x v="8"/>
    <x v="17"/>
    <x v="41"/>
    <x v="50"/>
    <x v="1"/>
    <n v="0"/>
  </r>
  <r>
    <x v="0"/>
    <x v="8"/>
    <x v="17"/>
    <x v="41"/>
    <x v="51"/>
    <x v="1"/>
    <n v="0"/>
  </r>
  <r>
    <x v="0"/>
    <x v="8"/>
    <x v="17"/>
    <x v="41"/>
    <x v="52"/>
    <x v="1"/>
    <n v="0"/>
  </r>
  <r>
    <x v="0"/>
    <x v="8"/>
    <x v="17"/>
    <x v="41"/>
    <x v="53"/>
    <x v="1"/>
    <n v="0"/>
  </r>
  <r>
    <x v="0"/>
    <x v="8"/>
    <x v="17"/>
    <x v="41"/>
    <x v="54"/>
    <x v="1"/>
    <n v="0"/>
  </r>
  <r>
    <x v="0"/>
    <x v="8"/>
    <x v="17"/>
    <x v="41"/>
    <x v="55"/>
    <x v="1"/>
    <n v="0"/>
  </r>
  <r>
    <x v="0"/>
    <x v="8"/>
    <x v="18"/>
    <x v="42"/>
    <x v="46"/>
    <x v="1"/>
    <n v="22.475145525999999"/>
  </r>
  <r>
    <x v="0"/>
    <x v="8"/>
    <x v="18"/>
    <x v="42"/>
    <x v="47"/>
    <x v="1"/>
    <n v="22.475145525999999"/>
  </r>
  <r>
    <x v="0"/>
    <x v="8"/>
    <x v="18"/>
    <x v="42"/>
    <x v="48"/>
    <x v="1"/>
    <n v="22.475145525999999"/>
  </r>
  <r>
    <x v="0"/>
    <x v="8"/>
    <x v="18"/>
    <x v="42"/>
    <x v="49"/>
    <x v="1"/>
    <n v="0"/>
  </r>
  <r>
    <x v="0"/>
    <x v="8"/>
    <x v="18"/>
    <x v="42"/>
    <x v="50"/>
    <x v="1"/>
    <n v="0"/>
  </r>
  <r>
    <x v="0"/>
    <x v="8"/>
    <x v="18"/>
    <x v="42"/>
    <x v="51"/>
    <x v="1"/>
    <n v="0"/>
  </r>
  <r>
    <x v="0"/>
    <x v="8"/>
    <x v="18"/>
    <x v="42"/>
    <x v="52"/>
    <x v="1"/>
    <n v="0"/>
  </r>
  <r>
    <x v="0"/>
    <x v="8"/>
    <x v="18"/>
    <x v="42"/>
    <x v="53"/>
    <x v="1"/>
    <n v="0"/>
  </r>
  <r>
    <x v="0"/>
    <x v="8"/>
    <x v="18"/>
    <x v="42"/>
    <x v="54"/>
    <x v="1"/>
    <n v="0"/>
  </r>
  <r>
    <x v="0"/>
    <x v="8"/>
    <x v="18"/>
    <x v="42"/>
    <x v="55"/>
    <x v="1"/>
    <n v="0"/>
  </r>
  <r>
    <x v="0"/>
    <x v="8"/>
    <x v="18"/>
    <x v="43"/>
    <x v="46"/>
    <x v="1"/>
    <n v="52.430019356999999"/>
  </r>
  <r>
    <x v="0"/>
    <x v="8"/>
    <x v="18"/>
    <x v="43"/>
    <x v="47"/>
    <x v="1"/>
    <n v="52.430019356999999"/>
  </r>
  <r>
    <x v="0"/>
    <x v="8"/>
    <x v="18"/>
    <x v="43"/>
    <x v="48"/>
    <x v="1"/>
    <n v="52.430019356999999"/>
  </r>
  <r>
    <x v="0"/>
    <x v="8"/>
    <x v="18"/>
    <x v="43"/>
    <x v="49"/>
    <x v="1"/>
    <n v="0"/>
  </r>
  <r>
    <x v="0"/>
    <x v="8"/>
    <x v="18"/>
    <x v="43"/>
    <x v="50"/>
    <x v="1"/>
    <n v="0"/>
  </r>
  <r>
    <x v="0"/>
    <x v="8"/>
    <x v="18"/>
    <x v="43"/>
    <x v="51"/>
    <x v="1"/>
    <n v="0"/>
  </r>
  <r>
    <x v="0"/>
    <x v="8"/>
    <x v="18"/>
    <x v="43"/>
    <x v="52"/>
    <x v="1"/>
    <n v="0"/>
  </r>
  <r>
    <x v="0"/>
    <x v="8"/>
    <x v="18"/>
    <x v="43"/>
    <x v="53"/>
    <x v="1"/>
    <n v="0"/>
  </r>
  <r>
    <x v="0"/>
    <x v="8"/>
    <x v="18"/>
    <x v="43"/>
    <x v="54"/>
    <x v="1"/>
    <n v="0"/>
  </r>
  <r>
    <x v="0"/>
    <x v="8"/>
    <x v="18"/>
    <x v="43"/>
    <x v="55"/>
    <x v="1"/>
    <n v="0"/>
  </r>
  <r>
    <x v="0"/>
    <x v="8"/>
    <x v="19"/>
    <x v="44"/>
    <x v="46"/>
    <x v="5"/>
    <n v="639.22567325399996"/>
  </r>
  <r>
    <x v="0"/>
    <x v="8"/>
    <x v="19"/>
    <x v="44"/>
    <x v="47"/>
    <x v="5"/>
    <n v="639.22567325399996"/>
  </r>
  <r>
    <x v="0"/>
    <x v="8"/>
    <x v="19"/>
    <x v="44"/>
    <x v="48"/>
    <x v="5"/>
    <n v="639.22567325399996"/>
  </r>
  <r>
    <x v="0"/>
    <x v="8"/>
    <x v="19"/>
    <x v="44"/>
    <x v="49"/>
    <x v="5"/>
    <n v="0"/>
  </r>
  <r>
    <x v="0"/>
    <x v="8"/>
    <x v="19"/>
    <x v="44"/>
    <x v="50"/>
    <x v="5"/>
    <n v="0"/>
  </r>
  <r>
    <x v="0"/>
    <x v="8"/>
    <x v="19"/>
    <x v="44"/>
    <x v="51"/>
    <x v="5"/>
    <n v="0"/>
  </r>
  <r>
    <x v="0"/>
    <x v="8"/>
    <x v="19"/>
    <x v="44"/>
    <x v="52"/>
    <x v="5"/>
    <n v="0"/>
  </r>
  <r>
    <x v="0"/>
    <x v="8"/>
    <x v="19"/>
    <x v="44"/>
    <x v="53"/>
    <x v="5"/>
    <n v="0"/>
  </r>
  <r>
    <x v="0"/>
    <x v="8"/>
    <x v="19"/>
    <x v="44"/>
    <x v="54"/>
    <x v="5"/>
    <n v="0"/>
  </r>
  <r>
    <x v="0"/>
    <x v="8"/>
    <x v="19"/>
    <x v="44"/>
    <x v="55"/>
    <x v="5"/>
    <n v="0"/>
  </r>
  <r>
    <x v="0"/>
    <x v="8"/>
    <x v="20"/>
    <x v="44"/>
    <x v="0"/>
    <x v="6"/>
    <n v="244.77140157100001"/>
  </r>
  <r>
    <x v="0"/>
    <x v="8"/>
    <x v="21"/>
    <x v="44"/>
    <x v="0"/>
    <x v="6"/>
    <n v="3635.9311402570002"/>
  </r>
  <r>
    <x v="0"/>
    <x v="8"/>
    <x v="22"/>
    <x v="44"/>
    <x v="0"/>
    <x v="5"/>
    <n v="6.7320141999999999E-2"/>
  </r>
  <r>
    <x v="0"/>
    <x v="8"/>
    <x v="23"/>
    <x v="44"/>
    <x v="0"/>
    <x v="5"/>
    <n v="840.19251703099997"/>
  </r>
  <r>
    <x v="0"/>
    <x v="8"/>
    <x v="24"/>
    <x v="44"/>
    <x v="0"/>
    <x v="6"/>
    <n v="1521.1112576610001"/>
  </r>
  <r>
    <x v="0"/>
    <x v="8"/>
    <x v="25"/>
    <x v="45"/>
    <x v="0"/>
    <x v="6"/>
    <n v="1403.0696868079999"/>
  </r>
  <r>
    <x v="0"/>
    <x v="8"/>
    <x v="26"/>
    <x v="44"/>
    <x v="0"/>
    <x v="6"/>
    <n v="1251.6247428669999"/>
  </r>
  <r>
    <x v="0"/>
    <x v="8"/>
    <x v="27"/>
    <x v="44"/>
    <x v="0"/>
    <x v="6"/>
    <n v="702.51207033200001"/>
  </r>
  <r>
    <x v="0"/>
    <x v="8"/>
    <x v="28"/>
    <x v="44"/>
    <x v="0"/>
    <x v="6"/>
    <n v="1242.3866174110001"/>
  </r>
  <r>
    <x v="0"/>
    <x v="8"/>
    <x v="29"/>
    <x v="44"/>
    <x v="0"/>
    <x v="6"/>
    <n v="5.928927828"/>
  </r>
  <r>
    <x v="0"/>
    <x v="8"/>
    <x v="30"/>
    <x v="44"/>
    <x v="0"/>
    <x v="6"/>
    <n v="219.775817031"/>
  </r>
  <r>
    <x v="0"/>
    <x v="8"/>
    <x v="31"/>
    <x v="44"/>
    <x v="0"/>
    <x v="6"/>
    <n v="8880.5334114460002"/>
  </r>
  <r>
    <x v="0"/>
    <x v="8"/>
    <x v="32"/>
    <x v="44"/>
    <x v="0"/>
    <x v="5"/>
    <n v="2.4748042000000001E-2"/>
  </r>
  <r>
    <x v="0"/>
    <x v="8"/>
    <x v="33"/>
    <x v="44"/>
    <x v="0"/>
    <x v="5"/>
    <n v="4.5286E-5"/>
  </r>
  <r>
    <x v="0"/>
    <x v="8"/>
    <x v="34"/>
    <x v="44"/>
    <x v="0"/>
    <x v="5"/>
    <n v="1"/>
  </r>
  <r>
    <x v="0"/>
    <x v="8"/>
    <x v="35"/>
    <x v="44"/>
    <x v="0"/>
    <x v="5"/>
    <n v="1.075"/>
  </r>
  <r>
    <x v="0"/>
    <x v="8"/>
    <x v="36"/>
    <x v="44"/>
    <x v="0"/>
    <x v="5"/>
    <n v="1.2083264999999999E-2"/>
  </r>
  <r>
    <x v="0"/>
    <x v="8"/>
    <x v="37"/>
    <x v="45"/>
    <x v="0"/>
    <x v="6"/>
    <n v="0"/>
  </r>
  <r>
    <x v="0"/>
    <x v="8"/>
    <x v="38"/>
    <x v="45"/>
    <x v="0"/>
    <x v="6"/>
    <n v="0"/>
  </r>
  <r>
    <x v="0"/>
    <x v="8"/>
    <x v="39"/>
    <x v="45"/>
    <x v="0"/>
    <x v="6"/>
    <n v="1"/>
  </r>
  <r>
    <x v="0"/>
    <x v="8"/>
    <x v="40"/>
    <x v="45"/>
    <x v="0"/>
    <x v="6"/>
    <n v="147.83887684000001"/>
  </r>
  <r>
    <x v="0"/>
    <x v="8"/>
    <x v="41"/>
    <x v="45"/>
    <x v="0"/>
    <x v="6"/>
    <n v="132.83514492899999"/>
  </r>
  <r>
    <x v="0"/>
    <x v="8"/>
    <x v="42"/>
    <x v="45"/>
    <x v="0"/>
    <x v="6"/>
    <n v="15.003731911999999"/>
  </r>
  <r>
    <x v="0"/>
    <x v="8"/>
    <x v="43"/>
    <x v="45"/>
    <x v="0"/>
    <x v="6"/>
    <n v="293.35566010000002"/>
  </r>
  <r>
    <x v="0"/>
    <x v="8"/>
    <x v="44"/>
    <x v="45"/>
    <x v="0"/>
    <x v="6"/>
    <n v="0"/>
  </r>
  <r>
    <x v="0"/>
    <x v="8"/>
    <x v="45"/>
    <x v="44"/>
    <x v="0"/>
    <x v="5"/>
    <n v="5.1145192999999999E-2"/>
  </r>
  <r>
    <x v="0"/>
    <x v="8"/>
    <x v="46"/>
    <x v="45"/>
    <x v="0"/>
    <x v="5"/>
    <n v="3.9485481500000001"/>
  </r>
  <r>
    <x v="0"/>
    <x v="8"/>
    <x v="47"/>
    <x v="46"/>
    <x v="0"/>
    <x v="6"/>
    <n v="0.71048024300000001"/>
  </r>
  <r>
    <x v="0"/>
    <x v="8"/>
    <x v="48"/>
    <x v="47"/>
    <x v="0"/>
    <x v="6"/>
    <n v="0"/>
  </r>
  <r>
    <x v="0"/>
    <x v="8"/>
    <x v="49"/>
    <x v="47"/>
    <x v="0"/>
    <x v="6"/>
    <n v="0"/>
  </r>
  <r>
    <x v="0"/>
    <x v="8"/>
    <x v="50"/>
    <x v="48"/>
    <x v="0"/>
    <x v="7"/>
    <n v="113.261413738"/>
  </r>
  <r>
    <x v="0"/>
    <x v="8"/>
    <x v="50"/>
    <x v="49"/>
    <x v="0"/>
    <x v="7"/>
    <n v="105.80392304999999"/>
  </r>
  <r>
    <x v="0"/>
    <x v="8"/>
    <x v="51"/>
    <x v="42"/>
    <x v="0"/>
    <x v="4"/>
    <n v="54.562039691999999"/>
  </r>
  <r>
    <x v="0"/>
    <x v="8"/>
    <x v="51"/>
    <x v="43"/>
    <x v="0"/>
    <x v="4"/>
    <n v="181.054685527"/>
  </r>
  <r>
    <x v="0"/>
    <x v="8"/>
    <x v="52"/>
    <x v="42"/>
    <x v="0"/>
    <x v="4"/>
    <n v="31.719090739999999"/>
  </r>
  <r>
    <x v="0"/>
    <x v="8"/>
    <x v="52"/>
    <x v="43"/>
    <x v="0"/>
    <x v="4"/>
    <n v="68.751344021999998"/>
  </r>
  <r>
    <x v="0"/>
    <x v="8"/>
    <x v="53"/>
    <x v="42"/>
    <x v="0"/>
    <x v="4"/>
    <n v="9.2439452129999999"/>
  </r>
  <r>
    <x v="0"/>
    <x v="8"/>
    <x v="53"/>
    <x v="43"/>
    <x v="0"/>
    <x v="4"/>
    <n v="16.321324664999999"/>
  </r>
  <r>
    <x v="0"/>
    <x v="8"/>
    <x v="54"/>
    <x v="42"/>
    <x v="56"/>
    <x v="4"/>
    <n v="18.347921556999999"/>
  </r>
  <r>
    <x v="0"/>
    <x v="8"/>
    <x v="54"/>
    <x v="43"/>
    <x v="56"/>
    <x v="4"/>
    <n v="104.438832379"/>
  </r>
  <r>
    <x v="0"/>
    <x v="8"/>
    <x v="55"/>
    <x v="42"/>
    <x v="0"/>
    <x v="4"/>
    <n v="6.2919691999999999E-2"/>
  </r>
  <r>
    <x v="0"/>
    <x v="8"/>
    <x v="55"/>
    <x v="43"/>
    <x v="0"/>
    <x v="4"/>
    <n v="5.8218418000000001E-2"/>
  </r>
  <r>
    <x v="0"/>
    <x v="8"/>
    <x v="56"/>
    <x v="42"/>
    <x v="0"/>
    <x v="4"/>
    <n v="8.0141961999999997E-2"/>
  </r>
  <r>
    <x v="0"/>
    <x v="8"/>
    <x v="56"/>
    <x v="43"/>
    <x v="0"/>
    <x v="4"/>
    <n v="7.7347702000000004E-2"/>
  </r>
  <r>
    <x v="0"/>
    <x v="8"/>
    <x v="57"/>
    <x v="42"/>
    <x v="0"/>
    <x v="4"/>
    <n v="4.0922131E-2"/>
  </r>
  <r>
    <x v="0"/>
    <x v="8"/>
    <x v="57"/>
    <x v="43"/>
    <x v="0"/>
    <x v="4"/>
    <n v="3.8459813000000002E-2"/>
  </r>
  <r>
    <x v="0"/>
    <x v="8"/>
    <x v="58"/>
    <x v="44"/>
    <x v="57"/>
    <x v="5"/>
    <n v="3.8142746999999998E-2"/>
  </r>
  <r>
    <x v="0"/>
    <x v="8"/>
    <x v="59"/>
    <x v="44"/>
    <x v="57"/>
    <x v="6"/>
    <n v="704.06799999999998"/>
  </r>
  <r>
    <x v="0"/>
    <x v="8"/>
    <x v="60"/>
    <x v="0"/>
    <x v="57"/>
    <x v="8"/>
    <n v="219.913960608"/>
  </r>
  <r>
    <x v="0"/>
    <x v="8"/>
    <x v="60"/>
    <x v="1"/>
    <x v="57"/>
    <x v="8"/>
    <n v="25.426928907000001"/>
  </r>
  <r>
    <x v="0"/>
    <x v="8"/>
    <x v="60"/>
    <x v="2"/>
    <x v="57"/>
    <x v="8"/>
    <n v="81.632516443"/>
  </r>
  <r>
    <x v="0"/>
    <x v="8"/>
    <x v="60"/>
    <x v="3"/>
    <x v="57"/>
    <x v="8"/>
    <n v="58.531875487999997"/>
  </r>
  <r>
    <x v="0"/>
    <x v="8"/>
    <x v="60"/>
    <x v="4"/>
    <x v="57"/>
    <x v="8"/>
    <n v="4.4271209919999999"/>
  </r>
  <r>
    <x v="0"/>
    <x v="8"/>
    <x v="60"/>
    <x v="5"/>
    <x v="57"/>
    <x v="8"/>
    <n v="89.977241100000001"/>
  </r>
  <r>
    <x v="0"/>
    <x v="8"/>
    <x v="60"/>
    <x v="6"/>
    <x v="57"/>
    <x v="8"/>
    <n v="13.099838248999999"/>
  </r>
  <r>
    <x v="0"/>
    <x v="8"/>
    <x v="60"/>
    <x v="7"/>
    <x v="57"/>
    <x v="8"/>
    <n v="21.687816737999999"/>
  </r>
  <r>
    <x v="0"/>
    <x v="8"/>
    <x v="60"/>
    <x v="8"/>
    <x v="57"/>
    <x v="8"/>
    <n v="6.1131566719999997"/>
  </r>
  <r>
    <x v="0"/>
    <x v="8"/>
    <x v="60"/>
    <x v="9"/>
    <x v="57"/>
    <x v="8"/>
    <n v="20.786168952000001"/>
  </r>
  <r>
    <x v="0"/>
    <x v="8"/>
    <x v="60"/>
    <x v="10"/>
    <x v="57"/>
    <x v="8"/>
    <n v="19.464315728999999"/>
  </r>
  <r>
    <x v="0"/>
    <x v="8"/>
    <x v="60"/>
    <x v="11"/>
    <x v="57"/>
    <x v="8"/>
    <n v="111.776595035"/>
  </r>
  <r>
    <x v="0"/>
    <x v="8"/>
    <x v="60"/>
    <x v="12"/>
    <x v="57"/>
    <x v="8"/>
    <n v="4.6776495230000004"/>
  </r>
  <r>
    <x v="0"/>
    <x v="8"/>
    <x v="60"/>
    <x v="13"/>
    <x v="57"/>
    <x v="8"/>
    <n v="44.706724059999999"/>
  </r>
  <r>
    <x v="0"/>
    <x v="8"/>
    <x v="60"/>
    <x v="14"/>
    <x v="57"/>
    <x v="8"/>
    <n v="5.8818910109999996"/>
  </r>
  <r>
    <x v="0"/>
    <x v="8"/>
    <x v="60"/>
    <x v="15"/>
    <x v="57"/>
    <x v="8"/>
    <n v="39.798411041000001"/>
  </r>
  <r>
    <x v="0"/>
    <x v="8"/>
    <x v="60"/>
    <x v="16"/>
    <x v="57"/>
    <x v="8"/>
    <n v="34.214501556999998"/>
  </r>
  <r>
    <x v="0"/>
    <x v="8"/>
    <x v="60"/>
    <x v="17"/>
    <x v="57"/>
    <x v="8"/>
    <n v="55.906095059000002"/>
  </r>
  <r>
    <x v="0"/>
    <x v="8"/>
    <x v="60"/>
    <x v="18"/>
    <x v="57"/>
    <x v="8"/>
    <n v="29.735728552000001"/>
  </r>
  <r>
    <x v="0"/>
    <x v="8"/>
    <x v="60"/>
    <x v="19"/>
    <x v="57"/>
    <x v="8"/>
    <n v="169.93864654000001"/>
  </r>
  <r>
    <x v="0"/>
    <x v="8"/>
    <x v="60"/>
    <x v="20"/>
    <x v="57"/>
    <x v="8"/>
    <n v="25.003195491"/>
  </r>
  <r>
    <x v="0"/>
    <x v="8"/>
    <x v="60"/>
    <x v="21"/>
    <x v="57"/>
    <x v="8"/>
    <n v="0.50693811700000002"/>
  </r>
  <r>
    <x v="0"/>
    <x v="8"/>
    <x v="60"/>
    <x v="22"/>
    <x v="57"/>
    <x v="8"/>
    <n v="1.1554451910000001"/>
  </r>
  <r>
    <x v="0"/>
    <x v="8"/>
    <x v="60"/>
    <x v="23"/>
    <x v="57"/>
    <x v="8"/>
    <n v="0"/>
  </r>
  <r>
    <x v="0"/>
    <x v="8"/>
    <x v="60"/>
    <x v="24"/>
    <x v="57"/>
    <x v="8"/>
    <n v="0.172669725"/>
  </r>
  <r>
    <x v="0"/>
    <x v="8"/>
    <x v="60"/>
    <x v="25"/>
    <x v="57"/>
    <x v="8"/>
    <n v="5.9999999999999995E-8"/>
  </r>
  <r>
    <x v="0"/>
    <x v="8"/>
    <x v="60"/>
    <x v="26"/>
    <x v="57"/>
    <x v="8"/>
    <n v="0"/>
  </r>
  <r>
    <x v="0"/>
    <x v="8"/>
    <x v="60"/>
    <x v="27"/>
    <x v="57"/>
    <x v="8"/>
    <n v="2.97756854"/>
  </r>
  <r>
    <x v="0"/>
    <x v="8"/>
    <x v="60"/>
    <x v="28"/>
    <x v="57"/>
    <x v="8"/>
    <n v="0"/>
  </r>
  <r>
    <x v="0"/>
    <x v="8"/>
    <x v="60"/>
    <x v="29"/>
    <x v="57"/>
    <x v="8"/>
    <n v="34.538516766000001"/>
  </r>
  <r>
    <x v="0"/>
    <x v="8"/>
    <x v="60"/>
    <x v="30"/>
    <x v="57"/>
    <x v="8"/>
    <n v="21.962726954000001"/>
  </r>
  <r>
    <x v="0"/>
    <x v="8"/>
    <x v="60"/>
    <x v="31"/>
    <x v="57"/>
    <x v="8"/>
    <n v="5.2719298109999997"/>
  </r>
  <r>
    <x v="0"/>
    <x v="8"/>
    <x v="60"/>
    <x v="32"/>
    <x v="57"/>
    <x v="8"/>
    <n v="3.1980878669999999"/>
  </r>
  <r>
    <x v="0"/>
    <x v="8"/>
    <x v="60"/>
    <x v="33"/>
    <x v="57"/>
    <x v="8"/>
    <n v="0"/>
  </r>
  <r>
    <x v="0"/>
    <x v="8"/>
    <x v="60"/>
    <x v="34"/>
    <x v="57"/>
    <x v="8"/>
    <n v="35.829596234"/>
  </r>
  <r>
    <x v="0"/>
    <x v="8"/>
    <x v="60"/>
    <x v="35"/>
    <x v="57"/>
    <x v="8"/>
    <n v="3.5988031440000001"/>
  </r>
  <r>
    <x v="0"/>
    <x v="8"/>
    <x v="60"/>
    <x v="36"/>
    <x v="57"/>
    <x v="8"/>
    <n v="7.4528081090000002"/>
  </r>
  <r>
    <x v="0"/>
    <x v="8"/>
    <x v="60"/>
    <x v="37"/>
    <x v="57"/>
    <x v="8"/>
    <n v="2.051389812"/>
  </r>
  <r>
    <x v="0"/>
    <x v="8"/>
    <x v="60"/>
    <x v="38"/>
    <x v="57"/>
    <x v="8"/>
    <n v="9.5587463069999998"/>
  </r>
  <r>
    <x v="0"/>
    <x v="8"/>
    <x v="60"/>
    <x v="39"/>
    <x v="57"/>
    <x v="8"/>
    <n v="2.8642492129999999"/>
  </r>
  <r>
    <x v="0"/>
    <x v="8"/>
    <x v="60"/>
    <x v="40"/>
    <x v="57"/>
    <x v="8"/>
    <n v="21.407591200999999"/>
  </r>
  <r>
    <x v="0"/>
    <x v="8"/>
    <x v="60"/>
    <x v="41"/>
    <x v="57"/>
    <x v="8"/>
    <n v="7.1391726159999997"/>
  </r>
  <r>
    <x v="0"/>
    <x v="8"/>
    <x v="61"/>
    <x v="0"/>
    <x v="57"/>
    <x v="8"/>
    <n v="1.222082855"/>
  </r>
  <r>
    <x v="0"/>
    <x v="8"/>
    <x v="61"/>
    <x v="1"/>
    <x v="57"/>
    <x v="8"/>
    <n v="0.421839568"/>
  </r>
  <r>
    <x v="0"/>
    <x v="8"/>
    <x v="61"/>
    <x v="2"/>
    <x v="57"/>
    <x v="8"/>
    <n v="2.5906107440000001"/>
  </r>
  <r>
    <x v="0"/>
    <x v="8"/>
    <x v="61"/>
    <x v="3"/>
    <x v="57"/>
    <x v="8"/>
    <n v="0.384355424"/>
  </r>
  <r>
    <x v="0"/>
    <x v="8"/>
    <x v="61"/>
    <x v="4"/>
    <x v="57"/>
    <x v="8"/>
    <n v="0.70965656300000002"/>
  </r>
  <r>
    <x v="0"/>
    <x v="8"/>
    <x v="61"/>
    <x v="5"/>
    <x v="57"/>
    <x v="8"/>
    <n v="8.1009270400000002"/>
  </r>
  <r>
    <x v="0"/>
    <x v="8"/>
    <x v="61"/>
    <x v="6"/>
    <x v="57"/>
    <x v="8"/>
    <n v="15.322091226"/>
  </r>
  <r>
    <x v="0"/>
    <x v="8"/>
    <x v="61"/>
    <x v="7"/>
    <x v="57"/>
    <x v="8"/>
    <n v="31.453482484999999"/>
  </r>
  <r>
    <x v="0"/>
    <x v="8"/>
    <x v="61"/>
    <x v="8"/>
    <x v="57"/>
    <x v="8"/>
    <n v="12.143142498"/>
  </r>
  <r>
    <x v="0"/>
    <x v="8"/>
    <x v="61"/>
    <x v="9"/>
    <x v="57"/>
    <x v="8"/>
    <n v="27.611980481"/>
  </r>
  <r>
    <x v="0"/>
    <x v="8"/>
    <x v="61"/>
    <x v="10"/>
    <x v="57"/>
    <x v="8"/>
    <n v="11.052636043"/>
  </r>
  <r>
    <x v="0"/>
    <x v="8"/>
    <x v="61"/>
    <x v="11"/>
    <x v="57"/>
    <x v="8"/>
    <n v="59.574082423"/>
  </r>
  <r>
    <x v="0"/>
    <x v="8"/>
    <x v="61"/>
    <x v="12"/>
    <x v="57"/>
    <x v="8"/>
    <n v="13.664503119999999"/>
  </r>
  <r>
    <x v="0"/>
    <x v="8"/>
    <x v="61"/>
    <x v="13"/>
    <x v="57"/>
    <x v="8"/>
    <n v="34.663495138999998"/>
  </r>
  <r>
    <x v="0"/>
    <x v="8"/>
    <x v="61"/>
    <x v="14"/>
    <x v="57"/>
    <x v="8"/>
    <n v="25.631200916000001"/>
  </r>
  <r>
    <x v="0"/>
    <x v="8"/>
    <x v="61"/>
    <x v="15"/>
    <x v="57"/>
    <x v="8"/>
    <n v="34.717114553999998"/>
  </r>
  <r>
    <x v="0"/>
    <x v="8"/>
    <x v="61"/>
    <x v="16"/>
    <x v="57"/>
    <x v="8"/>
    <n v="16.259638115000001"/>
  </r>
  <r>
    <x v="0"/>
    <x v="8"/>
    <x v="61"/>
    <x v="17"/>
    <x v="57"/>
    <x v="8"/>
    <n v="27.40787134"/>
  </r>
  <r>
    <x v="0"/>
    <x v="8"/>
    <x v="61"/>
    <x v="18"/>
    <x v="57"/>
    <x v="8"/>
    <n v="62.109482796999998"/>
  </r>
  <r>
    <x v="0"/>
    <x v="8"/>
    <x v="61"/>
    <x v="19"/>
    <x v="57"/>
    <x v="8"/>
    <n v="143.398430789"/>
  </r>
  <r>
    <x v="0"/>
    <x v="8"/>
    <x v="61"/>
    <x v="20"/>
    <x v="57"/>
    <x v="8"/>
    <n v="10.416499245000001"/>
  </r>
  <r>
    <x v="0"/>
    <x v="8"/>
    <x v="61"/>
    <x v="21"/>
    <x v="57"/>
    <x v="8"/>
    <n v="2.2172308279999999"/>
  </r>
  <r>
    <x v="0"/>
    <x v="8"/>
    <x v="61"/>
    <x v="22"/>
    <x v="57"/>
    <x v="8"/>
    <n v="4.9357926540000001"/>
  </r>
  <r>
    <x v="0"/>
    <x v="8"/>
    <x v="61"/>
    <x v="23"/>
    <x v="57"/>
    <x v="8"/>
    <n v="0"/>
  </r>
  <r>
    <x v="0"/>
    <x v="8"/>
    <x v="61"/>
    <x v="24"/>
    <x v="57"/>
    <x v="8"/>
    <n v="0.58675512500000004"/>
  </r>
  <r>
    <x v="0"/>
    <x v="8"/>
    <x v="61"/>
    <x v="25"/>
    <x v="57"/>
    <x v="8"/>
    <n v="0"/>
  </r>
  <r>
    <x v="0"/>
    <x v="8"/>
    <x v="61"/>
    <x v="26"/>
    <x v="57"/>
    <x v="8"/>
    <n v="0"/>
  </r>
  <r>
    <x v="0"/>
    <x v="8"/>
    <x v="61"/>
    <x v="27"/>
    <x v="57"/>
    <x v="8"/>
    <n v="2.6732454780000001"/>
  </r>
  <r>
    <x v="0"/>
    <x v="8"/>
    <x v="61"/>
    <x v="28"/>
    <x v="57"/>
    <x v="8"/>
    <n v="80.312970483000001"/>
  </r>
  <r>
    <x v="0"/>
    <x v="8"/>
    <x v="61"/>
    <x v="29"/>
    <x v="57"/>
    <x v="8"/>
    <n v="33.544655253999998"/>
  </r>
  <r>
    <x v="0"/>
    <x v="8"/>
    <x v="61"/>
    <x v="30"/>
    <x v="57"/>
    <x v="8"/>
    <n v="1.268192279"/>
  </r>
  <r>
    <x v="0"/>
    <x v="8"/>
    <x v="61"/>
    <x v="31"/>
    <x v="57"/>
    <x v="8"/>
    <n v="8.8127617390000008"/>
  </r>
  <r>
    <x v="0"/>
    <x v="8"/>
    <x v="61"/>
    <x v="32"/>
    <x v="57"/>
    <x v="8"/>
    <n v="3.8572223029999999"/>
  </r>
  <r>
    <x v="0"/>
    <x v="8"/>
    <x v="61"/>
    <x v="33"/>
    <x v="57"/>
    <x v="8"/>
    <n v="0"/>
  </r>
  <r>
    <x v="0"/>
    <x v="8"/>
    <x v="61"/>
    <x v="34"/>
    <x v="57"/>
    <x v="8"/>
    <n v="21.974444818999999"/>
  </r>
  <r>
    <x v="0"/>
    <x v="8"/>
    <x v="61"/>
    <x v="35"/>
    <x v="57"/>
    <x v="8"/>
    <n v="0.13362718400000001"/>
  </r>
  <r>
    <x v="0"/>
    <x v="8"/>
    <x v="61"/>
    <x v="36"/>
    <x v="57"/>
    <x v="8"/>
    <n v="0.50972324499999999"/>
  </r>
  <r>
    <x v="0"/>
    <x v="8"/>
    <x v="61"/>
    <x v="37"/>
    <x v="57"/>
    <x v="8"/>
    <n v="0.326405632"/>
  </r>
  <r>
    <x v="0"/>
    <x v="8"/>
    <x v="61"/>
    <x v="38"/>
    <x v="57"/>
    <x v="8"/>
    <n v="8.9327191E-2"/>
  </r>
  <r>
    <x v="0"/>
    <x v="8"/>
    <x v="61"/>
    <x v="39"/>
    <x v="57"/>
    <x v="8"/>
    <n v="0.107816087"/>
  </r>
  <r>
    <x v="0"/>
    <x v="8"/>
    <x v="61"/>
    <x v="40"/>
    <x v="57"/>
    <x v="8"/>
    <n v="2.1337940830000002"/>
  </r>
  <r>
    <x v="0"/>
    <x v="8"/>
    <x v="61"/>
    <x v="41"/>
    <x v="57"/>
    <x v="8"/>
    <n v="0.17298258499999999"/>
  </r>
  <r>
    <x v="0"/>
    <x v="8"/>
    <x v="62"/>
    <x v="0"/>
    <x v="57"/>
    <x v="9"/>
    <n v="3.8142746999999998E-2"/>
  </r>
  <r>
    <x v="0"/>
    <x v="8"/>
    <x v="62"/>
    <x v="1"/>
    <x v="57"/>
    <x v="9"/>
    <n v="3.8142746999999998E-2"/>
  </r>
  <r>
    <x v="0"/>
    <x v="8"/>
    <x v="62"/>
    <x v="2"/>
    <x v="57"/>
    <x v="9"/>
    <n v="3.8142746999999998E-2"/>
  </r>
  <r>
    <x v="0"/>
    <x v="8"/>
    <x v="62"/>
    <x v="3"/>
    <x v="57"/>
    <x v="9"/>
    <n v="3.8142746999999998E-2"/>
  </r>
  <r>
    <x v="0"/>
    <x v="8"/>
    <x v="62"/>
    <x v="4"/>
    <x v="57"/>
    <x v="9"/>
    <n v="3.8142746999999998E-2"/>
  </r>
  <r>
    <x v="0"/>
    <x v="8"/>
    <x v="62"/>
    <x v="5"/>
    <x v="57"/>
    <x v="9"/>
    <n v="3.8142746999999998E-2"/>
  </r>
  <r>
    <x v="0"/>
    <x v="8"/>
    <x v="62"/>
    <x v="6"/>
    <x v="57"/>
    <x v="9"/>
    <n v="3.8142746999999998E-2"/>
  </r>
  <r>
    <x v="0"/>
    <x v="8"/>
    <x v="62"/>
    <x v="7"/>
    <x v="57"/>
    <x v="9"/>
    <n v="3.8142746999999998E-2"/>
  </r>
  <r>
    <x v="0"/>
    <x v="8"/>
    <x v="62"/>
    <x v="8"/>
    <x v="57"/>
    <x v="9"/>
    <n v="3.8142746999999998E-2"/>
  </r>
  <r>
    <x v="0"/>
    <x v="8"/>
    <x v="62"/>
    <x v="9"/>
    <x v="57"/>
    <x v="9"/>
    <n v="3.8142746999999998E-2"/>
  </r>
  <r>
    <x v="0"/>
    <x v="8"/>
    <x v="62"/>
    <x v="10"/>
    <x v="57"/>
    <x v="9"/>
    <n v="3.8142746999999998E-2"/>
  </r>
  <r>
    <x v="0"/>
    <x v="8"/>
    <x v="62"/>
    <x v="11"/>
    <x v="57"/>
    <x v="9"/>
    <n v="3.8142746999999998E-2"/>
  </r>
  <r>
    <x v="0"/>
    <x v="8"/>
    <x v="62"/>
    <x v="12"/>
    <x v="57"/>
    <x v="9"/>
    <n v="3.8142746999999998E-2"/>
  </r>
  <r>
    <x v="0"/>
    <x v="8"/>
    <x v="62"/>
    <x v="13"/>
    <x v="57"/>
    <x v="9"/>
    <n v="3.8142746999999998E-2"/>
  </r>
  <r>
    <x v="0"/>
    <x v="8"/>
    <x v="62"/>
    <x v="14"/>
    <x v="57"/>
    <x v="9"/>
    <n v="3.8142746999999998E-2"/>
  </r>
  <r>
    <x v="0"/>
    <x v="8"/>
    <x v="62"/>
    <x v="15"/>
    <x v="57"/>
    <x v="9"/>
    <n v="3.8142746999999998E-2"/>
  </r>
  <r>
    <x v="0"/>
    <x v="8"/>
    <x v="62"/>
    <x v="16"/>
    <x v="57"/>
    <x v="9"/>
    <n v="3.8142746999999998E-2"/>
  </r>
  <r>
    <x v="0"/>
    <x v="8"/>
    <x v="62"/>
    <x v="17"/>
    <x v="57"/>
    <x v="9"/>
    <n v="3.8142746999999998E-2"/>
  </r>
  <r>
    <x v="0"/>
    <x v="8"/>
    <x v="62"/>
    <x v="18"/>
    <x v="57"/>
    <x v="9"/>
    <n v="3.8142746999999998E-2"/>
  </r>
  <r>
    <x v="0"/>
    <x v="8"/>
    <x v="62"/>
    <x v="19"/>
    <x v="57"/>
    <x v="9"/>
    <n v="3.8142746999999998E-2"/>
  </r>
  <r>
    <x v="0"/>
    <x v="8"/>
    <x v="62"/>
    <x v="20"/>
    <x v="57"/>
    <x v="9"/>
    <n v="3.8142746999999998E-2"/>
  </r>
  <r>
    <x v="0"/>
    <x v="8"/>
    <x v="62"/>
    <x v="21"/>
    <x v="57"/>
    <x v="9"/>
    <n v="3.8142746999999998E-2"/>
  </r>
  <r>
    <x v="0"/>
    <x v="8"/>
    <x v="62"/>
    <x v="22"/>
    <x v="57"/>
    <x v="9"/>
    <n v="3.8142746999999998E-2"/>
  </r>
  <r>
    <x v="0"/>
    <x v="8"/>
    <x v="62"/>
    <x v="23"/>
    <x v="57"/>
    <x v="9"/>
    <n v="1"/>
  </r>
  <r>
    <x v="0"/>
    <x v="8"/>
    <x v="62"/>
    <x v="24"/>
    <x v="57"/>
    <x v="9"/>
    <n v="3.8142746999999998E-2"/>
  </r>
  <r>
    <x v="0"/>
    <x v="8"/>
    <x v="62"/>
    <x v="25"/>
    <x v="57"/>
    <x v="9"/>
    <n v="3.8142746999999998E-2"/>
  </r>
  <r>
    <x v="0"/>
    <x v="8"/>
    <x v="62"/>
    <x v="26"/>
    <x v="57"/>
    <x v="9"/>
    <n v="1"/>
  </r>
  <r>
    <x v="0"/>
    <x v="8"/>
    <x v="62"/>
    <x v="27"/>
    <x v="57"/>
    <x v="9"/>
    <n v="3.8142746999999998E-2"/>
  </r>
  <r>
    <x v="0"/>
    <x v="8"/>
    <x v="62"/>
    <x v="28"/>
    <x v="57"/>
    <x v="9"/>
    <n v="1"/>
  </r>
  <r>
    <x v="0"/>
    <x v="8"/>
    <x v="62"/>
    <x v="29"/>
    <x v="57"/>
    <x v="9"/>
    <n v="3.8142746999999998E-2"/>
  </r>
  <r>
    <x v="0"/>
    <x v="8"/>
    <x v="62"/>
    <x v="30"/>
    <x v="57"/>
    <x v="9"/>
    <n v="3.8142746999999998E-2"/>
  </r>
  <r>
    <x v="0"/>
    <x v="8"/>
    <x v="62"/>
    <x v="31"/>
    <x v="57"/>
    <x v="9"/>
    <n v="3.8142746999999998E-2"/>
  </r>
  <r>
    <x v="0"/>
    <x v="8"/>
    <x v="62"/>
    <x v="32"/>
    <x v="57"/>
    <x v="9"/>
    <n v="3.8142746999999998E-2"/>
  </r>
  <r>
    <x v="0"/>
    <x v="8"/>
    <x v="62"/>
    <x v="33"/>
    <x v="57"/>
    <x v="9"/>
    <n v="1"/>
  </r>
  <r>
    <x v="0"/>
    <x v="8"/>
    <x v="62"/>
    <x v="34"/>
    <x v="57"/>
    <x v="9"/>
    <n v="3.8142746999999998E-2"/>
  </r>
  <r>
    <x v="0"/>
    <x v="8"/>
    <x v="62"/>
    <x v="35"/>
    <x v="57"/>
    <x v="9"/>
    <n v="3.8142746999999998E-2"/>
  </r>
  <r>
    <x v="0"/>
    <x v="8"/>
    <x v="62"/>
    <x v="36"/>
    <x v="57"/>
    <x v="9"/>
    <n v="3.8142746999999998E-2"/>
  </r>
  <r>
    <x v="0"/>
    <x v="8"/>
    <x v="62"/>
    <x v="37"/>
    <x v="57"/>
    <x v="9"/>
    <n v="3.8142746999999998E-2"/>
  </r>
  <r>
    <x v="0"/>
    <x v="8"/>
    <x v="62"/>
    <x v="38"/>
    <x v="57"/>
    <x v="9"/>
    <n v="3.8142746999999998E-2"/>
  </r>
  <r>
    <x v="0"/>
    <x v="8"/>
    <x v="62"/>
    <x v="39"/>
    <x v="57"/>
    <x v="9"/>
    <n v="3.8142746999999998E-2"/>
  </r>
  <r>
    <x v="0"/>
    <x v="8"/>
    <x v="62"/>
    <x v="40"/>
    <x v="57"/>
    <x v="9"/>
    <n v="3.8142746999999998E-2"/>
  </r>
  <r>
    <x v="0"/>
    <x v="8"/>
    <x v="62"/>
    <x v="41"/>
    <x v="57"/>
    <x v="9"/>
    <n v="3.8142746999999998E-2"/>
  </r>
  <r>
    <x v="0"/>
    <x v="8"/>
    <x v="63"/>
    <x v="0"/>
    <x v="57"/>
    <x v="9"/>
    <n v="5.0862217000000001E-2"/>
  </r>
  <r>
    <x v="0"/>
    <x v="8"/>
    <x v="63"/>
    <x v="1"/>
    <x v="57"/>
    <x v="9"/>
    <n v="3.3576611999999999E-2"/>
  </r>
  <r>
    <x v="0"/>
    <x v="8"/>
    <x v="63"/>
    <x v="2"/>
    <x v="57"/>
    <x v="9"/>
    <n v="2.9022433E-2"/>
  </r>
  <r>
    <x v="0"/>
    <x v="8"/>
    <x v="63"/>
    <x v="3"/>
    <x v="57"/>
    <x v="9"/>
    <n v="3.2293565000000003E-2"/>
  </r>
  <r>
    <x v="0"/>
    <x v="8"/>
    <x v="63"/>
    <x v="4"/>
    <x v="57"/>
    <x v="9"/>
    <n v="3.0453079000000001E-2"/>
  </r>
  <r>
    <x v="0"/>
    <x v="8"/>
    <x v="63"/>
    <x v="5"/>
    <x v="57"/>
    <x v="9"/>
    <n v="3.3221143000000002E-2"/>
  </r>
  <r>
    <x v="0"/>
    <x v="8"/>
    <x v="63"/>
    <x v="6"/>
    <x v="57"/>
    <x v="9"/>
    <n v="3.1968650000000001E-2"/>
  </r>
  <r>
    <x v="0"/>
    <x v="8"/>
    <x v="63"/>
    <x v="7"/>
    <x v="57"/>
    <x v="9"/>
    <n v="3.2695412E-2"/>
  </r>
  <r>
    <x v="0"/>
    <x v="8"/>
    <x v="63"/>
    <x v="8"/>
    <x v="57"/>
    <x v="9"/>
    <n v="3.1311933E-2"/>
  </r>
  <r>
    <x v="0"/>
    <x v="8"/>
    <x v="63"/>
    <x v="9"/>
    <x v="57"/>
    <x v="9"/>
    <n v="2.7962902000000001E-2"/>
  </r>
  <r>
    <x v="0"/>
    <x v="8"/>
    <x v="63"/>
    <x v="10"/>
    <x v="57"/>
    <x v="9"/>
    <n v="2.2123362000000001E-2"/>
  </r>
  <r>
    <x v="0"/>
    <x v="8"/>
    <x v="63"/>
    <x v="11"/>
    <x v="57"/>
    <x v="9"/>
    <n v="2.6046982E-2"/>
  </r>
  <r>
    <x v="0"/>
    <x v="8"/>
    <x v="63"/>
    <x v="12"/>
    <x v="57"/>
    <x v="9"/>
    <n v="2.7475830999999999E-2"/>
  </r>
  <r>
    <x v="0"/>
    <x v="8"/>
    <x v="63"/>
    <x v="13"/>
    <x v="57"/>
    <x v="9"/>
    <n v="2.3591943000000001E-2"/>
  </r>
  <r>
    <x v="0"/>
    <x v="8"/>
    <x v="63"/>
    <x v="14"/>
    <x v="57"/>
    <x v="9"/>
    <n v="2.5409377E-2"/>
  </r>
  <r>
    <x v="0"/>
    <x v="8"/>
    <x v="63"/>
    <x v="15"/>
    <x v="57"/>
    <x v="9"/>
    <n v="2.8367989E-2"/>
  </r>
  <r>
    <x v="0"/>
    <x v="8"/>
    <x v="63"/>
    <x v="16"/>
    <x v="57"/>
    <x v="9"/>
    <n v="2.9232912E-2"/>
  </r>
  <r>
    <x v="0"/>
    <x v="8"/>
    <x v="63"/>
    <x v="17"/>
    <x v="57"/>
    <x v="9"/>
    <n v="2.8328776E-2"/>
  </r>
  <r>
    <x v="0"/>
    <x v="8"/>
    <x v="63"/>
    <x v="18"/>
    <x v="57"/>
    <x v="9"/>
    <n v="2.5825298E-2"/>
  </r>
  <r>
    <x v="0"/>
    <x v="8"/>
    <x v="63"/>
    <x v="19"/>
    <x v="57"/>
    <x v="9"/>
    <n v="3.0416634000000001E-2"/>
  </r>
  <r>
    <x v="0"/>
    <x v="8"/>
    <x v="63"/>
    <x v="20"/>
    <x v="57"/>
    <x v="9"/>
    <n v="3.0205946000000001E-2"/>
  </r>
  <r>
    <x v="0"/>
    <x v="8"/>
    <x v="63"/>
    <x v="21"/>
    <x v="57"/>
    <x v="9"/>
    <n v="2.7943595000000002E-2"/>
  </r>
  <r>
    <x v="0"/>
    <x v="8"/>
    <x v="63"/>
    <x v="22"/>
    <x v="57"/>
    <x v="9"/>
    <n v="1.5285033E-2"/>
  </r>
  <r>
    <x v="0"/>
    <x v="8"/>
    <x v="63"/>
    <x v="23"/>
    <x v="57"/>
    <x v="9"/>
    <n v="1"/>
  </r>
  <r>
    <x v="0"/>
    <x v="8"/>
    <x v="63"/>
    <x v="24"/>
    <x v="57"/>
    <x v="9"/>
    <n v="2.4058289E-2"/>
  </r>
  <r>
    <x v="0"/>
    <x v="8"/>
    <x v="63"/>
    <x v="25"/>
    <x v="57"/>
    <x v="9"/>
    <n v="1"/>
  </r>
  <r>
    <x v="0"/>
    <x v="8"/>
    <x v="63"/>
    <x v="26"/>
    <x v="57"/>
    <x v="9"/>
    <n v="1"/>
  </r>
  <r>
    <x v="0"/>
    <x v="8"/>
    <x v="63"/>
    <x v="27"/>
    <x v="57"/>
    <x v="9"/>
    <n v="3.1351912000000003E-2"/>
  </r>
  <r>
    <x v="0"/>
    <x v="8"/>
    <x v="63"/>
    <x v="28"/>
    <x v="57"/>
    <x v="9"/>
    <n v="3.3091054000000002E-2"/>
  </r>
  <r>
    <x v="0"/>
    <x v="8"/>
    <x v="63"/>
    <x v="29"/>
    <x v="57"/>
    <x v="9"/>
    <n v="2.8467856E-2"/>
  </r>
  <r>
    <x v="0"/>
    <x v="8"/>
    <x v="63"/>
    <x v="30"/>
    <x v="57"/>
    <x v="9"/>
    <n v="4.0154914E-2"/>
  </r>
  <r>
    <x v="0"/>
    <x v="8"/>
    <x v="63"/>
    <x v="31"/>
    <x v="57"/>
    <x v="9"/>
    <n v="2.6249499999999999E-2"/>
  </r>
  <r>
    <x v="0"/>
    <x v="8"/>
    <x v="63"/>
    <x v="32"/>
    <x v="57"/>
    <x v="9"/>
    <n v="2.7898445000000001E-2"/>
  </r>
  <r>
    <x v="0"/>
    <x v="8"/>
    <x v="63"/>
    <x v="33"/>
    <x v="57"/>
    <x v="9"/>
    <n v="1"/>
  </r>
  <r>
    <x v="0"/>
    <x v="8"/>
    <x v="63"/>
    <x v="34"/>
    <x v="57"/>
    <x v="9"/>
    <n v="2.9002897E-2"/>
  </r>
  <r>
    <x v="0"/>
    <x v="8"/>
    <x v="63"/>
    <x v="35"/>
    <x v="57"/>
    <x v="9"/>
    <n v="2.9484680999999999E-2"/>
  </r>
  <r>
    <x v="0"/>
    <x v="8"/>
    <x v="63"/>
    <x v="36"/>
    <x v="57"/>
    <x v="9"/>
    <n v="3.1253585E-2"/>
  </r>
  <r>
    <x v="0"/>
    <x v="8"/>
    <x v="63"/>
    <x v="37"/>
    <x v="57"/>
    <x v="9"/>
    <n v="3.9533789999999999E-2"/>
  </r>
  <r>
    <x v="0"/>
    <x v="8"/>
    <x v="63"/>
    <x v="38"/>
    <x v="57"/>
    <x v="9"/>
    <n v="5.1097836000000001E-2"/>
  </r>
  <r>
    <x v="0"/>
    <x v="8"/>
    <x v="63"/>
    <x v="39"/>
    <x v="57"/>
    <x v="9"/>
    <n v="3.8576651000000003E-2"/>
  </r>
  <r>
    <x v="0"/>
    <x v="8"/>
    <x v="63"/>
    <x v="40"/>
    <x v="57"/>
    <x v="9"/>
    <n v="3.6781792000000001E-2"/>
  </r>
  <r>
    <x v="0"/>
    <x v="8"/>
    <x v="63"/>
    <x v="41"/>
    <x v="57"/>
    <x v="9"/>
    <n v="4.1756962000000002E-2"/>
  </r>
  <r>
    <x v="0"/>
    <x v="8"/>
    <x v="64"/>
    <x v="0"/>
    <x v="57"/>
    <x v="10"/>
    <n v="0"/>
  </r>
  <r>
    <x v="0"/>
    <x v="8"/>
    <x v="64"/>
    <x v="1"/>
    <x v="57"/>
    <x v="10"/>
    <n v="0"/>
  </r>
  <r>
    <x v="0"/>
    <x v="8"/>
    <x v="64"/>
    <x v="2"/>
    <x v="57"/>
    <x v="10"/>
    <n v="0"/>
  </r>
  <r>
    <x v="0"/>
    <x v="8"/>
    <x v="64"/>
    <x v="3"/>
    <x v="57"/>
    <x v="10"/>
    <n v="0"/>
  </r>
  <r>
    <x v="0"/>
    <x v="8"/>
    <x v="64"/>
    <x v="4"/>
    <x v="57"/>
    <x v="10"/>
    <n v="0"/>
  </r>
  <r>
    <x v="0"/>
    <x v="8"/>
    <x v="64"/>
    <x v="5"/>
    <x v="57"/>
    <x v="10"/>
    <n v="0"/>
  </r>
  <r>
    <x v="0"/>
    <x v="8"/>
    <x v="64"/>
    <x v="6"/>
    <x v="57"/>
    <x v="10"/>
    <n v="0"/>
  </r>
  <r>
    <x v="0"/>
    <x v="8"/>
    <x v="64"/>
    <x v="7"/>
    <x v="57"/>
    <x v="10"/>
    <n v="0"/>
  </r>
  <r>
    <x v="0"/>
    <x v="8"/>
    <x v="64"/>
    <x v="8"/>
    <x v="57"/>
    <x v="10"/>
    <n v="0"/>
  </r>
  <r>
    <x v="0"/>
    <x v="8"/>
    <x v="64"/>
    <x v="9"/>
    <x v="57"/>
    <x v="10"/>
    <n v="0"/>
  </r>
  <r>
    <x v="0"/>
    <x v="8"/>
    <x v="64"/>
    <x v="10"/>
    <x v="57"/>
    <x v="10"/>
    <n v="0"/>
  </r>
  <r>
    <x v="0"/>
    <x v="8"/>
    <x v="64"/>
    <x v="11"/>
    <x v="57"/>
    <x v="10"/>
    <n v="0"/>
  </r>
  <r>
    <x v="0"/>
    <x v="8"/>
    <x v="64"/>
    <x v="12"/>
    <x v="57"/>
    <x v="10"/>
    <n v="0"/>
  </r>
  <r>
    <x v="0"/>
    <x v="8"/>
    <x v="64"/>
    <x v="13"/>
    <x v="57"/>
    <x v="10"/>
    <n v="0"/>
  </r>
  <r>
    <x v="0"/>
    <x v="8"/>
    <x v="64"/>
    <x v="14"/>
    <x v="57"/>
    <x v="10"/>
    <n v="0"/>
  </r>
  <r>
    <x v="0"/>
    <x v="8"/>
    <x v="64"/>
    <x v="15"/>
    <x v="57"/>
    <x v="10"/>
    <n v="0"/>
  </r>
  <r>
    <x v="0"/>
    <x v="8"/>
    <x v="64"/>
    <x v="16"/>
    <x v="57"/>
    <x v="10"/>
    <n v="0"/>
  </r>
  <r>
    <x v="0"/>
    <x v="8"/>
    <x v="64"/>
    <x v="17"/>
    <x v="57"/>
    <x v="10"/>
    <n v="0"/>
  </r>
  <r>
    <x v="0"/>
    <x v="8"/>
    <x v="64"/>
    <x v="18"/>
    <x v="57"/>
    <x v="10"/>
    <n v="0"/>
  </r>
  <r>
    <x v="0"/>
    <x v="8"/>
    <x v="64"/>
    <x v="19"/>
    <x v="57"/>
    <x v="10"/>
    <n v="0"/>
  </r>
  <r>
    <x v="0"/>
    <x v="8"/>
    <x v="64"/>
    <x v="20"/>
    <x v="57"/>
    <x v="10"/>
    <n v="0"/>
  </r>
  <r>
    <x v="0"/>
    <x v="8"/>
    <x v="64"/>
    <x v="21"/>
    <x v="57"/>
    <x v="10"/>
    <n v="0"/>
  </r>
  <r>
    <x v="0"/>
    <x v="8"/>
    <x v="64"/>
    <x v="22"/>
    <x v="57"/>
    <x v="10"/>
    <n v="0"/>
  </r>
  <r>
    <x v="0"/>
    <x v="8"/>
    <x v="64"/>
    <x v="23"/>
    <x v="57"/>
    <x v="10"/>
    <n v="0"/>
  </r>
  <r>
    <x v="0"/>
    <x v="8"/>
    <x v="64"/>
    <x v="24"/>
    <x v="57"/>
    <x v="10"/>
    <n v="0"/>
  </r>
  <r>
    <x v="0"/>
    <x v="8"/>
    <x v="64"/>
    <x v="25"/>
    <x v="57"/>
    <x v="10"/>
    <n v="0"/>
  </r>
  <r>
    <x v="0"/>
    <x v="8"/>
    <x v="64"/>
    <x v="26"/>
    <x v="57"/>
    <x v="10"/>
    <n v="0"/>
  </r>
  <r>
    <x v="0"/>
    <x v="8"/>
    <x v="64"/>
    <x v="27"/>
    <x v="57"/>
    <x v="10"/>
    <n v="0"/>
  </r>
  <r>
    <x v="0"/>
    <x v="8"/>
    <x v="64"/>
    <x v="28"/>
    <x v="57"/>
    <x v="10"/>
    <n v="0"/>
  </r>
  <r>
    <x v="0"/>
    <x v="8"/>
    <x v="64"/>
    <x v="29"/>
    <x v="57"/>
    <x v="10"/>
    <n v="0"/>
  </r>
  <r>
    <x v="0"/>
    <x v="8"/>
    <x v="64"/>
    <x v="30"/>
    <x v="57"/>
    <x v="10"/>
    <n v="0"/>
  </r>
  <r>
    <x v="0"/>
    <x v="8"/>
    <x v="64"/>
    <x v="31"/>
    <x v="57"/>
    <x v="10"/>
    <n v="0"/>
  </r>
  <r>
    <x v="0"/>
    <x v="8"/>
    <x v="64"/>
    <x v="32"/>
    <x v="57"/>
    <x v="10"/>
    <n v="0"/>
  </r>
  <r>
    <x v="0"/>
    <x v="8"/>
    <x v="64"/>
    <x v="33"/>
    <x v="57"/>
    <x v="10"/>
    <n v="0"/>
  </r>
  <r>
    <x v="0"/>
    <x v="8"/>
    <x v="64"/>
    <x v="34"/>
    <x v="57"/>
    <x v="10"/>
    <n v="0"/>
  </r>
  <r>
    <x v="0"/>
    <x v="8"/>
    <x v="64"/>
    <x v="35"/>
    <x v="57"/>
    <x v="10"/>
    <n v="0"/>
  </r>
  <r>
    <x v="0"/>
    <x v="8"/>
    <x v="64"/>
    <x v="36"/>
    <x v="57"/>
    <x v="10"/>
    <n v="0"/>
  </r>
  <r>
    <x v="0"/>
    <x v="8"/>
    <x v="64"/>
    <x v="37"/>
    <x v="57"/>
    <x v="10"/>
    <n v="0"/>
  </r>
  <r>
    <x v="0"/>
    <x v="8"/>
    <x v="64"/>
    <x v="38"/>
    <x v="57"/>
    <x v="10"/>
    <n v="0"/>
  </r>
  <r>
    <x v="0"/>
    <x v="8"/>
    <x v="64"/>
    <x v="39"/>
    <x v="57"/>
    <x v="10"/>
    <n v="0"/>
  </r>
  <r>
    <x v="0"/>
    <x v="8"/>
    <x v="64"/>
    <x v="40"/>
    <x v="57"/>
    <x v="10"/>
    <n v="0"/>
  </r>
  <r>
    <x v="0"/>
    <x v="8"/>
    <x v="64"/>
    <x v="41"/>
    <x v="57"/>
    <x v="10"/>
    <n v="0"/>
  </r>
  <r>
    <x v="0"/>
    <x v="8"/>
    <x v="65"/>
    <x v="48"/>
    <x v="58"/>
    <x v="11"/>
    <n v="1710.156438303"/>
  </r>
  <r>
    <x v="0"/>
    <x v="8"/>
    <x v="65"/>
    <x v="49"/>
    <x v="58"/>
    <x v="11"/>
    <n v="1652.89678951"/>
  </r>
  <r>
    <x v="0"/>
    <x v="8"/>
    <x v="66"/>
    <x v="48"/>
    <x v="58"/>
    <x v="12"/>
    <n v="6.6228685999999995E-2"/>
  </r>
  <r>
    <x v="0"/>
    <x v="8"/>
    <x v="66"/>
    <x v="49"/>
    <x v="58"/>
    <x v="12"/>
    <n v="6.4011209999999999E-2"/>
  </r>
  <r>
    <x v="0"/>
    <x v="9"/>
    <x v="0"/>
    <x v="0"/>
    <x v="0"/>
    <x v="0"/>
    <n v="665.46311005400003"/>
  </r>
  <r>
    <x v="0"/>
    <x v="9"/>
    <x v="1"/>
    <x v="0"/>
    <x v="0"/>
    <x v="1"/>
    <n v="0.104309111"/>
  </r>
  <r>
    <x v="0"/>
    <x v="9"/>
    <x v="2"/>
    <x v="0"/>
    <x v="0"/>
    <x v="1"/>
    <n v="254.26608286800001"/>
  </r>
  <r>
    <x v="0"/>
    <x v="9"/>
    <x v="3"/>
    <x v="0"/>
    <x v="0"/>
    <x v="1"/>
    <n v="0.12718563599999999"/>
  </r>
  <r>
    <x v="0"/>
    <x v="9"/>
    <x v="0"/>
    <x v="1"/>
    <x v="0"/>
    <x v="0"/>
    <n v="204.38828211399999"/>
  </r>
  <r>
    <x v="0"/>
    <x v="9"/>
    <x v="1"/>
    <x v="1"/>
    <x v="0"/>
    <x v="1"/>
    <n v="5.8249088999999997E-2"/>
  </r>
  <r>
    <x v="0"/>
    <x v="9"/>
    <x v="2"/>
    <x v="1"/>
    <x v="0"/>
    <x v="1"/>
    <n v="124.562347848"/>
  </r>
  <r>
    <x v="0"/>
    <x v="9"/>
    <x v="3"/>
    <x v="1"/>
    <x v="0"/>
    <x v="1"/>
    <n v="7.4278373999999994E-2"/>
  </r>
  <r>
    <x v="0"/>
    <x v="9"/>
    <x v="0"/>
    <x v="2"/>
    <x v="0"/>
    <x v="0"/>
    <n v="230.39663266100001"/>
  </r>
  <r>
    <x v="0"/>
    <x v="9"/>
    <x v="1"/>
    <x v="2"/>
    <x v="0"/>
    <x v="1"/>
    <n v="3.6759066E-2"/>
  </r>
  <r>
    <x v="0"/>
    <x v="9"/>
    <x v="2"/>
    <x v="2"/>
    <x v="0"/>
    <x v="1"/>
    <n v="132.05816521899999"/>
  </r>
  <r>
    <x v="0"/>
    <x v="9"/>
    <x v="3"/>
    <x v="2"/>
    <x v="0"/>
    <x v="1"/>
    <n v="2.5715649E-2"/>
  </r>
  <r>
    <x v="0"/>
    <x v="9"/>
    <x v="0"/>
    <x v="3"/>
    <x v="0"/>
    <x v="0"/>
    <n v="112.43554832"/>
  </r>
  <r>
    <x v="0"/>
    <x v="9"/>
    <x v="1"/>
    <x v="3"/>
    <x v="0"/>
    <x v="1"/>
    <n v="4.7761322000000002E-2"/>
  </r>
  <r>
    <x v="0"/>
    <x v="9"/>
    <x v="2"/>
    <x v="3"/>
    <x v="0"/>
    <x v="1"/>
    <n v="76.579170051999995"/>
  </r>
  <r>
    <x v="0"/>
    <x v="9"/>
    <x v="3"/>
    <x v="3"/>
    <x v="0"/>
    <x v="1"/>
    <n v="5.5911255999999999E-2"/>
  </r>
  <r>
    <x v="0"/>
    <x v="9"/>
    <x v="0"/>
    <x v="4"/>
    <x v="0"/>
    <x v="0"/>
    <n v="55.117550094999999"/>
  </r>
  <r>
    <x v="0"/>
    <x v="9"/>
    <x v="1"/>
    <x v="4"/>
    <x v="0"/>
    <x v="1"/>
    <n v="5.1898833999999998E-2"/>
  </r>
  <r>
    <x v="0"/>
    <x v="9"/>
    <x v="2"/>
    <x v="4"/>
    <x v="0"/>
    <x v="1"/>
    <n v="37.086153961999997"/>
  </r>
  <r>
    <x v="0"/>
    <x v="9"/>
    <x v="3"/>
    <x v="4"/>
    <x v="0"/>
    <x v="1"/>
    <n v="6.5561053999999994E-2"/>
  </r>
  <r>
    <x v="0"/>
    <x v="9"/>
    <x v="0"/>
    <x v="5"/>
    <x v="0"/>
    <x v="0"/>
    <n v="579.53204584299999"/>
  </r>
  <r>
    <x v="0"/>
    <x v="9"/>
    <x v="1"/>
    <x v="5"/>
    <x v="0"/>
    <x v="1"/>
    <n v="7.0731916000000006E-2"/>
  </r>
  <r>
    <x v="0"/>
    <x v="9"/>
    <x v="2"/>
    <x v="5"/>
    <x v="0"/>
    <x v="1"/>
    <n v="484.243020984"/>
  </r>
  <r>
    <x v="0"/>
    <x v="9"/>
    <x v="3"/>
    <x v="5"/>
    <x v="0"/>
    <x v="1"/>
    <n v="4.5005377999999999E-2"/>
  </r>
  <r>
    <x v="0"/>
    <x v="9"/>
    <x v="0"/>
    <x v="6"/>
    <x v="0"/>
    <x v="0"/>
    <n v="177.922428139"/>
  </r>
  <r>
    <x v="0"/>
    <x v="9"/>
    <x v="1"/>
    <x v="6"/>
    <x v="0"/>
    <x v="1"/>
    <n v="6.4548041E-2"/>
  </r>
  <r>
    <x v="0"/>
    <x v="9"/>
    <x v="2"/>
    <x v="6"/>
    <x v="0"/>
    <x v="1"/>
    <n v="148.92356900199999"/>
  </r>
  <r>
    <x v="0"/>
    <x v="9"/>
    <x v="3"/>
    <x v="6"/>
    <x v="0"/>
    <x v="1"/>
    <n v="6.0866073E-2"/>
  </r>
  <r>
    <x v="0"/>
    <x v="9"/>
    <x v="0"/>
    <x v="7"/>
    <x v="0"/>
    <x v="0"/>
    <n v="121.26394368699999"/>
  </r>
  <r>
    <x v="0"/>
    <x v="9"/>
    <x v="1"/>
    <x v="7"/>
    <x v="0"/>
    <x v="1"/>
    <n v="6.2328005999999998E-2"/>
  </r>
  <r>
    <x v="0"/>
    <x v="9"/>
    <x v="2"/>
    <x v="7"/>
    <x v="0"/>
    <x v="1"/>
    <n v="98.634341899999995"/>
  </r>
  <r>
    <x v="0"/>
    <x v="9"/>
    <x v="3"/>
    <x v="7"/>
    <x v="0"/>
    <x v="1"/>
    <n v="7.1889328000000002E-2"/>
  </r>
  <r>
    <x v="0"/>
    <x v="9"/>
    <x v="0"/>
    <x v="8"/>
    <x v="0"/>
    <x v="0"/>
    <n v="84.987960787999995"/>
  </r>
  <r>
    <x v="0"/>
    <x v="9"/>
    <x v="1"/>
    <x v="8"/>
    <x v="0"/>
    <x v="1"/>
    <n v="5.9107614000000003E-2"/>
  </r>
  <r>
    <x v="0"/>
    <x v="9"/>
    <x v="2"/>
    <x v="8"/>
    <x v="0"/>
    <x v="1"/>
    <n v="69.395991207999998"/>
  </r>
  <r>
    <x v="0"/>
    <x v="9"/>
    <x v="3"/>
    <x v="8"/>
    <x v="0"/>
    <x v="1"/>
    <n v="5.8306558000000001E-2"/>
  </r>
  <r>
    <x v="0"/>
    <x v="9"/>
    <x v="0"/>
    <x v="9"/>
    <x v="0"/>
    <x v="0"/>
    <n v="212.346365816"/>
  </r>
  <r>
    <x v="0"/>
    <x v="9"/>
    <x v="1"/>
    <x v="9"/>
    <x v="0"/>
    <x v="1"/>
    <n v="5.2857921000000002E-2"/>
  </r>
  <r>
    <x v="0"/>
    <x v="9"/>
    <x v="2"/>
    <x v="9"/>
    <x v="0"/>
    <x v="1"/>
    <n v="170.038299903"/>
  </r>
  <r>
    <x v="0"/>
    <x v="9"/>
    <x v="3"/>
    <x v="9"/>
    <x v="0"/>
    <x v="1"/>
    <n v="6.2680630000000001E-2"/>
  </r>
  <r>
    <x v="0"/>
    <x v="9"/>
    <x v="0"/>
    <x v="10"/>
    <x v="0"/>
    <x v="0"/>
    <n v="323.96003424200001"/>
  </r>
  <r>
    <x v="0"/>
    <x v="9"/>
    <x v="1"/>
    <x v="10"/>
    <x v="0"/>
    <x v="1"/>
    <n v="3.7360916000000001E-2"/>
  </r>
  <r>
    <x v="0"/>
    <x v="9"/>
    <x v="2"/>
    <x v="10"/>
    <x v="0"/>
    <x v="1"/>
    <n v="296.76079932099998"/>
  </r>
  <r>
    <x v="0"/>
    <x v="9"/>
    <x v="3"/>
    <x v="10"/>
    <x v="0"/>
    <x v="1"/>
    <n v="4.4826363000000001E-2"/>
  </r>
  <r>
    <x v="0"/>
    <x v="9"/>
    <x v="0"/>
    <x v="11"/>
    <x v="0"/>
    <x v="0"/>
    <n v="842.62576957500005"/>
  </r>
  <r>
    <x v="0"/>
    <x v="9"/>
    <x v="1"/>
    <x v="11"/>
    <x v="0"/>
    <x v="1"/>
    <n v="4.6639758000000003E-2"/>
  </r>
  <r>
    <x v="0"/>
    <x v="9"/>
    <x v="2"/>
    <x v="11"/>
    <x v="0"/>
    <x v="1"/>
    <n v="708.02931214700004"/>
  </r>
  <r>
    <x v="0"/>
    <x v="9"/>
    <x v="3"/>
    <x v="11"/>
    <x v="0"/>
    <x v="1"/>
    <n v="4.0812763000000002E-2"/>
  </r>
  <r>
    <x v="0"/>
    <x v="9"/>
    <x v="0"/>
    <x v="12"/>
    <x v="0"/>
    <x v="0"/>
    <n v="233.98288701199999"/>
  </r>
  <r>
    <x v="0"/>
    <x v="9"/>
    <x v="1"/>
    <x v="12"/>
    <x v="0"/>
    <x v="1"/>
    <n v="4.7506995000000003E-2"/>
  </r>
  <r>
    <x v="0"/>
    <x v="9"/>
    <x v="2"/>
    <x v="12"/>
    <x v="0"/>
    <x v="1"/>
    <n v="187.45318258099999"/>
  </r>
  <r>
    <x v="0"/>
    <x v="9"/>
    <x v="3"/>
    <x v="12"/>
    <x v="0"/>
    <x v="1"/>
    <n v="5.3533701000000003E-2"/>
  </r>
  <r>
    <x v="0"/>
    <x v="9"/>
    <x v="0"/>
    <x v="13"/>
    <x v="0"/>
    <x v="0"/>
    <n v="644.17622296100001"/>
  </r>
  <r>
    <x v="0"/>
    <x v="9"/>
    <x v="1"/>
    <x v="13"/>
    <x v="0"/>
    <x v="1"/>
    <n v="3.8607587999999998E-2"/>
  </r>
  <r>
    <x v="0"/>
    <x v="9"/>
    <x v="2"/>
    <x v="13"/>
    <x v="0"/>
    <x v="1"/>
    <n v="546.69242910800006"/>
  </r>
  <r>
    <x v="0"/>
    <x v="9"/>
    <x v="3"/>
    <x v="13"/>
    <x v="0"/>
    <x v="1"/>
    <n v="3.5314488999999998E-2"/>
  </r>
  <r>
    <x v="0"/>
    <x v="9"/>
    <x v="0"/>
    <x v="14"/>
    <x v="0"/>
    <x v="0"/>
    <n v="177.14575083700001"/>
  </r>
  <r>
    <x v="0"/>
    <x v="9"/>
    <x v="1"/>
    <x v="14"/>
    <x v="0"/>
    <x v="1"/>
    <n v="4.4288973000000002E-2"/>
  </r>
  <r>
    <x v="0"/>
    <x v="9"/>
    <x v="2"/>
    <x v="14"/>
    <x v="0"/>
    <x v="1"/>
    <n v="147.84973562499999"/>
  </r>
  <r>
    <x v="0"/>
    <x v="9"/>
    <x v="3"/>
    <x v="14"/>
    <x v="0"/>
    <x v="1"/>
    <n v="5.7037348000000002E-2"/>
  </r>
  <r>
    <x v="0"/>
    <x v="9"/>
    <x v="0"/>
    <x v="15"/>
    <x v="0"/>
    <x v="0"/>
    <n v="192.303537737"/>
  </r>
  <r>
    <x v="0"/>
    <x v="9"/>
    <x v="1"/>
    <x v="15"/>
    <x v="0"/>
    <x v="1"/>
    <n v="4.7385091999999997E-2"/>
  </r>
  <r>
    <x v="0"/>
    <x v="9"/>
    <x v="2"/>
    <x v="15"/>
    <x v="0"/>
    <x v="1"/>
    <n v="158.87891975599999"/>
  </r>
  <r>
    <x v="0"/>
    <x v="9"/>
    <x v="3"/>
    <x v="15"/>
    <x v="0"/>
    <x v="1"/>
    <n v="6.2187389000000003E-2"/>
  </r>
  <r>
    <x v="0"/>
    <x v="9"/>
    <x v="0"/>
    <x v="16"/>
    <x v="0"/>
    <x v="0"/>
    <n v="123.55889227500001"/>
  </r>
  <r>
    <x v="0"/>
    <x v="9"/>
    <x v="1"/>
    <x v="16"/>
    <x v="0"/>
    <x v="1"/>
    <n v="4.8024358000000003E-2"/>
  </r>
  <r>
    <x v="0"/>
    <x v="9"/>
    <x v="2"/>
    <x v="16"/>
    <x v="0"/>
    <x v="1"/>
    <n v="100.971214528"/>
  </r>
  <r>
    <x v="0"/>
    <x v="9"/>
    <x v="3"/>
    <x v="16"/>
    <x v="0"/>
    <x v="1"/>
    <n v="6.1402803999999998E-2"/>
  </r>
  <r>
    <x v="0"/>
    <x v="9"/>
    <x v="0"/>
    <x v="17"/>
    <x v="0"/>
    <x v="0"/>
    <n v="289.57592597199999"/>
  </r>
  <r>
    <x v="0"/>
    <x v="9"/>
    <x v="1"/>
    <x v="17"/>
    <x v="0"/>
    <x v="1"/>
    <n v="4.8504421999999998E-2"/>
  </r>
  <r>
    <x v="0"/>
    <x v="9"/>
    <x v="2"/>
    <x v="17"/>
    <x v="0"/>
    <x v="1"/>
    <n v="242.17883505200001"/>
  </r>
  <r>
    <x v="0"/>
    <x v="9"/>
    <x v="3"/>
    <x v="17"/>
    <x v="0"/>
    <x v="1"/>
    <n v="5.9478268000000001E-2"/>
  </r>
  <r>
    <x v="0"/>
    <x v="9"/>
    <x v="0"/>
    <x v="18"/>
    <x v="0"/>
    <x v="0"/>
    <n v="248.36794632300001"/>
  </r>
  <r>
    <x v="0"/>
    <x v="9"/>
    <x v="1"/>
    <x v="18"/>
    <x v="0"/>
    <x v="1"/>
    <n v="4.4019938000000002E-2"/>
  </r>
  <r>
    <x v="0"/>
    <x v="9"/>
    <x v="2"/>
    <x v="18"/>
    <x v="0"/>
    <x v="1"/>
    <n v="213.09467346"/>
  </r>
  <r>
    <x v="0"/>
    <x v="9"/>
    <x v="3"/>
    <x v="18"/>
    <x v="0"/>
    <x v="1"/>
    <n v="4.9166633000000001E-2"/>
  </r>
  <r>
    <x v="0"/>
    <x v="9"/>
    <x v="0"/>
    <x v="19"/>
    <x v="0"/>
    <x v="0"/>
    <n v="287.91851430299999"/>
  </r>
  <r>
    <x v="0"/>
    <x v="9"/>
    <x v="1"/>
    <x v="19"/>
    <x v="0"/>
    <x v="1"/>
    <n v="4.7967312999999998E-2"/>
  </r>
  <r>
    <x v="0"/>
    <x v="9"/>
    <x v="2"/>
    <x v="19"/>
    <x v="0"/>
    <x v="1"/>
    <n v="244.05028997100001"/>
  </r>
  <r>
    <x v="0"/>
    <x v="9"/>
    <x v="3"/>
    <x v="19"/>
    <x v="0"/>
    <x v="1"/>
    <n v="6.7172422999999995E-2"/>
  </r>
  <r>
    <x v="0"/>
    <x v="9"/>
    <x v="0"/>
    <x v="20"/>
    <x v="0"/>
    <x v="0"/>
    <n v="36.788050288000001"/>
  </r>
  <r>
    <x v="0"/>
    <x v="9"/>
    <x v="1"/>
    <x v="20"/>
    <x v="0"/>
    <x v="1"/>
    <n v="4.6843199000000002E-2"/>
  </r>
  <r>
    <x v="0"/>
    <x v="9"/>
    <x v="2"/>
    <x v="20"/>
    <x v="0"/>
    <x v="1"/>
    <n v="29.494735215999999"/>
  </r>
  <r>
    <x v="0"/>
    <x v="9"/>
    <x v="3"/>
    <x v="20"/>
    <x v="0"/>
    <x v="1"/>
    <n v="5.5726286999999999E-2"/>
  </r>
  <r>
    <x v="0"/>
    <x v="9"/>
    <x v="0"/>
    <x v="21"/>
    <x v="0"/>
    <x v="0"/>
    <n v="15.775190797"/>
  </r>
  <r>
    <x v="0"/>
    <x v="9"/>
    <x v="1"/>
    <x v="21"/>
    <x v="0"/>
    <x v="1"/>
    <n v="5.3987399999999998E-2"/>
  </r>
  <r>
    <x v="0"/>
    <x v="9"/>
    <x v="2"/>
    <x v="21"/>
    <x v="0"/>
    <x v="1"/>
    <n v="12.920268327"/>
  </r>
  <r>
    <x v="0"/>
    <x v="9"/>
    <x v="3"/>
    <x v="21"/>
    <x v="0"/>
    <x v="1"/>
    <n v="6.4205839000000001E-2"/>
  </r>
  <r>
    <x v="0"/>
    <x v="9"/>
    <x v="0"/>
    <x v="22"/>
    <x v="0"/>
    <x v="0"/>
    <n v="71.170271638000003"/>
  </r>
  <r>
    <x v="0"/>
    <x v="9"/>
    <x v="1"/>
    <x v="22"/>
    <x v="0"/>
    <x v="1"/>
    <n v="1.1094969999999999E-2"/>
  </r>
  <r>
    <x v="0"/>
    <x v="9"/>
    <x v="2"/>
    <x v="22"/>
    <x v="0"/>
    <x v="1"/>
    <n v="17.103438047000001"/>
  </r>
  <r>
    <x v="0"/>
    <x v="9"/>
    <x v="3"/>
    <x v="22"/>
    <x v="0"/>
    <x v="1"/>
    <n v="2.343553E-3"/>
  </r>
  <r>
    <x v="0"/>
    <x v="9"/>
    <x v="0"/>
    <x v="23"/>
    <x v="0"/>
    <x v="0"/>
    <n v="6.9404871809999999"/>
  </r>
  <r>
    <x v="0"/>
    <x v="9"/>
    <x v="1"/>
    <x v="23"/>
    <x v="0"/>
    <x v="1"/>
    <n v="5.4357737000000003E-2"/>
  </r>
  <r>
    <x v="0"/>
    <x v="9"/>
    <x v="2"/>
    <x v="23"/>
    <x v="0"/>
    <x v="1"/>
    <n v="5.7234997979999997"/>
  </r>
  <r>
    <x v="0"/>
    <x v="9"/>
    <x v="3"/>
    <x v="23"/>
    <x v="0"/>
    <x v="1"/>
    <n v="9.9548478999999995E-2"/>
  </r>
  <r>
    <x v="0"/>
    <x v="9"/>
    <x v="0"/>
    <x v="24"/>
    <x v="0"/>
    <x v="0"/>
    <n v="367.219449005"/>
  </r>
  <r>
    <x v="0"/>
    <x v="9"/>
    <x v="1"/>
    <x v="24"/>
    <x v="0"/>
    <x v="1"/>
    <n v="4.1814410000000003E-2"/>
  </r>
  <r>
    <x v="0"/>
    <x v="9"/>
    <x v="2"/>
    <x v="24"/>
    <x v="0"/>
    <x v="1"/>
    <n v="288.00111869599999"/>
  </r>
  <r>
    <x v="0"/>
    <x v="9"/>
    <x v="3"/>
    <x v="24"/>
    <x v="0"/>
    <x v="1"/>
    <n v="3.1752097999999999E-2"/>
  </r>
  <r>
    <x v="0"/>
    <x v="9"/>
    <x v="0"/>
    <x v="25"/>
    <x v="0"/>
    <x v="0"/>
    <n v="20.159492688"/>
  </r>
  <r>
    <x v="0"/>
    <x v="9"/>
    <x v="1"/>
    <x v="25"/>
    <x v="0"/>
    <x v="1"/>
    <n v="3.5585971000000001E-2"/>
  </r>
  <r>
    <x v="0"/>
    <x v="9"/>
    <x v="2"/>
    <x v="25"/>
    <x v="0"/>
    <x v="1"/>
    <n v="16.243709377999998"/>
  </r>
  <r>
    <x v="0"/>
    <x v="9"/>
    <x v="3"/>
    <x v="25"/>
    <x v="0"/>
    <x v="1"/>
    <n v="2.8589627999999999E-2"/>
  </r>
  <r>
    <x v="0"/>
    <x v="9"/>
    <x v="0"/>
    <x v="26"/>
    <x v="0"/>
    <x v="0"/>
    <n v="8.8550691100000005"/>
  </r>
  <r>
    <x v="0"/>
    <x v="9"/>
    <x v="1"/>
    <x v="26"/>
    <x v="0"/>
    <x v="1"/>
    <n v="5.3079406000000003E-2"/>
  </r>
  <r>
    <x v="0"/>
    <x v="9"/>
    <x v="2"/>
    <x v="26"/>
    <x v="0"/>
    <x v="1"/>
    <n v="5.2426852259999999"/>
  </r>
  <r>
    <x v="0"/>
    <x v="9"/>
    <x v="3"/>
    <x v="26"/>
    <x v="0"/>
    <x v="1"/>
    <n v="6.1709434000000001E-2"/>
  </r>
  <r>
    <x v="0"/>
    <x v="9"/>
    <x v="0"/>
    <x v="27"/>
    <x v="0"/>
    <x v="0"/>
    <n v="487.65628945200001"/>
  </r>
  <r>
    <x v="0"/>
    <x v="9"/>
    <x v="1"/>
    <x v="27"/>
    <x v="0"/>
    <x v="1"/>
    <n v="5.4686529999999997E-2"/>
  </r>
  <r>
    <x v="0"/>
    <x v="9"/>
    <x v="2"/>
    <x v="27"/>
    <x v="0"/>
    <x v="1"/>
    <n v="376.19053167499999"/>
  </r>
  <r>
    <x v="0"/>
    <x v="9"/>
    <x v="3"/>
    <x v="27"/>
    <x v="0"/>
    <x v="1"/>
    <n v="8.4741883000000004E-2"/>
  </r>
  <r>
    <x v="0"/>
    <x v="9"/>
    <x v="0"/>
    <x v="28"/>
    <x v="0"/>
    <x v="0"/>
    <n v="540.71231430800003"/>
  </r>
  <r>
    <x v="0"/>
    <x v="9"/>
    <x v="1"/>
    <x v="28"/>
    <x v="0"/>
    <x v="1"/>
    <n v="4.4262366999999997E-2"/>
  </r>
  <r>
    <x v="0"/>
    <x v="9"/>
    <x v="2"/>
    <x v="28"/>
    <x v="0"/>
    <x v="1"/>
    <n v="289.49749791300002"/>
  </r>
  <r>
    <x v="0"/>
    <x v="9"/>
    <x v="3"/>
    <x v="28"/>
    <x v="0"/>
    <x v="1"/>
    <n v="4.4724115000000002E-2"/>
  </r>
  <r>
    <x v="0"/>
    <x v="9"/>
    <x v="0"/>
    <x v="29"/>
    <x v="0"/>
    <x v="0"/>
    <n v="468.108214815"/>
  </r>
  <r>
    <x v="0"/>
    <x v="9"/>
    <x v="1"/>
    <x v="29"/>
    <x v="0"/>
    <x v="1"/>
    <n v="4.8207908000000001E-2"/>
  </r>
  <r>
    <x v="0"/>
    <x v="9"/>
    <x v="2"/>
    <x v="29"/>
    <x v="0"/>
    <x v="1"/>
    <n v="300.44952811399997"/>
  </r>
  <r>
    <x v="0"/>
    <x v="9"/>
    <x v="3"/>
    <x v="29"/>
    <x v="0"/>
    <x v="1"/>
    <n v="5.2525970999999998E-2"/>
  </r>
  <r>
    <x v="0"/>
    <x v="9"/>
    <x v="0"/>
    <x v="30"/>
    <x v="0"/>
    <x v="0"/>
    <n v="110.132488096"/>
  </r>
  <r>
    <x v="0"/>
    <x v="9"/>
    <x v="1"/>
    <x v="30"/>
    <x v="0"/>
    <x v="1"/>
    <n v="7.5275036000000003E-2"/>
  </r>
  <r>
    <x v="0"/>
    <x v="9"/>
    <x v="2"/>
    <x v="30"/>
    <x v="0"/>
    <x v="1"/>
    <n v="69.174007572999997"/>
  </r>
  <r>
    <x v="0"/>
    <x v="9"/>
    <x v="3"/>
    <x v="30"/>
    <x v="0"/>
    <x v="1"/>
    <n v="8.9048643999999996E-2"/>
  </r>
  <r>
    <x v="0"/>
    <x v="9"/>
    <x v="0"/>
    <x v="31"/>
    <x v="0"/>
    <x v="0"/>
    <n v="176.82699317500001"/>
  </r>
  <r>
    <x v="0"/>
    <x v="9"/>
    <x v="1"/>
    <x v="31"/>
    <x v="0"/>
    <x v="1"/>
    <n v="3.7523228999999998E-2"/>
  </r>
  <r>
    <x v="0"/>
    <x v="9"/>
    <x v="2"/>
    <x v="31"/>
    <x v="0"/>
    <x v="1"/>
    <n v="97.229058777000006"/>
  </r>
  <r>
    <x v="0"/>
    <x v="9"/>
    <x v="3"/>
    <x v="31"/>
    <x v="0"/>
    <x v="1"/>
    <n v="2.9472181E-2"/>
  </r>
  <r>
    <x v="0"/>
    <x v="9"/>
    <x v="0"/>
    <x v="32"/>
    <x v="0"/>
    <x v="0"/>
    <n v="563.28832521100003"/>
  </r>
  <r>
    <x v="0"/>
    <x v="9"/>
    <x v="1"/>
    <x v="32"/>
    <x v="0"/>
    <x v="1"/>
    <n v="3.9217305000000001E-2"/>
  </r>
  <r>
    <x v="0"/>
    <x v="9"/>
    <x v="2"/>
    <x v="32"/>
    <x v="0"/>
    <x v="1"/>
    <n v="264.94681169699999"/>
  </r>
  <r>
    <x v="0"/>
    <x v="9"/>
    <x v="3"/>
    <x v="32"/>
    <x v="0"/>
    <x v="1"/>
    <n v="3.3072533000000001E-2"/>
  </r>
  <r>
    <x v="0"/>
    <x v="9"/>
    <x v="0"/>
    <x v="33"/>
    <x v="0"/>
    <x v="0"/>
    <n v="551.05748929399999"/>
  </r>
  <r>
    <x v="0"/>
    <x v="9"/>
    <x v="1"/>
    <x v="33"/>
    <x v="0"/>
    <x v="1"/>
    <n v="2.2981826E-2"/>
  </r>
  <r>
    <x v="0"/>
    <x v="9"/>
    <x v="2"/>
    <x v="33"/>
    <x v="0"/>
    <x v="1"/>
    <n v="212.31516570799999"/>
  </r>
  <r>
    <x v="0"/>
    <x v="9"/>
    <x v="3"/>
    <x v="33"/>
    <x v="0"/>
    <x v="1"/>
    <n v="1.0547678E-2"/>
  </r>
  <r>
    <x v="0"/>
    <x v="9"/>
    <x v="0"/>
    <x v="34"/>
    <x v="0"/>
    <x v="0"/>
    <n v="276.701093286"/>
  </r>
  <r>
    <x v="0"/>
    <x v="9"/>
    <x v="1"/>
    <x v="34"/>
    <x v="0"/>
    <x v="1"/>
    <n v="5.204963E-2"/>
  </r>
  <r>
    <x v="0"/>
    <x v="9"/>
    <x v="2"/>
    <x v="34"/>
    <x v="0"/>
    <x v="1"/>
    <n v="195.584678371"/>
  </r>
  <r>
    <x v="0"/>
    <x v="9"/>
    <x v="3"/>
    <x v="34"/>
    <x v="0"/>
    <x v="1"/>
    <n v="5.9968481999999997E-2"/>
  </r>
  <r>
    <x v="0"/>
    <x v="9"/>
    <x v="0"/>
    <x v="35"/>
    <x v="0"/>
    <x v="0"/>
    <n v="213.98682375600001"/>
  </r>
  <r>
    <x v="0"/>
    <x v="9"/>
    <x v="1"/>
    <x v="35"/>
    <x v="0"/>
    <x v="1"/>
    <n v="5.4365297E-2"/>
  </r>
  <r>
    <x v="0"/>
    <x v="9"/>
    <x v="2"/>
    <x v="35"/>
    <x v="0"/>
    <x v="1"/>
    <n v="140.48997106300001"/>
  </r>
  <r>
    <x v="0"/>
    <x v="9"/>
    <x v="3"/>
    <x v="35"/>
    <x v="0"/>
    <x v="1"/>
    <n v="6.4669815000000005E-2"/>
  </r>
  <r>
    <x v="0"/>
    <x v="9"/>
    <x v="0"/>
    <x v="36"/>
    <x v="0"/>
    <x v="0"/>
    <n v="68.097991703000005"/>
  </r>
  <r>
    <x v="0"/>
    <x v="9"/>
    <x v="1"/>
    <x v="36"/>
    <x v="0"/>
    <x v="1"/>
    <n v="5.9636213E-2"/>
  </r>
  <r>
    <x v="0"/>
    <x v="9"/>
    <x v="2"/>
    <x v="36"/>
    <x v="0"/>
    <x v="1"/>
    <n v="40.227087507999997"/>
  </r>
  <r>
    <x v="0"/>
    <x v="9"/>
    <x v="3"/>
    <x v="36"/>
    <x v="0"/>
    <x v="1"/>
    <n v="6.7195081000000004E-2"/>
  </r>
  <r>
    <x v="0"/>
    <x v="9"/>
    <x v="0"/>
    <x v="37"/>
    <x v="0"/>
    <x v="0"/>
    <n v="78.475424626000006"/>
  </r>
  <r>
    <x v="0"/>
    <x v="9"/>
    <x v="1"/>
    <x v="37"/>
    <x v="0"/>
    <x v="1"/>
    <n v="6.7288517000000006E-2"/>
  </r>
  <r>
    <x v="0"/>
    <x v="9"/>
    <x v="2"/>
    <x v="37"/>
    <x v="0"/>
    <x v="1"/>
    <n v="41.243549010999999"/>
  </r>
  <r>
    <x v="0"/>
    <x v="9"/>
    <x v="3"/>
    <x v="37"/>
    <x v="0"/>
    <x v="1"/>
    <n v="8.9550744000000002E-2"/>
  </r>
  <r>
    <x v="0"/>
    <x v="9"/>
    <x v="0"/>
    <x v="38"/>
    <x v="0"/>
    <x v="0"/>
    <n v="226.43297575899999"/>
  </r>
  <r>
    <x v="0"/>
    <x v="9"/>
    <x v="1"/>
    <x v="38"/>
    <x v="0"/>
    <x v="1"/>
    <n v="9.4966533000000006E-2"/>
  </r>
  <r>
    <x v="0"/>
    <x v="9"/>
    <x v="2"/>
    <x v="38"/>
    <x v="0"/>
    <x v="1"/>
    <n v="61.152551449999997"/>
  </r>
  <r>
    <x v="0"/>
    <x v="9"/>
    <x v="3"/>
    <x v="38"/>
    <x v="0"/>
    <x v="1"/>
    <n v="0.110465964"/>
  </r>
  <r>
    <x v="0"/>
    <x v="9"/>
    <x v="0"/>
    <x v="39"/>
    <x v="0"/>
    <x v="0"/>
    <n v="119.80779823500001"/>
  </r>
  <r>
    <x v="0"/>
    <x v="9"/>
    <x v="1"/>
    <x v="39"/>
    <x v="0"/>
    <x v="1"/>
    <n v="7.3128505999999996E-2"/>
  </r>
  <r>
    <x v="0"/>
    <x v="9"/>
    <x v="2"/>
    <x v="39"/>
    <x v="0"/>
    <x v="1"/>
    <n v="68.570121283999995"/>
  </r>
  <r>
    <x v="0"/>
    <x v="9"/>
    <x v="3"/>
    <x v="39"/>
    <x v="0"/>
    <x v="1"/>
    <n v="0.107294554"/>
  </r>
  <r>
    <x v="0"/>
    <x v="9"/>
    <x v="0"/>
    <x v="40"/>
    <x v="0"/>
    <x v="0"/>
    <n v="47.812805040999997"/>
  </r>
  <r>
    <x v="0"/>
    <x v="9"/>
    <x v="1"/>
    <x v="40"/>
    <x v="0"/>
    <x v="1"/>
    <n v="5.9686116999999997E-2"/>
  </r>
  <r>
    <x v="0"/>
    <x v="9"/>
    <x v="2"/>
    <x v="40"/>
    <x v="0"/>
    <x v="1"/>
    <n v="25.625603969"/>
  </r>
  <r>
    <x v="0"/>
    <x v="9"/>
    <x v="3"/>
    <x v="40"/>
    <x v="0"/>
    <x v="1"/>
    <n v="6.6356109999999996E-2"/>
  </r>
  <r>
    <x v="0"/>
    <x v="9"/>
    <x v="0"/>
    <x v="41"/>
    <x v="0"/>
    <x v="0"/>
    <n v="511.743671431"/>
  </r>
  <r>
    <x v="0"/>
    <x v="9"/>
    <x v="1"/>
    <x v="41"/>
    <x v="0"/>
    <x v="1"/>
    <n v="8.8210974999999997E-2"/>
  </r>
  <r>
    <x v="0"/>
    <x v="9"/>
    <x v="2"/>
    <x v="41"/>
    <x v="0"/>
    <x v="1"/>
    <n v="205.936230757"/>
  </r>
  <r>
    <x v="0"/>
    <x v="9"/>
    <x v="3"/>
    <x v="41"/>
    <x v="0"/>
    <x v="1"/>
    <n v="0.111880693"/>
  </r>
  <r>
    <x v="0"/>
    <x v="9"/>
    <x v="4"/>
    <x v="0"/>
    <x v="1"/>
    <x v="0"/>
    <n v="206.08887804899999"/>
  </r>
  <r>
    <x v="0"/>
    <x v="9"/>
    <x v="5"/>
    <x v="0"/>
    <x v="1"/>
    <x v="1"/>
    <n v="4.7131E-5"/>
  </r>
  <r>
    <x v="0"/>
    <x v="9"/>
    <x v="6"/>
    <x v="0"/>
    <x v="1"/>
    <x v="1"/>
    <n v="0.49348257299999998"/>
  </r>
  <r>
    <x v="0"/>
    <x v="9"/>
    <x v="4"/>
    <x v="1"/>
    <x v="1"/>
    <x v="0"/>
    <n v="300.49048371399999"/>
  </r>
  <r>
    <x v="0"/>
    <x v="9"/>
    <x v="5"/>
    <x v="1"/>
    <x v="1"/>
    <x v="1"/>
    <n v="5.4694000000000002E-5"/>
  </r>
  <r>
    <x v="0"/>
    <x v="9"/>
    <x v="6"/>
    <x v="1"/>
    <x v="1"/>
    <x v="1"/>
    <n v="0.49348257299999998"/>
  </r>
  <r>
    <x v="0"/>
    <x v="9"/>
    <x v="4"/>
    <x v="2"/>
    <x v="1"/>
    <x v="0"/>
    <n v="460.26575264500002"/>
  </r>
  <r>
    <x v="0"/>
    <x v="9"/>
    <x v="5"/>
    <x v="2"/>
    <x v="1"/>
    <x v="1"/>
    <n v="1.29679E-4"/>
  </r>
  <r>
    <x v="0"/>
    <x v="9"/>
    <x v="6"/>
    <x v="2"/>
    <x v="1"/>
    <x v="1"/>
    <n v="0.49348257299999998"/>
  </r>
  <r>
    <x v="0"/>
    <x v="9"/>
    <x v="4"/>
    <x v="3"/>
    <x v="1"/>
    <x v="0"/>
    <n v="175.149086737"/>
  </r>
  <r>
    <x v="0"/>
    <x v="9"/>
    <x v="5"/>
    <x v="3"/>
    <x v="1"/>
    <x v="1"/>
    <n v="4.7839000000000001E-5"/>
  </r>
  <r>
    <x v="0"/>
    <x v="9"/>
    <x v="6"/>
    <x v="3"/>
    <x v="1"/>
    <x v="1"/>
    <n v="0.49348257299999998"/>
  </r>
  <r>
    <x v="0"/>
    <x v="9"/>
    <x v="4"/>
    <x v="4"/>
    <x v="1"/>
    <x v="0"/>
    <n v="78.965197958999994"/>
  </r>
  <r>
    <x v="0"/>
    <x v="9"/>
    <x v="5"/>
    <x v="4"/>
    <x v="1"/>
    <x v="1"/>
    <n v="4.7908000000000003E-5"/>
  </r>
  <r>
    <x v="0"/>
    <x v="9"/>
    <x v="6"/>
    <x v="4"/>
    <x v="1"/>
    <x v="1"/>
    <n v="0.49348257299999998"/>
  </r>
  <r>
    <x v="0"/>
    <x v="9"/>
    <x v="4"/>
    <x v="5"/>
    <x v="1"/>
    <x v="0"/>
    <n v="604.71627936799996"/>
  </r>
  <r>
    <x v="0"/>
    <x v="9"/>
    <x v="5"/>
    <x v="5"/>
    <x v="1"/>
    <x v="1"/>
    <n v="2.4686999999999999E-5"/>
  </r>
  <r>
    <x v="0"/>
    <x v="9"/>
    <x v="6"/>
    <x v="5"/>
    <x v="1"/>
    <x v="1"/>
    <n v="0.49348257299999998"/>
  </r>
  <r>
    <x v="0"/>
    <x v="9"/>
    <x v="4"/>
    <x v="6"/>
    <x v="1"/>
    <x v="0"/>
    <n v="175.719336922"/>
  </r>
  <r>
    <x v="0"/>
    <x v="9"/>
    <x v="5"/>
    <x v="6"/>
    <x v="1"/>
    <x v="1"/>
    <n v="1.6175E-5"/>
  </r>
  <r>
    <x v="0"/>
    <x v="9"/>
    <x v="6"/>
    <x v="6"/>
    <x v="1"/>
    <x v="1"/>
    <n v="0.49348257299999998"/>
  </r>
  <r>
    <x v="0"/>
    <x v="9"/>
    <x v="4"/>
    <x v="7"/>
    <x v="1"/>
    <x v="0"/>
    <n v="126.84581765900001"/>
  </r>
  <r>
    <x v="0"/>
    <x v="9"/>
    <x v="5"/>
    <x v="7"/>
    <x v="1"/>
    <x v="1"/>
    <n v="1.2615E-5"/>
  </r>
  <r>
    <x v="0"/>
    <x v="9"/>
    <x v="6"/>
    <x v="7"/>
    <x v="1"/>
    <x v="1"/>
    <n v="0.49348257299999998"/>
  </r>
  <r>
    <x v="0"/>
    <x v="9"/>
    <x v="4"/>
    <x v="8"/>
    <x v="1"/>
    <x v="0"/>
    <n v="100.778571325"/>
  </r>
  <r>
    <x v="0"/>
    <x v="9"/>
    <x v="5"/>
    <x v="8"/>
    <x v="1"/>
    <x v="1"/>
    <n v="1.3974E-5"/>
  </r>
  <r>
    <x v="0"/>
    <x v="9"/>
    <x v="6"/>
    <x v="8"/>
    <x v="1"/>
    <x v="1"/>
    <n v="0.49348257299999998"/>
  </r>
  <r>
    <x v="0"/>
    <x v="9"/>
    <x v="4"/>
    <x v="9"/>
    <x v="1"/>
    <x v="0"/>
    <n v="209.26311343099999"/>
  </r>
  <r>
    <x v="0"/>
    <x v="9"/>
    <x v="5"/>
    <x v="9"/>
    <x v="1"/>
    <x v="1"/>
    <n v="3.3702999999999999E-5"/>
  </r>
  <r>
    <x v="0"/>
    <x v="9"/>
    <x v="6"/>
    <x v="9"/>
    <x v="1"/>
    <x v="1"/>
    <n v="0.49348257299999998"/>
  </r>
  <r>
    <x v="0"/>
    <x v="9"/>
    <x v="4"/>
    <x v="10"/>
    <x v="1"/>
    <x v="0"/>
    <n v="157.59761823900001"/>
  </r>
  <r>
    <x v="0"/>
    <x v="9"/>
    <x v="5"/>
    <x v="10"/>
    <x v="1"/>
    <x v="1"/>
    <n v="3.5842E-5"/>
  </r>
  <r>
    <x v="0"/>
    <x v="9"/>
    <x v="6"/>
    <x v="10"/>
    <x v="1"/>
    <x v="1"/>
    <n v="0.49348257299999998"/>
  </r>
  <r>
    <x v="0"/>
    <x v="9"/>
    <x v="4"/>
    <x v="11"/>
    <x v="1"/>
    <x v="0"/>
    <n v="868.261998264"/>
  </r>
  <r>
    <x v="0"/>
    <x v="9"/>
    <x v="5"/>
    <x v="11"/>
    <x v="1"/>
    <x v="1"/>
    <n v="2.6160999999999999E-5"/>
  </r>
  <r>
    <x v="0"/>
    <x v="9"/>
    <x v="6"/>
    <x v="11"/>
    <x v="1"/>
    <x v="1"/>
    <n v="0.49348257299999998"/>
  </r>
  <r>
    <x v="0"/>
    <x v="9"/>
    <x v="4"/>
    <x v="12"/>
    <x v="1"/>
    <x v="0"/>
    <n v="304.20174234900003"/>
  </r>
  <r>
    <x v="0"/>
    <x v="9"/>
    <x v="5"/>
    <x v="12"/>
    <x v="1"/>
    <x v="1"/>
    <n v="1.6226E-5"/>
  </r>
  <r>
    <x v="0"/>
    <x v="9"/>
    <x v="6"/>
    <x v="12"/>
    <x v="1"/>
    <x v="1"/>
    <n v="0.49348257299999998"/>
  </r>
  <r>
    <x v="0"/>
    <x v="9"/>
    <x v="4"/>
    <x v="13"/>
    <x v="1"/>
    <x v="0"/>
    <n v="714.93379307199996"/>
  </r>
  <r>
    <x v="0"/>
    <x v="9"/>
    <x v="5"/>
    <x v="13"/>
    <x v="1"/>
    <x v="1"/>
    <n v="1.7901E-5"/>
  </r>
  <r>
    <x v="0"/>
    <x v="9"/>
    <x v="6"/>
    <x v="13"/>
    <x v="1"/>
    <x v="1"/>
    <n v="0.49348257299999998"/>
  </r>
  <r>
    <x v="0"/>
    <x v="9"/>
    <x v="4"/>
    <x v="14"/>
    <x v="1"/>
    <x v="0"/>
    <n v="176.308690488"/>
  </r>
  <r>
    <x v="0"/>
    <x v="9"/>
    <x v="5"/>
    <x v="14"/>
    <x v="1"/>
    <x v="1"/>
    <n v="1.9656E-5"/>
  </r>
  <r>
    <x v="0"/>
    <x v="9"/>
    <x v="6"/>
    <x v="14"/>
    <x v="1"/>
    <x v="1"/>
    <n v="0.49348257299999998"/>
  </r>
  <r>
    <x v="0"/>
    <x v="9"/>
    <x v="4"/>
    <x v="15"/>
    <x v="1"/>
    <x v="0"/>
    <n v="205.03247584799999"/>
  </r>
  <r>
    <x v="0"/>
    <x v="9"/>
    <x v="5"/>
    <x v="15"/>
    <x v="1"/>
    <x v="1"/>
    <n v="1.4487999999999999E-5"/>
  </r>
  <r>
    <x v="0"/>
    <x v="9"/>
    <x v="6"/>
    <x v="15"/>
    <x v="1"/>
    <x v="1"/>
    <n v="0.49348257299999998"/>
  </r>
  <r>
    <x v="0"/>
    <x v="9"/>
    <x v="4"/>
    <x v="16"/>
    <x v="1"/>
    <x v="0"/>
    <n v="149.13571994399999"/>
  </r>
  <r>
    <x v="0"/>
    <x v="9"/>
    <x v="5"/>
    <x v="16"/>
    <x v="1"/>
    <x v="1"/>
    <n v="1.1178E-5"/>
  </r>
  <r>
    <x v="0"/>
    <x v="9"/>
    <x v="6"/>
    <x v="16"/>
    <x v="1"/>
    <x v="1"/>
    <n v="0.49348257299999998"/>
  </r>
  <r>
    <x v="0"/>
    <x v="9"/>
    <x v="4"/>
    <x v="17"/>
    <x v="1"/>
    <x v="0"/>
    <n v="303.49762322700002"/>
  </r>
  <r>
    <x v="0"/>
    <x v="9"/>
    <x v="5"/>
    <x v="17"/>
    <x v="1"/>
    <x v="1"/>
    <n v="1.3787E-5"/>
  </r>
  <r>
    <x v="0"/>
    <x v="9"/>
    <x v="6"/>
    <x v="17"/>
    <x v="1"/>
    <x v="1"/>
    <n v="0.49348257299999998"/>
  </r>
  <r>
    <x v="0"/>
    <x v="9"/>
    <x v="4"/>
    <x v="18"/>
    <x v="1"/>
    <x v="0"/>
    <n v="243.40566207800001"/>
  </r>
  <r>
    <x v="0"/>
    <x v="9"/>
    <x v="5"/>
    <x v="18"/>
    <x v="1"/>
    <x v="1"/>
    <n v="1.5342999999999999E-5"/>
  </r>
  <r>
    <x v="0"/>
    <x v="9"/>
    <x v="6"/>
    <x v="18"/>
    <x v="1"/>
    <x v="1"/>
    <n v="0.49348257299999998"/>
  </r>
  <r>
    <x v="0"/>
    <x v="9"/>
    <x v="4"/>
    <x v="19"/>
    <x v="1"/>
    <x v="0"/>
    <n v="253.99923864600001"/>
  </r>
  <r>
    <x v="0"/>
    <x v="9"/>
    <x v="5"/>
    <x v="19"/>
    <x v="1"/>
    <x v="1"/>
    <n v="1.4302E-5"/>
  </r>
  <r>
    <x v="0"/>
    <x v="9"/>
    <x v="6"/>
    <x v="19"/>
    <x v="1"/>
    <x v="1"/>
    <n v="0.49348257299999998"/>
  </r>
  <r>
    <x v="0"/>
    <x v="9"/>
    <x v="4"/>
    <x v="20"/>
    <x v="1"/>
    <x v="0"/>
    <n v="40.726935857000001"/>
  </r>
  <r>
    <x v="0"/>
    <x v="9"/>
    <x v="5"/>
    <x v="20"/>
    <x v="1"/>
    <x v="1"/>
    <n v="2.8062E-5"/>
  </r>
  <r>
    <x v="0"/>
    <x v="9"/>
    <x v="6"/>
    <x v="20"/>
    <x v="1"/>
    <x v="1"/>
    <n v="0.49348257299999998"/>
  </r>
  <r>
    <x v="0"/>
    <x v="9"/>
    <x v="4"/>
    <x v="21"/>
    <x v="1"/>
    <x v="0"/>
    <n v="14.744617047"/>
  </r>
  <r>
    <x v="0"/>
    <x v="9"/>
    <x v="5"/>
    <x v="21"/>
    <x v="1"/>
    <x v="1"/>
    <n v="2.6304000000000001E-5"/>
  </r>
  <r>
    <x v="0"/>
    <x v="9"/>
    <x v="6"/>
    <x v="21"/>
    <x v="1"/>
    <x v="1"/>
    <n v="0.49348257299999998"/>
  </r>
  <r>
    <x v="0"/>
    <x v="9"/>
    <x v="4"/>
    <x v="22"/>
    <x v="1"/>
    <x v="0"/>
    <n v="257.15822157500003"/>
  </r>
  <r>
    <x v="0"/>
    <x v="9"/>
    <x v="5"/>
    <x v="22"/>
    <x v="1"/>
    <x v="1"/>
    <n v="3.6032000000000003E-5"/>
  </r>
  <r>
    <x v="0"/>
    <x v="9"/>
    <x v="6"/>
    <x v="22"/>
    <x v="1"/>
    <x v="1"/>
    <n v="0.49348257299999998"/>
  </r>
  <r>
    <x v="0"/>
    <x v="9"/>
    <x v="4"/>
    <x v="23"/>
    <x v="1"/>
    <x v="0"/>
    <n v="2.9394973819999999"/>
  </r>
  <r>
    <x v="0"/>
    <x v="9"/>
    <x v="5"/>
    <x v="23"/>
    <x v="1"/>
    <x v="1"/>
    <n v="4.2039000000000002E-5"/>
  </r>
  <r>
    <x v="0"/>
    <x v="9"/>
    <x v="6"/>
    <x v="23"/>
    <x v="1"/>
    <x v="1"/>
    <n v="0.49348257299999998"/>
  </r>
  <r>
    <x v="0"/>
    <x v="9"/>
    <x v="4"/>
    <x v="24"/>
    <x v="1"/>
    <x v="0"/>
    <n v="533.57238297599997"/>
  </r>
  <r>
    <x v="0"/>
    <x v="9"/>
    <x v="5"/>
    <x v="24"/>
    <x v="1"/>
    <x v="1"/>
    <n v="2.711E-5"/>
  </r>
  <r>
    <x v="0"/>
    <x v="9"/>
    <x v="6"/>
    <x v="24"/>
    <x v="1"/>
    <x v="1"/>
    <n v="0.49348257299999998"/>
  </r>
  <r>
    <x v="0"/>
    <x v="9"/>
    <x v="4"/>
    <x v="25"/>
    <x v="1"/>
    <x v="0"/>
    <n v="28.984824522"/>
  </r>
  <r>
    <x v="0"/>
    <x v="9"/>
    <x v="5"/>
    <x v="25"/>
    <x v="1"/>
    <x v="1"/>
    <n v="1.9514999999999999E-5"/>
  </r>
  <r>
    <x v="0"/>
    <x v="9"/>
    <x v="6"/>
    <x v="25"/>
    <x v="1"/>
    <x v="1"/>
    <n v="0.49348257299999998"/>
  </r>
  <r>
    <x v="0"/>
    <x v="9"/>
    <x v="4"/>
    <x v="26"/>
    <x v="1"/>
    <x v="0"/>
    <n v="20.994729873000001"/>
  </r>
  <r>
    <x v="0"/>
    <x v="9"/>
    <x v="5"/>
    <x v="26"/>
    <x v="1"/>
    <x v="1"/>
    <n v="1.8406E-5"/>
  </r>
  <r>
    <x v="0"/>
    <x v="9"/>
    <x v="6"/>
    <x v="26"/>
    <x v="1"/>
    <x v="1"/>
    <n v="0.49348257299999998"/>
  </r>
  <r>
    <x v="0"/>
    <x v="9"/>
    <x v="4"/>
    <x v="27"/>
    <x v="1"/>
    <x v="0"/>
    <n v="533.26079817000004"/>
  </r>
  <r>
    <x v="0"/>
    <x v="9"/>
    <x v="5"/>
    <x v="27"/>
    <x v="1"/>
    <x v="1"/>
    <n v="1.0298E-5"/>
  </r>
  <r>
    <x v="0"/>
    <x v="9"/>
    <x v="6"/>
    <x v="27"/>
    <x v="1"/>
    <x v="1"/>
    <n v="0.49348257299999998"/>
  </r>
  <r>
    <x v="0"/>
    <x v="9"/>
    <x v="4"/>
    <x v="28"/>
    <x v="1"/>
    <x v="0"/>
    <n v="1508.706183731"/>
  </r>
  <r>
    <x v="0"/>
    <x v="9"/>
    <x v="5"/>
    <x v="28"/>
    <x v="1"/>
    <x v="1"/>
    <n v="3.1111000000000001E-5"/>
  </r>
  <r>
    <x v="0"/>
    <x v="9"/>
    <x v="6"/>
    <x v="28"/>
    <x v="1"/>
    <x v="1"/>
    <n v="0.49348257299999998"/>
  </r>
  <r>
    <x v="0"/>
    <x v="9"/>
    <x v="4"/>
    <x v="29"/>
    <x v="1"/>
    <x v="0"/>
    <n v="922.32534346700004"/>
  </r>
  <r>
    <x v="0"/>
    <x v="9"/>
    <x v="5"/>
    <x v="29"/>
    <x v="1"/>
    <x v="1"/>
    <n v="3.3825999999999998E-5"/>
  </r>
  <r>
    <x v="0"/>
    <x v="9"/>
    <x v="6"/>
    <x v="29"/>
    <x v="1"/>
    <x v="1"/>
    <n v="0.49348257299999998"/>
  </r>
  <r>
    <x v="0"/>
    <x v="9"/>
    <x v="4"/>
    <x v="30"/>
    <x v="1"/>
    <x v="0"/>
    <n v="156.874098667"/>
  </r>
  <r>
    <x v="0"/>
    <x v="9"/>
    <x v="5"/>
    <x v="30"/>
    <x v="1"/>
    <x v="1"/>
    <n v="1.7926000000000001E-5"/>
  </r>
  <r>
    <x v="0"/>
    <x v="9"/>
    <x v="6"/>
    <x v="30"/>
    <x v="1"/>
    <x v="1"/>
    <n v="0.49348257299999998"/>
  </r>
  <r>
    <x v="0"/>
    <x v="9"/>
    <x v="4"/>
    <x v="31"/>
    <x v="1"/>
    <x v="0"/>
    <n v="562.545842999"/>
  </r>
  <r>
    <x v="0"/>
    <x v="9"/>
    <x v="5"/>
    <x v="31"/>
    <x v="1"/>
    <x v="1"/>
    <n v="2.3207E-5"/>
  </r>
  <r>
    <x v="0"/>
    <x v="9"/>
    <x v="6"/>
    <x v="31"/>
    <x v="1"/>
    <x v="1"/>
    <n v="0.49348257299999998"/>
  </r>
  <r>
    <x v="0"/>
    <x v="9"/>
    <x v="4"/>
    <x v="32"/>
    <x v="1"/>
    <x v="0"/>
    <n v="1788.183459762"/>
  </r>
  <r>
    <x v="0"/>
    <x v="9"/>
    <x v="5"/>
    <x v="32"/>
    <x v="1"/>
    <x v="1"/>
    <n v="4.2349999999999999E-5"/>
  </r>
  <r>
    <x v="0"/>
    <x v="9"/>
    <x v="6"/>
    <x v="32"/>
    <x v="1"/>
    <x v="1"/>
    <n v="0.49348257299999998"/>
  </r>
  <r>
    <x v="0"/>
    <x v="9"/>
    <x v="4"/>
    <x v="33"/>
    <x v="1"/>
    <x v="0"/>
    <n v="1976.6285542999999"/>
  </r>
  <r>
    <x v="0"/>
    <x v="9"/>
    <x v="5"/>
    <x v="33"/>
    <x v="1"/>
    <x v="1"/>
    <n v="4.5531999999999997E-5"/>
  </r>
  <r>
    <x v="0"/>
    <x v="9"/>
    <x v="6"/>
    <x v="33"/>
    <x v="1"/>
    <x v="1"/>
    <n v="0.49348257299999998"/>
  </r>
  <r>
    <x v="0"/>
    <x v="9"/>
    <x v="4"/>
    <x v="34"/>
    <x v="1"/>
    <x v="0"/>
    <n v="396.40843495000001"/>
  </r>
  <r>
    <x v="0"/>
    <x v="9"/>
    <x v="5"/>
    <x v="34"/>
    <x v="1"/>
    <x v="1"/>
    <n v="4.0102000000000003E-5"/>
  </r>
  <r>
    <x v="0"/>
    <x v="9"/>
    <x v="6"/>
    <x v="34"/>
    <x v="1"/>
    <x v="1"/>
    <n v="0.49348257299999998"/>
  </r>
  <r>
    <x v="0"/>
    <x v="9"/>
    <x v="4"/>
    <x v="35"/>
    <x v="1"/>
    <x v="0"/>
    <n v="327.67236523499997"/>
  </r>
  <r>
    <x v="0"/>
    <x v="9"/>
    <x v="5"/>
    <x v="35"/>
    <x v="1"/>
    <x v="1"/>
    <n v="4.6588000000000002E-5"/>
  </r>
  <r>
    <x v="0"/>
    <x v="9"/>
    <x v="6"/>
    <x v="35"/>
    <x v="1"/>
    <x v="1"/>
    <n v="0.49348257299999998"/>
  </r>
  <r>
    <x v="0"/>
    <x v="9"/>
    <x v="4"/>
    <x v="36"/>
    <x v="1"/>
    <x v="0"/>
    <n v="107.085790428"/>
  </r>
  <r>
    <x v="0"/>
    <x v="9"/>
    <x v="5"/>
    <x v="36"/>
    <x v="1"/>
    <x v="1"/>
    <n v="7.4958999999999998E-5"/>
  </r>
  <r>
    <x v="0"/>
    <x v="9"/>
    <x v="6"/>
    <x v="36"/>
    <x v="1"/>
    <x v="1"/>
    <n v="0.49348257299999998"/>
  </r>
  <r>
    <x v="0"/>
    <x v="9"/>
    <x v="4"/>
    <x v="37"/>
    <x v="1"/>
    <x v="0"/>
    <n v="137.52221505399999"/>
  </r>
  <r>
    <x v="0"/>
    <x v="9"/>
    <x v="5"/>
    <x v="37"/>
    <x v="1"/>
    <x v="1"/>
    <n v="1.9890000000000001E-5"/>
  </r>
  <r>
    <x v="0"/>
    <x v="9"/>
    <x v="6"/>
    <x v="37"/>
    <x v="1"/>
    <x v="1"/>
    <n v="0.49348257299999998"/>
  </r>
  <r>
    <x v="0"/>
    <x v="9"/>
    <x v="4"/>
    <x v="38"/>
    <x v="1"/>
    <x v="0"/>
    <n v="236.63616723300001"/>
  </r>
  <r>
    <x v="0"/>
    <x v="9"/>
    <x v="5"/>
    <x v="38"/>
    <x v="1"/>
    <x v="1"/>
    <n v="8.0363000000000003E-5"/>
  </r>
  <r>
    <x v="0"/>
    <x v="9"/>
    <x v="6"/>
    <x v="38"/>
    <x v="1"/>
    <x v="1"/>
    <n v="0.49348257299999998"/>
  </r>
  <r>
    <x v="0"/>
    <x v="9"/>
    <x v="4"/>
    <x v="39"/>
    <x v="1"/>
    <x v="0"/>
    <n v="107.573461619"/>
  </r>
  <r>
    <x v="0"/>
    <x v="9"/>
    <x v="5"/>
    <x v="39"/>
    <x v="1"/>
    <x v="1"/>
    <n v="2.7798999999999999E-5"/>
  </r>
  <r>
    <x v="0"/>
    <x v="9"/>
    <x v="6"/>
    <x v="39"/>
    <x v="1"/>
    <x v="1"/>
    <n v="0.49348257299999998"/>
  </r>
  <r>
    <x v="0"/>
    <x v="9"/>
    <x v="4"/>
    <x v="40"/>
    <x v="1"/>
    <x v="0"/>
    <n v="107.073437345"/>
  </r>
  <r>
    <x v="0"/>
    <x v="9"/>
    <x v="5"/>
    <x v="40"/>
    <x v="1"/>
    <x v="1"/>
    <n v="3.1066999999999999E-5"/>
  </r>
  <r>
    <x v="0"/>
    <x v="9"/>
    <x v="6"/>
    <x v="40"/>
    <x v="1"/>
    <x v="1"/>
    <n v="0.49348257299999998"/>
  </r>
  <r>
    <x v="0"/>
    <x v="9"/>
    <x v="4"/>
    <x v="41"/>
    <x v="1"/>
    <x v="0"/>
    <n v="346.40473968999999"/>
  </r>
  <r>
    <x v="0"/>
    <x v="9"/>
    <x v="5"/>
    <x v="41"/>
    <x v="1"/>
    <x v="1"/>
    <n v="1.64747E-4"/>
  </r>
  <r>
    <x v="0"/>
    <x v="9"/>
    <x v="6"/>
    <x v="41"/>
    <x v="1"/>
    <x v="1"/>
    <n v="0.49348257299999998"/>
  </r>
  <r>
    <x v="0"/>
    <x v="9"/>
    <x v="7"/>
    <x v="0"/>
    <x v="2"/>
    <x v="2"/>
    <n v="393.16482330500003"/>
  </r>
  <r>
    <x v="0"/>
    <x v="9"/>
    <x v="7"/>
    <x v="1"/>
    <x v="2"/>
    <x v="2"/>
    <n v="45.427449066999998"/>
  </r>
  <r>
    <x v="0"/>
    <x v="9"/>
    <x v="7"/>
    <x v="2"/>
    <x v="2"/>
    <x v="2"/>
    <n v="19.572357926999999"/>
  </r>
  <r>
    <x v="0"/>
    <x v="9"/>
    <x v="7"/>
    <x v="3"/>
    <x v="2"/>
    <x v="2"/>
    <n v="15.48243353"/>
  </r>
  <r>
    <x v="0"/>
    <x v="9"/>
    <x v="7"/>
    <x v="4"/>
    <x v="2"/>
    <x v="2"/>
    <n v="9.0916735729999996"/>
  </r>
  <r>
    <x v="0"/>
    <x v="9"/>
    <x v="7"/>
    <x v="5"/>
    <x v="2"/>
    <x v="2"/>
    <n v="33.363827348999997"/>
  </r>
  <r>
    <x v="0"/>
    <x v="9"/>
    <x v="7"/>
    <x v="6"/>
    <x v="2"/>
    <x v="2"/>
    <n v="13.629786210000001"/>
  </r>
  <r>
    <x v="0"/>
    <x v="9"/>
    <x v="7"/>
    <x v="7"/>
    <x v="2"/>
    <x v="2"/>
    <n v="12.500738372000001"/>
  </r>
  <r>
    <x v="0"/>
    <x v="9"/>
    <x v="7"/>
    <x v="8"/>
    <x v="2"/>
    <x v="2"/>
    <n v="7.0303927389999998"/>
  </r>
  <r>
    <x v="0"/>
    <x v="9"/>
    <x v="7"/>
    <x v="9"/>
    <x v="2"/>
    <x v="2"/>
    <n v="20.436604582000001"/>
  </r>
  <r>
    <x v="0"/>
    <x v="9"/>
    <x v="7"/>
    <x v="10"/>
    <x v="2"/>
    <x v="2"/>
    <n v="9.4754058410000006"/>
  </r>
  <r>
    <x v="0"/>
    <x v="9"/>
    <x v="7"/>
    <x v="11"/>
    <x v="2"/>
    <x v="2"/>
    <n v="42.830687425999997"/>
  </r>
  <r>
    <x v="0"/>
    <x v="9"/>
    <x v="7"/>
    <x v="12"/>
    <x v="2"/>
    <x v="2"/>
    <n v="19.306274594000001"/>
  </r>
  <r>
    <x v="0"/>
    <x v="9"/>
    <x v="7"/>
    <x v="13"/>
    <x v="2"/>
    <x v="2"/>
    <n v="26.964515693999999"/>
  </r>
  <r>
    <x v="0"/>
    <x v="9"/>
    <x v="7"/>
    <x v="14"/>
    <x v="2"/>
    <x v="2"/>
    <n v="12.924130526000001"/>
  </r>
  <r>
    <x v="0"/>
    <x v="9"/>
    <x v="7"/>
    <x v="15"/>
    <x v="2"/>
    <x v="2"/>
    <n v="16.042722306000002"/>
  </r>
  <r>
    <x v="0"/>
    <x v="9"/>
    <x v="7"/>
    <x v="16"/>
    <x v="2"/>
    <x v="2"/>
    <n v="10.711479662"/>
  </r>
  <r>
    <x v="0"/>
    <x v="9"/>
    <x v="7"/>
    <x v="17"/>
    <x v="2"/>
    <x v="2"/>
    <n v="21.788256857"/>
  </r>
  <r>
    <x v="0"/>
    <x v="9"/>
    <x v="7"/>
    <x v="18"/>
    <x v="2"/>
    <x v="2"/>
    <n v="13.474703752"/>
  </r>
  <r>
    <x v="0"/>
    <x v="9"/>
    <x v="7"/>
    <x v="19"/>
    <x v="2"/>
    <x v="2"/>
    <n v="22.689650793999999"/>
  </r>
  <r>
    <x v="0"/>
    <x v="9"/>
    <x v="7"/>
    <x v="20"/>
    <x v="2"/>
    <x v="2"/>
    <n v="3.1434825609999999"/>
  </r>
  <r>
    <x v="0"/>
    <x v="9"/>
    <x v="7"/>
    <x v="21"/>
    <x v="2"/>
    <x v="2"/>
    <n v="1.4122718510000001"/>
  </r>
  <r>
    <x v="0"/>
    <x v="9"/>
    <x v="7"/>
    <x v="22"/>
    <x v="2"/>
    <x v="2"/>
    <n v="0.98382148999999997"/>
  </r>
  <r>
    <x v="0"/>
    <x v="9"/>
    <x v="7"/>
    <x v="23"/>
    <x v="2"/>
    <x v="2"/>
    <n v="0.91973100799999996"/>
  </r>
  <r>
    <x v="0"/>
    <x v="9"/>
    <x v="7"/>
    <x v="24"/>
    <x v="2"/>
    <x v="2"/>
    <n v="19.718999404000002"/>
  </r>
  <r>
    <x v="0"/>
    <x v="9"/>
    <x v="7"/>
    <x v="25"/>
    <x v="2"/>
    <x v="2"/>
    <n v="0.88078299000000004"/>
  </r>
  <r>
    <x v="0"/>
    <x v="9"/>
    <x v="7"/>
    <x v="26"/>
    <x v="2"/>
    <x v="2"/>
    <n v="1.720399778"/>
  </r>
  <r>
    <x v="0"/>
    <x v="9"/>
    <x v="7"/>
    <x v="27"/>
    <x v="2"/>
    <x v="2"/>
    <n v="72.187811546000006"/>
  </r>
  <r>
    <x v="0"/>
    <x v="9"/>
    <x v="7"/>
    <x v="28"/>
    <x v="2"/>
    <x v="2"/>
    <n v="87.362829160000004"/>
  </r>
  <r>
    <x v="0"/>
    <x v="9"/>
    <x v="7"/>
    <x v="29"/>
    <x v="2"/>
    <x v="2"/>
    <n v="68.187517468999999"/>
  </r>
  <r>
    <x v="0"/>
    <x v="9"/>
    <x v="7"/>
    <x v="30"/>
    <x v="2"/>
    <x v="2"/>
    <n v="27.816767256999999"/>
  </r>
  <r>
    <x v="0"/>
    <x v="9"/>
    <x v="7"/>
    <x v="31"/>
    <x v="2"/>
    <x v="2"/>
    <n v="18.431864852"/>
  </r>
  <r>
    <x v="0"/>
    <x v="9"/>
    <x v="7"/>
    <x v="32"/>
    <x v="2"/>
    <x v="2"/>
    <n v="77.111489042000002"/>
  </r>
  <r>
    <x v="0"/>
    <x v="9"/>
    <x v="7"/>
    <x v="33"/>
    <x v="2"/>
    <x v="2"/>
    <n v="28.230191856000001"/>
  </r>
  <r>
    <x v="0"/>
    <x v="9"/>
    <x v="7"/>
    <x v="34"/>
    <x v="2"/>
    <x v="2"/>
    <n v="37.517937031000002"/>
  </r>
  <r>
    <x v="0"/>
    <x v="9"/>
    <x v="7"/>
    <x v="35"/>
    <x v="2"/>
    <x v="2"/>
    <n v="36.570510601000002"/>
  </r>
  <r>
    <x v="0"/>
    <x v="9"/>
    <x v="7"/>
    <x v="36"/>
    <x v="2"/>
    <x v="2"/>
    <n v="14.375354181000001"/>
  </r>
  <r>
    <x v="0"/>
    <x v="9"/>
    <x v="7"/>
    <x v="37"/>
    <x v="2"/>
    <x v="2"/>
    <n v="25.421743417999998"/>
  </r>
  <r>
    <x v="0"/>
    <x v="9"/>
    <x v="7"/>
    <x v="38"/>
    <x v="2"/>
    <x v="2"/>
    <n v="138.009807857"/>
  </r>
  <r>
    <x v="0"/>
    <x v="9"/>
    <x v="7"/>
    <x v="39"/>
    <x v="2"/>
    <x v="2"/>
    <n v="41.627535901999998"/>
  </r>
  <r>
    <x v="0"/>
    <x v="9"/>
    <x v="7"/>
    <x v="40"/>
    <x v="2"/>
    <x v="2"/>
    <n v="11.329062746"/>
  </r>
  <r>
    <x v="0"/>
    <x v="9"/>
    <x v="7"/>
    <x v="41"/>
    <x v="2"/>
    <x v="2"/>
    <n v="258.31636541900002"/>
  </r>
  <r>
    <x v="0"/>
    <x v="9"/>
    <x v="8"/>
    <x v="0"/>
    <x v="2"/>
    <x v="3"/>
    <n v="6.7464183999999996E-2"/>
  </r>
  <r>
    <x v="0"/>
    <x v="9"/>
    <x v="8"/>
    <x v="1"/>
    <x v="2"/>
    <x v="3"/>
    <n v="6.7464183999999996E-2"/>
  </r>
  <r>
    <x v="0"/>
    <x v="9"/>
    <x v="8"/>
    <x v="2"/>
    <x v="2"/>
    <x v="3"/>
    <n v="6.7464183999999996E-2"/>
  </r>
  <r>
    <x v="0"/>
    <x v="9"/>
    <x v="8"/>
    <x v="3"/>
    <x v="2"/>
    <x v="3"/>
    <n v="6.7464183999999996E-2"/>
  </r>
  <r>
    <x v="0"/>
    <x v="9"/>
    <x v="8"/>
    <x v="4"/>
    <x v="2"/>
    <x v="3"/>
    <n v="6.7464183999999996E-2"/>
  </r>
  <r>
    <x v="0"/>
    <x v="9"/>
    <x v="8"/>
    <x v="5"/>
    <x v="2"/>
    <x v="3"/>
    <n v="6.7464183999999996E-2"/>
  </r>
  <r>
    <x v="0"/>
    <x v="9"/>
    <x v="8"/>
    <x v="6"/>
    <x v="2"/>
    <x v="3"/>
    <n v="6.7464183999999996E-2"/>
  </r>
  <r>
    <x v="0"/>
    <x v="9"/>
    <x v="8"/>
    <x v="7"/>
    <x v="2"/>
    <x v="3"/>
    <n v="6.7464183999999996E-2"/>
  </r>
  <r>
    <x v="0"/>
    <x v="9"/>
    <x v="8"/>
    <x v="8"/>
    <x v="2"/>
    <x v="3"/>
    <n v="6.7464183999999996E-2"/>
  </r>
  <r>
    <x v="0"/>
    <x v="9"/>
    <x v="8"/>
    <x v="9"/>
    <x v="2"/>
    <x v="3"/>
    <n v="6.7464183999999996E-2"/>
  </r>
  <r>
    <x v="0"/>
    <x v="9"/>
    <x v="8"/>
    <x v="10"/>
    <x v="2"/>
    <x v="3"/>
    <n v="6.7464183999999996E-2"/>
  </r>
  <r>
    <x v="0"/>
    <x v="9"/>
    <x v="8"/>
    <x v="11"/>
    <x v="2"/>
    <x v="3"/>
    <n v="6.7464183999999996E-2"/>
  </r>
  <r>
    <x v="0"/>
    <x v="9"/>
    <x v="8"/>
    <x v="12"/>
    <x v="2"/>
    <x v="3"/>
    <n v="6.7464183999999996E-2"/>
  </r>
  <r>
    <x v="0"/>
    <x v="9"/>
    <x v="8"/>
    <x v="13"/>
    <x v="2"/>
    <x v="3"/>
    <n v="6.7464183999999996E-2"/>
  </r>
  <r>
    <x v="0"/>
    <x v="9"/>
    <x v="8"/>
    <x v="14"/>
    <x v="2"/>
    <x v="3"/>
    <n v="6.7464183999999996E-2"/>
  </r>
  <r>
    <x v="0"/>
    <x v="9"/>
    <x v="8"/>
    <x v="15"/>
    <x v="2"/>
    <x v="3"/>
    <n v="6.7464183999999996E-2"/>
  </r>
  <r>
    <x v="0"/>
    <x v="9"/>
    <x v="8"/>
    <x v="16"/>
    <x v="2"/>
    <x v="3"/>
    <n v="6.7464183999999996E-2"/>
  </r>
  <r>
    <x v="0"/>
    <x v="9"/>
    <x v="8"/>
    <x v="17"/>
    <x v="2"/>
    <x v="3"/>
    <n v="6.7464183999999996E-2"/>
  </r>
  <r>
    <x v="0"/>
    <x v="9"/>
    <x v="8"/>
    <x v="18"/>
    <x v="2"/>
    <x v="3"/>
    <n v="6.7464183999999996E-2"/>
  </r>
  <r>
    <x v="0"/>
    <x v="9"/>
    <x v="8"/>
    <x v="19"/>
    <x v="2"/>
    <x v="3"/>
    <n v="6.7464183999999996E-2"/>
  </r>
  <r>
    <x v="0"/>
    <x v="9"/>
    <x v="8"/>
    <x v="20"/>
    <x v="2"/>
    <x v="3"/>
    <n v="6.7464183999999996E-2"/>
  </r>
  <r>
    <x v="0"/>
    <x v="9"/>
    <x v="8"/>
    <x v="21"/>
    <x v="2"/>
    <x v="3"/>
    <n v="6.7464183999999996E-2"/>
  </r>
  <r>
    <x v="0"/>
    <x v="9"/>
    <x v="8"/>
    <x v="22"/>
    <x v="2"/>
    <x v="3"/>
    <n v="6.7464183999999996E-2"/>
  </r>
  <r>
    <x v="0"/>
    <x v="9"/>
    <x v="8"/>
    <x v="23"/>
    <x v="2"/>
    <x v="3"/>
    <n v="6.7464183999999996E-2"/>
  </r>
  <r>
    <x v="0"/>
    <x v="9"/>
    <x v="8"/>
    <x v="24"/>
    <x v="2"/>
    <x v="3"/>
    <n v="6.7464183999999996E-2"/>
  </r>
  <r>
    <x v="0"/>
    <x v="9"/>
    <x v="8"/>
    <x v="25"/>
    <x v="2"/>
    <x v="3"/>
    <n v="6.7464183999999996E-2"/>
  </r>
  <r>
    <x v="0"/>
    <x v="9"/>
    <x v="8"/>
    <x v="26"/>
    <x v="2"/>
    <x v="3"/>
    <n v="6.7464183999999996E-2"/>
  </r>
  <r>
    <x v="0"/>
    <x v="9"/>
    <x v="8"/>
    <x v="27"/>
    <x v="2"/>
    <x v="3"/>
    <n v="6.7464183999999996E-2"/>
  </r>
  <r>
    <x v="0"/>
    <x v="9"/>
    <x v="8"/>
    <x v="28"/>
    <x v="2"/>
    <x v="3"/>
    <n v="6.7464183999999996E-2"/>
  </r>
  <r>
    <x v="0"/>
    <x v="9"/>
    <x v="8"/>
    <x v="29"/>
    <x v="2"/>
    <x v="3"/>
    <n v="6.7464183999999996E-2"/>
  </r>
  <r>
    <x v="0"/>
    <x v="9"/>
    <x v="8"/>
    <x v="30"/>
    <x v="2"/>
    <x v="3"/>
    <n v="6.7464183999999996E-2"/>
  </r>
  <r>
    <x v="0"/>
    <x v="9"/>
    <x v="8"/>
    <x v="31"/>
    <x v="2"/>
    <x v="3"/>
    <n v="6.7464183999999996E-2"/>
  </r>
  <r>
    <x v="0"/>
    <x v="9"/>
    <x v="8"/>
    <x v="32"/>
    <x v="2"/>
    <x v="3"/>
    <n v="6.7464183999999996E-2"/>
  </r>
  <r>
    <x v="0"/>
    <x v="9"/>
    <x v="8"/>
    <x v="33"/>
    <x v="2"/>
    <x v="3"/>
    <n v="6.7464183999999996E-2"/>
  </r>
  <r>
    <x v="0"/>
    <x v="9"/>
    <x v="8"/>
    <x v="34"/>
    <x v="2"/>
    <x v="3"/>
    <n v="6.7464183999999996E-2"/>
  </r>
  <r>
    <x v="0"/>
    <x v="9"/>
    <x v="8"/>
    <x v="35"/>
    <x v="2"/>
    <x v="3"/>
    <n v="6.7464183999999996E-2"/>
  </r>
  <r>
    <x v="0"/>
    <x v="9"/>
    <x v="8"/>
    <x v="36"/>
    <x v="2"/>
    <x v="3"/>
    <n v="6.7464183999999996E-2"/>
  </r>
  <r>
    <x v="0"/>
    <x v="9"/>
    <x v="8"/>
    <x v="37"/>
    <x v="2"/>
    <x v="3"/>
    <n v="6.7464183999999996E-2"/>
  </r>
  <r>
    <x v="0"/>
    <x v="9"/>
    <x v="8"/>
    <x v="38"/>
    <x v="2"/>
    <x v="3"/>
    <n v="6.7464183999999996E-2"/>
  </r>
  <r>
    <x v="0"/>
    <x v="9"/>
    <x v="8"/>
    <x v="39"/>
    <x v="2"/>
    <x v="3"/>
    <n v="6.7464183999999996E-2"/>
  </r>
  <r>
    <x v="0"/>
    <x v="9"/>
    <x v="8"/>
    <x v="40"/>
    <x v="2"/>
    <x v="3"/>
    <n v="6.7464183999999996E-2"/>
  </r>
  <r>
    <x v="0"/>
    <x v="9"/>
    <x v="8"/>
    <x v="41"/>
    <x v="2"/>
    <x v="3"/>
    <n v="6.7464183999999996E-2"/>
  </r>
  <r>
    <x v="0"/>
    <x v="9"/>
    <x v="7"/>
    <x v="0"/>
    <x v="3"/>
    <x v="2"/>
    <n v="395.02202800600003"/>
  </r>
  <r>
    <x v="0"/>
    <x v="9"/>
    <x v="7"/>
    <x v="1"/>
    <x v="3"/>
    <x v="2"/>
    <n v="43.669052929000003"/>
  </r>
  <r>
    <x v="0"/>
    <x v="9"/>
    <x v="7"/>
    <x v="2"/>
    <x v="3"/>
    <x v="2"/>
    <n v="17.61244215"/>
  </r>
  <r>
    <x v="0"/>
    <x v="9"/>
    <x v="7"/>
    <x v="3"/>
    <x v="3"/>
    <x v="2"/>
    <n v="14.594576031000001"/>
  </r>
  <r>
    <x v="0"/>
    <x v="9"/>
    <x v="7"/>
    <x v="4"/>
    <x v="3"/>
    <x v="2"/>
    <n v="8.6629139960000003"/>
  </r>
  <r>
    <x v="0"/>
    <x v="9"/>
    <x v="7"/>
    <x v="5"/>
    <x v="3"/>
    <x v="2"/>
    <n v="31.012985559000001"/>
  </r>
  <r>
    <x v="0"/>
    <x v="9"/>
    <x v="7"/>
    <x v="6"/>
    <x v="3"/>
    <x v="2"/>
    <n v="12.920225663"/>
  </r>
  <r>
    <x v="0"/>
    <x v="9"/>
    <x v="7"/>
    <x v="7"/>
    <x v="3"/>
    <x v="2"/>
    <n v="11.987909455"/>
  </r>
  <r>
    <x v="0"/>
    <x v="9"/>
    <x v="7"/>
    <x v="8"/>
    <x v="3"/>
    <x v="2"/>
    <n v="6.6450978650000003"/>
  </r>
  <r>
    <x v="0"/>
    <x v="9"/>
    <x v="7"/>
    <x v="9"/>
    <x v="3"/>
    <x v="2"/>
    <n v="19.412254268000002"/>
  </r>
  <r>
    <x v="0"/>
    <x v="9"/>
    <x v="7"/>
    <x v="10"/>
    <x v="3"/>
    <x v="2"/>
    <n v="8.8059893250000005"/>
  </r>
  <r>
    <x v="0"/>
    <x v="9"/>
    <x v="7"/>
    <x v="11"/>
    <x v="3"/>
    <x v="2"/>
    <n v="39.572600981999997"/>
  </r>
  <r>
    <x v="0"/>
    <x v="9"/>
    <x v="7"/>
    <x v="12"/>
    <x v="3"/>
    <x v="2"/>
    <n v="18.145571607000001"/>
  </r>
  <r>
    <x v="0"/>
    <x v="9"/>
    <x v="7"/>
    <x v="13"/>
    <x v="3"/>
    <x v="2"/>
    <n v="24.694964791"/>
  </r>
  <r>
    <x v="0"/>
    <x v="9"/>
    <x v="7"/>
    <x v="14"/>
    <x v="3"/>
    <x v="2"/>
    <n v="12.198129974"/>
  </r>
  <r>
    <x v="0"/>
    <x v="9"/>
    <x v="7"/>
    <x v="15"/>
    <x v="3"/>
    <x v="2"/>
    <n v="15.229694506"/>
  </r>
  <r>
    <x v="0"/>
    <x v="9"/>
    <x v="7"/>
    <x v="16"/>
    <x v="3"/>
    <x v="2"/>
    <n v="10.159750606999999"/>
  </r>
  <r>
    <x v="0"/>
    <x v="9"/>
    <x v="7"/>
    <x v="17"/>
    <x v="3"/>
    <x v="2"/>
    <n v="20.621678865"/>
  </r>
  <r>
    <x v="0"/>
    <x v="9"/>
    <x v="7"/>
    <x v="18"/>
    <x v="3"/>
    <x v="2"/>
    <n v="12.595051603"/>
  </r>
  <r>
    <x v="0"/>
    <x v="9"/>
    <x v="7"/>
    <x v="19"/>
    <x v="3"/>
    <x v="2"/>
    <n v="21.654733419999999"/>
  </r>
  <r>
    <x v="0"/>
    <x v="9"/>
    <x v="7"/>
    <x v="20"/>
    <x v="3"/>
    <x v="2"/>
    <n v="2.9624085899999999"/>
  </r>
  <r>
    <x v="0"/>
    <x v="9"/>
    <x v="7"/>
    <x v="21"/>
    <x v="3"/>
    <x v="2"/>
    <n v="1.343675025"/>
  </r>
  <r>
    <x v="0"/>
    <x v="9"/>
    <x v="7"/>
    <x v="22"/>
    <x v="3"/>
    <x v="2"/>
    <n v="0.78301792699999995"/>
  </r>
  <r>
    <x v="0"/>
    <x v="9"/>
    <x v="7"/>
    <x v="23"/>
    <x v="3"/>
    <x v="2"/>
    <n v="0.904247523"/>
  </r>
  <r>
    <x v="0"/>
    <x v="9"/>
    <x v="7"/>
    <x v="24"/>
    <x v="3"/>
    <x v="2"/>
    <n v="17.947288191999998"/>
  </r>
  <r>
    <x v="0"/>
    <x v="9"/>
    <x v="7"/>
    <x v="25"/>
    <x v="3"/>
    <x v="2"/>
    <n v="0.79672354899999998"/>
  </r>
  <r>
    <x v="0"/>
    <x v="9"/>
    <x v="7"/>
    <x v="26"/>
    <x v="3"/>
    <x v="2"/>
    <n v="1.6323706689999999"/>
  </r>
  <r>
    <x v="0"/>
    <x v="9"/>
    <x v="7"/>
    <x v="27"/>
    <x v="3"/>
    <x v="2"/>
    <n v="70.072061383999994"/>
  </r>
  <r>
    <x v="0"/>
    <x v="9"/>
    <x v="7"/>
    <x v="28"/>
    <x v="3"/>
    <x v="2"/>
    <n v="81.177631821999995"/>
  </r>
  <r>
    <x v="0"/>
    <x v="9"/>
    <x v="7"/>
    <x v="29"/>
    <x v="3"/>
    <x v="2"/>
    <n v="64.012541354000007"/>
  </r>
  <r>
    <x v="0"/>
    <x v="9"/>
    <x v="7"/>
    <x v="30"/>
    <x v="3"/>
    <x v="2"/>
    <n v="27.105141396"/>
  </r>
  <r>
    <x v="0"/>
    <x v="9"/>
    <x v="7"/>
    <x v="31"/>
    <x v="3"/>
    <x v="2"/>
    <n v="16.70265019"/>
  </r>
  <r>
    <x v="0"/>
    <x v="9"/>
    <x v="7"/>
    <x v="32"/>
    <x v="3"/>
    <x v="2"/>
    <n v="70.358498560000001"/>
  </r>
  <r>
    <x v="0"/>
    <x v="9"/>
    <x v="7"/>
    <x v="33"/>
    <x v="3"/>
    <x v="2"/>
    <n v="24.200717869999998"/>
  </r>
  <r>
    <x v="0"/>
    <x v="9"/>
    <x v="7"/>
    <x v="34"/>
    <x v="3"/>
    <x v="2"/>
    <n v="35.531216291"/>
  </r>
  <r>
    <x v="0"/>
    <x v="9"/>
    <x v="7"/>
    <x v="35"/>
    <x v="3"/>
    <x v="2"/>
    <n v="34.812869442"/>
  </r>
  <r>
    <x v="0"/>
    <x v="9"/>
    <x v="7"/>
    <x v="36"/>
    <x v="3"/>
    <x v="2"/>
    <n v="13.721444636999999"/>
  </r>
  <r>
    <x v="0"/>
    <x v="9"/>
    <x v="7"/>
    <x v="37"/>
    <x v="3"/>
    <x v="2"/>
    <n v="24.782304819"/>
  </r>
  <r>
    <x v="0"/>
    <x v="9"/>
    <x v="7"/>
    <x v="38"/>
    <x v="3"/>
    <x v="2"/>
    <n v="136.88840204300001"/>
  </r>
  <r>
    <x v="0"/>
    <x v="9"/>
    <x v="7"/>
    <x v="39"/>
    <x v="3"/>
    <x v="2"/>
    <n v="41.185005703999998"/>
  </r>
  <r>
    <x v="0"/>
    <x v="9"/>
    <x v="7"/>
    <x v="40"/>
    <x v="3"/>
    <x v="2"/>
    <n v="10.803482505"/>
  </r>
  <r>
    <x v="0"/>
    <x v="9"/>
    <x v="7"/>
    <x v="41"/>
    <x v="3"/>
    <x v="2"/>
    <n v="256.50539143499998"/>
  </r>
  <r>
    <x v="0"/>
    <x v="9"/>
    <x v="8"/>
    <x v="0"/>
    <x v="3"/>
    <x v="3"/>
    <n v="6.5221928999999998E-2"/>
  </r>
  <r>
    <x v="0"/>
    <x v="9"/>
    <x v="8"/>
    <x v="1"/>
    <x v="3"/>
    <x v="3"/>
    <n v="6.5221928999999998E-2"/>
  </r>
  <r>
    <x v="0"/>
    <x v="9"/>
    <x v="8"/>
    <x v="2"/>
    <x v="3"/>
    <x v="3"/>
    <n v="6.5221928999999998E-2"/>
  </r>
  <r>
    <x v="0"/>
    <x v="9"/>
    <x v="8"/>
    <x v="3"/>
    <x v="3"/>
    <x v="3"/>
    <n v="6.5221928999999998E-2"/>
  </r>
  <r>
    <x v="0"/>
    <x v="9"/>
    <x v="8"/>
    <x v="4"/>
    <x v="3"/>
    <x v="3"/>
    <n v="6.5221928999999998E-2"/>
  </r>
  <r>
    <x v="0"/>
    <x v="9"/>
    <x v="8"/>
    <x v="5"/>
    <x v="3"/>
    <x v="3"/>
    <n v="6.5221928999999998E-2"/>
  </r>
  <r>
    <x v="0"/>
    <x v="9"/>
    <x v="8"/>
    <x v="6"/>
    <x v="3"/>
    <x v="3"/>
    <n v="6.5221928999999998E-2"/>
  </r>
  <r>
    <x v="0"/>
    <x v="9"/>
    <x v="8"/>
    <x v="7"/>
    <x v="3"/>
    <x v="3"/>
    <n v="6.5221928999999998E-2"/>
  </r>
  <r>
    <x v="0"/>
    <x v="9"/>
    <x v="8"/>
    <x v="8"/>
    <x v="3"/>
    <x v="3"/>
    <n v="6.5221928999999998E-2"/>
  </r>
  <r>
    <x v="0"/>
    <x v="9"/>
    <x v="8"/>
    <x v="9"/>
    <x v="3"/>
    <x v="3"/>
    <n v="6.5221928999999998E-2"/>
  </r>
  <r>
    <x v="0"/>
    <x v="9"/>
    <x v="8"/>
    <x v="10"/>
    <x v="3"/>
    <x v="3"/>
    <n v="6.5221928999999998E-2"/>
  </r>
  <r>
    <x v="0"/>
    <x v="9"/>
    <x v="8"/>
    <x v="11"/>
    <x v="3"/>
    <x v="3"/>
    <n v="6.5221928999999998E-2"/>
  </r>
  <r>
    <x v="0"/>
    <x v="9"/>
    <x v="8"/>
    <x v="12"/>
    <x v="3"/>
    <x v="3"/>
    <n v="6.5221928999999998E-2"/>
  </r>
  <r>
    <x v="0"/>
    <x v="9"/>
    <x v="8"/>
    <x v="13"/>
    <x v="3"/>
    <x v="3"/>
    <n v="6.5221928999999998E-2"/>
  </r>
  <r>
    <x v="0"/>
    <x v="9"/>
    <x v="8"/>
    <x v="14"/>
    <x v="3"/>
    <x v="3"/>
    <n v="6.5221928999999998E-2"/>
  </r>
  <r>
    <x v="0"/>
    <x v="9"/>
    <x v="8"/>
    <x v="15"/>
    <x v="3"/>
    <x v="3"/>
    <n v="6.5221928999999998E-2"/>
  </r>
  <r>
    <x v="0"/>
    <x v="9"/>
    <x v="8"/>
    <x v="16"/>
    <x v="3"/>
    <x v="3"/>
    <n v="6.5221928999999998E-2"/>
  </r>
  <r>
    <x v="0"/>
    <x v="9"/>
    <x v="8"/>
    <x v="17"/>
    <x v="3"/>
    <x v="3"/>
    <n v="6.5221928999999998E-2"/>
  </r>
  <r>
    <x v="0"/>
    <x v="9"/>
    <x v="8"/>
    <x v="18"/>
    <x v="3"/>
    <x v="3"/>
    <n v="6.5221928999999998E-2"/>
  </r>
  <r>
    <x v="0"/>
    <x v="9"/>
    <x v="8"/>
    <x v="19"/>
    <x v="3"/>
    <x v="3"/>
    <n v="6.5221928999999998E-2"/>
  </r>
  <r>
    <x v="0"/>
    <x v="9"/>
    <x v="8"/>
    <x v="20"/>
    <x v="3"/>
    <x v="3"/>
    <n v="6.5221928999999998E-2"/>
  </r>
  <r>
    <x v="0"/>
    <x v="9"/>
    <x v="8"/>
    <x v="21"/>
    <x v="3"/>
    <x v="3"/>
    <n v="6.5221928999999998E-2"/>
  </r>
  <r>
    <x v="0"/>
    <x v="9"/>
    <x v="8"/>
    <x v="22"/>
    <x v="3"/>
    <x v="3"/>
    <n v="6.5221928999999998E-2"/>
  </r>
  <r>
    <x v="0"/>
    <x v="9"/>
    <x v="8"/>
    <x v="23"/>
    <x v="3"/>
    <x v="3"/>
    <n v="6.5221928999999998E-2"/>
  </r>
  <r>
    <x v="0"/>
    <x v="9"/>
    <x v="8"/>
    <x v="24"/>
    <x v="3"/>
    <x v="3"/>
    <n v="6.5221928999999998E-2"/>
  </r>
  <r>
    <x v="0"/>
    <x v="9"/>
    <x v="8"/>
    <x v="25"/>
    <x v="3"/>
    <x v="3"/>
    <n v="6.5221928999999998E-2"/>
  </r>
  <r>
    <x v="0"/>
    <x v="9"/>
    <x v="8"/>
    <x v="26"/>
    <x v="3"/>
    <x v="3"/>
    <n v="6.5221928999999998E-2"/>
  </r>
  <r>
    <x v="0"/>
    <x v="9"/>
    <x v="8"/>
    <x v="27"/>
    <x v="3"/>
    <x v="3"/>
    <n v="6.5221928999999998E-2"/>
  </r>
  <r>
    <x v="0"/>
    <x v="9"/>
    <x v="8"/>
    <x v="28"/>
    <x v="3"/>
    <x v="3"/>
    <n v="6.5221928999999998E-2"/>
  </r>
  <r>
    <x v="0"/>
    <x v="9"/>
    <x v="8"/>
    <x v="29"/>
    <x v="3"/>
    <x v="3"/>
    <n v="6.5221928999999998E-2"/>
  </r>
  <r>
    <x v="0"/>
    <x v="9"/>
    <x v="8"/>
    <x v="30"/>
    <x v="3"/>
    <x v="3"/>
    <n v="6.5221928999999998E-2"/>
  </r>
  <r>
    <x v="0"/>
    <x v="9"/>
    <x v="8"/>
    <x v="31"/>
    <x v="3"/>
    <x v="3"/>
    <n v="6.5221928999999998E-2"/>
  </r>
  <r>
    <x v="0"/>
    <x v="9"/>
    <x v="8"/>
    <x v="32"/>
    <x v="3"/>
    <x v="3"/>
    <n v="6.5221928999999998E-2"/>
  </r>
  <r>
    <x v="0"/>
    <x v="9"/>
    <x v="8"/>
    <x v="33"/>
    <x v="3"/>
    <x v="3"/>
    <n v="6.5221928999999998E-2"/>
  </r>
  <r>
    <x v="0"/>
    <x v="9"/>
    <x v="8"/>
    <x v="34"/>
    <x v="3"/>
    <x v="3"/>
    <n v="6.5221928999999998E-2"/>
  </r>
  <r>
    <x v="0"/>
    <x v="9"/>
    <x v="8"/>
    <x v="35"/>
    <x v="3"/>
    <x v="3"/>
    <n v="6.5221928999999998E-2"/>
  </r>
  <r>
    <x v="0"/>
    <x v="9"/>
    <x v="8"/>
    <x v="36"/>
    <x v="3"/>
    <x v="3"/>
    <n v="6.5221928999999998E-2"/>
  </r>
  <r>
    <x v="0"/>
    <x v="9"/>
    <x v="8"/>
    <x v="37"/>
    <x v="3"/>
    <x v="3"/>
    <n v="6.5221928999999998E-2"/>
  </r>
  <r>
    <x v="0"/>
    <x v="9"/>
    <x v="8"/>
    <x v="38"/>
    <x v="3"/>
    <x v="3"/>
    <n v="6.5221928999999998E-2"/>
  </r>
  <r>
    <x v="0"/>
    <x v="9"/>
    <x v="8"/>
    <x v="39"/>
    <x v="3"/>
    <x v="3"/>
    <n v="6.5221928999999998E-2"/>
  </r>
  <r>
    <x v="0"/>
    <x v="9"/>
    <x v="8"/>
    <x v="40"/>
    <x v="3"/>
    <x v="3"/>
    <n v="6.5221928999999998E-2"/>
  </r>
  <r>
    <x v="0"/>
    <x v="9"/>
    <x v="8"/>
    <x v="41"/>
    <x v="3"/>
    <x v="3"/>
    <n v="6.5221928999999998E-2"/>
  </r>
  <r>
    <x v="0"/>
    <x v="9"/>
    <x v="9"/>
    <x v="42"/>
    <x v="4"/>
    <x v="4"/>
    <n v="74.890781740999998"/>
  </r>
  <r>
    <x v="0"/>
    <x v="9"/>
    <x v="9"/>
    <x v="42"/>
    <x v="5"/>
    <x v="4"/>
    <n v="1.081399601"/>
  </r>
  <r>
    <x v="0"/>
    <x v="9"/>
    <x v="9"/>
    <x v="42"/>
    <x v="6"/>
    <x v="4"/>
    <n v="0"/>
  </r>
  <r>
    <x v="0"/>
    <x v="9"/>
    <x v="9"/>
    <x v="42"/>
    <x v="7"/>
    <x v="4"/>
    <n v="0"/>
  </r>
  <r>
    <x v="0"/>
    <x v="9"/>
    <x v="9"/>
    <x v="42"/>
    <x v="8"/>
    <x v="4"/>
    <n v="0"/>
  </r>
  <r>
    <x v="0"/>
    <x v="9"/>
    <x v="9"/>
    <x v="42"/>
    <x v="9"/>
    <x v="4"/>
    <n v="82.460125148000003"/>
  </r>
  <r>
    <x v="0"/>
    <x v="9"/>
    <x v="9"/>
    <x v="42"/>
    <x v="10"/>
    <x v="4"/>
    <n v="2.3074882209999998"/>
  </r>
  <r>
    <x v="0"/>
    <x v="9"/>
    <x v="9"/>
    <x v="42"/>
    <x v="11"/>
    <x v="4"/>
    <n v="14.088784509"/>
  </r>
  <r>
    <x v="0"/>
    <x v="9"/>
    <x v="9"/>
    <x v="42"/>
    <x v="12"/>
    <x v="4"/>
    <n v="1.9921186740000001"/>
  </r>
  <r>
    <x v="0"/>
    <x v="9"/>
    <x v="9"/>
    <x v="42"/>
    <x v="13"/>
    <x v="4"/>
    <n v="3.2022917720000001"/>
  </r>
  <r>
    <x v="0"/>
    <x v="9"/>
    <x v="9"/>
    <x v="42"/>
    <x v="14"/>
    <x v="4"/>
    <n v="2.5454440950000001"/>
  </r>
  <r>
    <x v="0"/>
    <x v="9"/>
    <x v="9"/>
    <x v="42"/>
    <x v="15"/>
    <x v="4"/>
    <n v="11.218750633000001"/>
  </r>
  <r>
    <x v="0"/>
    <x v="9"/>
    <x v="9"/>
    <x v="42"/>
    <x v="16"/>
    <x v="4"/>
    <n v="1.503887239"/>
  </r>
  <r>
    <x v="0"/>
    <x v="9"/>
    <x v="9"/>
    <x v="42"/>
    <x v="17"/>
    <x v="4"/>
    <n v="0"/>
  </r>
  <r>
    <x v="0"/>
    <x v="9"/>
    <x v="9"/>
    <x v="42"/>
    <x v="18"/>
    <x v="4"/>
    <n v="0.92594180500000001"/>
  </r>
  <r>
    <x v="0"/>
    <x v="9"/>
    <x v="9"/>
    <x v="42"/>
    <x v="19"/>
    <x v="4"/>
    <n v="0.48495898399999998"/>
  </r>
  <r>
    <x v="0"/>
    <x v="9"/>
    <x v="9"/>
    <x v="42"/>
    <x v="20"/>
    <x v="4"/>
    <n v="0.123726867"/>
  </r>
  <r>
    <x v="0"/>
    <x v="9"/>
    <x v="9"/>
    <x v="42"/>
    <x v="21"/>
    <x v="4"/>
    <n v="8.3673859910000008"/>
  </r>
  <r>
    <x v="0"/>
    <x v="9"/>
    <x v="9"/>
    <x v="42"/>
    <x v="22"/>
    <x v="4"/>
    <n v="8.9137543229999991"/>
  </r>
  <r>
    <x v="0"/>
    <x v="9"/>
    <x v="9"/>
    <x v="42"/>
    <x v="23"/>
    <x v="4"/>
    <n v="8.4163699699999999"/>
  </r>
  <r>
    <x v="0"/>
    <x v="9"/>
    <x v="9"/>
    <x v="42"/>
    <x v="24"/>
    <x v="4"/>
    <n v="0.60202776400000002"/>
  </r>
  <r>
    <x v="0"/>
    <x v="9"/>
    <x v="9"/>
    <x v="42"/>
    <x v="25"/>
    <x v="4"/>
    <n v="0.62007094200000001"/>
  </r>
  <r>
    <x v="0"/>
    <x v="9"/>
    <x v="9"/>
    <x v="42"/>
    <x v="26"/>
    <x v="4"/>
    <n v="0"/>
  </r>
  <r>
    <x v="0"/>
    <x v="9"/>
    <x v="9"/>
    <x v="42"/>
    <x v="27"/>
    <x v="4"/>
    <n v="0"/>
  </r>
  <r>
    <x v="0"/>
    <x v="9"/>
    <x v="9"/>
    <x v="42"/>
    <x v="28"/>
    <x v="4"/>
    <n v="7.8180061399999996"/>
  </r>
  <r>
    <x v="0"/>
    <x v="9"/>
    <x v="9"/>
    <x v="42"/>
    <x v="29"/>
    <x v="4"/>
    <n v="1.0897196229999999"/>
  </r>
  <r>
    <x v="0"/>
    <x v="9"/>
    <x v="9"/>
    <x v="42"/>
    <x v="30"/>
    <x v="4"/>
    <n v="0.43246804799999999"/>
  </r>
  <r>
    <x v="0"/>
    <x v="9"/>
    <x v="9"/>
    <x v="42"/>
    <x v="31"/>
    <x v="4"/>
    <n v="0"/>
  </r>
  <r>
    <x v="0"/>
    <x v="9"/>
    <x v="9"/>
    <x v="42"/>
    <x v="32"/>
    <x v="4"/>
    <n v="32.388056116000001"/>
  </r>
  <r>
    <x v="0"/>
    <x v="9"/>
    <x v="9"/>
    <x v="42"/>
    <x v="33"/>
    <x v="4"/>
    <n v="10.589089356000001"/>
  </r>
  <r>
    <x v="0"/>
    <x v="9"/>
    <x v="9"/>
    <x v="42"/>
    <x v="34"/>
    <x v="4"/>
    <n v="-0.11981882200000001"/>
  </r>
  <r>
    <x v="0"/>
    <x v="9"/>
    <x v="9"/>
    <x v="42"/>
    <x v="35"/>
    <x v="4"/>
    <n v="16.421918558000002"/>
  </r>
  <r>
    <x v="0"/>
    <x v="9"/>
    <x v="9"/>
    <x v="42"/>
    <x v="36"/>
    <x v="4"/>
    <n v="21.179289994000001"/>
  </r>
  <r>
    <x v="0"/>
    <x v="9"/>
    <x v="9"/>
    <x v="42"/>
    <x v="37"/>
    <x v="4"/>
    <n v="154.796224002"/>
  </r>
  <r>
    <x v="0"/>
    <x v="9"/>
    <x v="9"/>
    <x v="42"/>
    <x v="38"/>
    <x v="4"/>
    <n v="0.38565865500000002"/>
  </r>
  <r>
    <x v="0"/>
    <x v="9"/>
    <x v="9"/>
    <x v="42"/>
    <x v="39"/>
    <x v="4"/>
    <n v="0.16449954"/>
  </r>
  <r>
    <x v="0"/>
    <x v="9"/>
    <x v="9"/>
    <x v="42"/>
    <x v="40"/>
    <x v="4"/>
    <n v="0.19636010800000001"/>
  </r>
  <r>
    <x v="0"/>
    <x v="9"/>
    <x v="9"/>
    <x v="42"/>
    <x v="41"/>
    <x v="4"/>
    <n v="1.599400535"/>
  </r>
  <r>
    <x v="0"/>
    <x v="9"/>
    <x v="9"/>
    <x v="42"/>
    <x v="42"/>
    <x v="4"/>
    <n v="-6.2276975620000004"/>
  </r>
  <r>
    <x v="0"/>
    <x v="9"/>
    <x v="9"/>
    <x v="42"/>
    <x v="43"/>
    <x v="4"/>
    <n v="-2.9961879840000001"/>
  </r>
  <r>
    <x v="0"/>
    <x v="9"/>
    <x v="9"/>
    <x v="42"/>
    <x v="44"/>
    <x v="4"/>
    <n v="1.7329916439999999"/>
  </r>
  <r>
    <x v="0"/>
    <x v="9"/>
    <x v="9"/>
    <x v="42"/>
    <x v="45"/>
    <x v="4"/>
    <n v="-0.14272984399999999"/>
  </r>
  <r>
    <x v="0"/>
    <x v="9"/>
    <x v="10"/>
    <x v="42"/>
    <x v="0"/>
    <x v="4"/>
    <n v="0.51112893500000001"/>
  </r>
  <r>
    <x v="0"/>
    <x v="9"/>
    <x v="11"/>
    <x v="42"/>
    <x v="0"/>
    <x v="4"/>
    <n v="12.534569459"/>
  </r>
  <r>
    <x v="0"/>
    <x v="9"/>
    <x v="9"/>
    <x v="43"/>
    <x v="4"/>
    <x v="4"/>
    <n v="135.855416271"/>
  </r>
  <r>
    <x v="0"/>
    <x v="9"/>
    <x v="9"/>
    <x v="43"/>
    <x v="5"/>
    <x v="4"/>
    <n v="0.696199024"/>
  </r>
  <r>
    <x v="0"/>
    <x v="9"/>
    <x v="9"/>
    <x v="43"/>
    <x v="6"/>
    <x v="4"/>
    <n v="0"/>
  </r>
  <r>
    <x v="0"/>
    <x v="9"/>
    <x v="9"/>
    <x v="43"/>
    <x v="7"/>
    <x v="4"/>
    <n v="0"/>
  </r>
  <r>
    <x v="0"/>
    <x v="9"/>
    <x v="9"/>
    <x v="43"/>
    <x v="8"/>
    <x v="4"/>
    <n v="0"/>
  </r>
  <r>
    <x v="0"/>
    <x v="9"/>
    <x v="9"/>
    <x v="43"/>
    <x v="9"/>
    <x v="4"/>
    <n v="307.23083796200001"/>
  </r>
  <r>
    <x v="0"/>
    <x v="9"/>
    <x v="9"/>
    <x v="43"/>
    <x v="10"/>
    <x v="4"/>
    <n v="2.9000636910000002"/>
  </r>
  <r>
    <x v="0"/>
    <x v="9"/>
    <x v="9"/>
    <x v="43"/>
    <x v="11"/>
    <x v="4"/>
    <n v="58.565080815999998"/>
  </r>
  <r>
    <x v="0"/>
    <x v="9"/>
    <x v="9"/>
    <x v="43"/>
    <x v="12"/>
    <x v="4"/>
    <n v="5.3423764990000002"/>
  </r>
  <r>
    <x v="0"/>
    <x v="9"/>
    <x v="9"/>
    <x v="43"/>
    <x v="13"/>
    <x v="4"/>
    <n v="10.074851792"/>
  </r>
  <r>
    <x v="0"/>
    <x v="9"/>
    <x v="9"/>
    <x v="43"/>
    <x v="14"/>
    <x v="4"/>
    <n v="19.792510935999999"/>
  </r>
  <r>
    <x v="0"/>
    <x v="9"/>
    <x v="9"/>
    <x v="43"/>
    <x v="15"/>
    <x v="4"/>
    <n v="39.792469560000001"/>
  </r>
  <r>
    <x v="0"/>
    <x v="9"/>
    <x v="9"/>
    <x v="43"/>
    <x v="16"/>
    <x v="4"/>
    <n v="2.6309067509999999"/>
  </r>
  <r>
    <x v="0"/>
    <x v="9"/>
    <x v="9"/>
    <x v="43"/>
    <x v="17"/>
    <x v="4"/>
    <n v="0"/>
  </r>
  <r>
    <x v="0"/>
    <x v="9"/>
    <x v="9"/>
    <x v="43"/>
    <x v="18"/>
    <x v="4"/>
    <n v="3.1181014070000002"/>
  </r>
  <r>
    <x v="0"/>
    <x v="9"/>
    <x v="9"/>
    <x v="43"/>
    <x v="19"/>
    <x v="4"/>
    <n v="0.83979768200000005"/>
  </r>
  <r>
    <x v="0"/>
    <x v="9"/>
    <x v="9"/>
    <x v="43"/>
    <x v="20"/>
    <x v="4"/>
    <n v="0.833598858"/>
  </r>
  <r>
    <x v="0"/>
    <x v="9"/>
    <x v="9"/>
    <x v="43"/>
    <x v="21"/>
    <x v="4"/>
    <n v="48.014417621"/>
  </r>
  <r>
    <x v="0"/>
    <x v="9"/>
    <x v="9"/>
    <x v="43"/>
    <x v="22"/>
    <x v="4"/>
    <n v="20.949032571"/>
  </r>
  <r>
    <x v="0"/>
    <x v="9"/>
    <x v="9"/>
    <x v="43"/>
    <x v="23"/>
    <x v="4"/>
    <n v="23.264784508999998"/>
  </r>
  <r>
    <x v="0"/>
    <x v="9"/>
    <x v="9"/>
    <x v="43"/>
    <x v="24"/>
    <x v="4"/>
    <n v="1.1224175169999999"/>
  </r>
  <r>
    <x v="0"/>
    <x v="9"/>
    <x v="9"/>
    <x v="43"/>
    <x v="25"/>
    <x v="4"/>
    <n v="1.042148385"/>
  </r>
  <r>
    <x v="0"/>
    <x v="9"/>
    <x v="9"/>
    <x v="43"/>
    <x v="26"/>
    <x v="4"/>
    <n v="0"/>
  </r>
  <r>
    <x v="0"/>
    <x v="9"/>
    <x v="9"/>
    <x v="43"/>
    <x v="27"/>
    <x v="4"/>
    <n v="0"/>
  </r>
  <r>
    <x v="0"/>
    <x v="9"/>
    <x v="9"/>
    <x v="43"/>
    <x v="28"/>
    <x v="4"/>
    <n v="10.148304393"/>
  </r>
  <r>
    <x v="0"/>
    <x v="9"/>
    <x v="9"/>
    <x v="43"/>
    <x v="29"/>
    <x v="4"/>
    <n v="8.9054075459999993"/>
  </r>
  <r>
    <x v="0"/>
    <x v="9"/>
    <x v="9"/>
    <x v="43"/>
    <x v="30"/>
    <x v="4"/>
    <n v="-0.12884630799999999"/>
  </r>
  <r>
    <x v="0"/>
    <x v="9"/>
    <x v="9"/>
    <x v="43"/>
    <x v="31"/>
    <x v="4"/>
    <n v="0"/>
  </r>
  <r>
    <x v="0"/>
    <x v="9"/>
    <x v="9"/>
    <x v="43"/>
    <x v="32"/>
    <x v="4"/>
    <n v="45.095981768999998"/>
  </r>
  <r>
    <x v="0"/>
    <x v="9"/>
    <x v="9"/>
    <x v="43"/>
    <x v="33"/>
    <x v="4"/>
    <n v="12.913895202000001"/>
  </r>
  <r>
    <x v="0"/>
    <x v="9"/>
    <x v="9"/>
    <x v="43"/>
    <x v="34"/>
    <x v="4"/>
    <n v="-22.210012894999998"/>
  </r>
  <r>
    <x v="0"/>
    <x v="9"/>
    <x v="9"/>
    <x v="43"/>
    <x v="35"/>
    <x v="4"/>
    <n v="30.208901530999999"/>
  </r>
  <r>
    <x v="0"/>
    <x v="9"/>
    <x v="9"/>
    <x v="43"/>
    <x v="36"/>
    <x v="4"/>
    <n v="57.163142983"/>
  </r>
  <r>
    <x v="0"/>
    <x v="9"/>
    <x v="9"/>
    <x v="43"/>
    <x v="37"/>
    <x v="4"/>
    <n v="291.59703271799998"/>
  </r>
  <r>
    <x v="0"/>
    <x v="9"/>
    <x v="9"/>
    <x v="43"/>
    <x v="38"/>
    <x v="4"/>
    <n v="0.88062426599999999"/>
  </r>
  <r>
    <x v="0"/>
    <x v="9"/>
    <x v="9"/>
    <x v="43"/>
    <x v="39"/>
    <x v="4"/>
    <n v="-0.113567564"/>
  </r>
  <r>
    <x v="0"/>
    <x v="9"/>
    <x v="9"/>
    <x v="43"/>
    <x v="40"/>
    <x v="4"/>
    <n v="-0.99308937399999997"/>
  </r>
  <r>
    <x v="0"/>
    <x v="9"/>
    <x v="9"/>
    <x v="43"/>
    <x v="41"/>
    <x v="4"/>
    <n v="-14.087303223999999"/>
  </r>
  <r>
    <x v="0"/>
    <x v="9"/>
    <x v="9"/>
    <x v="43"/>
    <x v="42"/>
    <x v="4"/>
    <n v="-31.518830924"/>
  </r>
  <r>
    <x v="0"/>
    <x v="9"/>
    <x v="9"/>
    <x v="43"/>
    <x v="43"/>
    <x v="4"/>
    <n v="-28.980548794000001"/>
  </r>
  <r>
    <x v="0"/>
    <x v="9"/>
    <x v="9"/>
    <x v="43"/>
    <x v="44"/>
    <x v="4"/>
    <n v="-1.3629501550000001"/>
  </r>
  <r>
    <x v="0"/>
    <x v="9"/>
    <x v="9"/>
    <x v="43"/>
    <x v="45"/>
    <x v="4"/>
    <n v="-2.0135645000000002"/>
  </r>
  <r>
    <x v="0"/>
    <x v="9"/>
    <x v="10"/>
    <x v="43"/>
    <x v="0"/>
    <x v="4"/>
    <n v="1.50705947"/>
  </r>
  <r>
    <x v="0"/>
    <x v="9"/>
    <x v="11"/>
    <x v="43"/>
    <x v="0"/>
    <x v="4"/>
    <n v="39.542421898000001"/>
  </r>
  <r>
    <x v="0"/>
    <x v="9"/>
    <x v="12"/>
    <x v="0"/>
    <x v="0"/>
    <x v="0"/>
    <n v="691.40729826300003"/>
  </r>
  <r>
    <x v="0"/>
    <x v="9"/>
    <x v="13"/>
    <x v="0"/>
    <x v="0"/>
    <x v="0"/>
    <n v="308.91287071699998"/>
  </r>
  <r>
    <x v="0"/>
    <x v="9"/>
    <x v="14"/>
    <x v="0"/>
    <x v="0"/>
    <x v="0"/>
    <n v="0.89306255400000001"/>
  </r>
  <r>
    <x v="0"/>
    <x v="9"/>
    <x v="15"/>
    <x v="0"/>
    <x v="0"/>
    <x v="1"/>
    <n v="9.3528080999999999E-2"/>
  </r>
  <r>
    <x v="0"/>
    <x v="9"/>
    <x v="16"/>
    <x v="0"/>
    <x v="0"/>
    <x v="1"/>
    <n v="0.100303435"/>
  </r>
  <r>
    <x v="0"/>
    <x v="9"/>
    <x v="12"/>
    <x v="1"/>
    <x v="0"/>
    <x v="0"/>
    <n v="217.83844508799999"/>
  </r>
  <r>
    <x v="0"/>
    <x v="9"/>
    <x v="13"/>
    <x v="1"/>
    <x v="0"/>
    <x v="0"/>
    <n v="37.645238485"/>
  </r>
  <r>
    <x v="0"/>
    <x v="9"/>
    <x v="14"/>
    <x v="1"/>
    <x v="0"/>
    <x v="0"/>
    <n v="0.29212416000000002"/>
  </r>
  <r>
    <x v="0"/>
    <x v="9"/>
    <x v="15"/>
    <x v="1"/>
    <x v="0"/>
    <x v="1"/>
    <n v="5.3350606000000002E-2"/>
  </r>
  <r>
    <x v="0"/>
    <x v="9"/>
    <x v="16"/>
    <x v="1"/>
    <x v="0"/>
    <x v="1"/>
    <n v="5.4586307000000001E-2"/>
  </r>
  <r>
    <x v="0"/>
    <x v="9"/>
    <x v="12"/>
    <x v="2"/>
    <x v="0"/>
    <x v="0"/>
    <n v="273.78438745300002"/>
  </r>
  <r>
    <x v="0"/>
    <x v="9"/>
    <x v="13"/>
    <x v="2"/>
    <x v="0"/>
    <x v="0"/>
    <n v="97.425100955999994"/>
  </r>
  <r>
    <x v="0"/>
    <x v="9"/>
    <x v="14"/>
    <x v="2"/>
    <x v="0"/>
    <x v="0"/>
    <n v="2.245484303"/>
  </r>
  <r>
    <x v="0"/>
    <x v="9"/>
    <x v="15"/>
    <x v="2"/>
    <x v="0"/>
    <x v="1"/>
    <n v="3.2785793000000001E-2"/>
  </r>
  <r>
    <x v="0"/>
    <x v="9"/>
    <x v="16"/>
    <x v="2"/>
    <x v="0"/>
    <x v="1"/>
    <n v="3.0652901E-2"/>
  </r>
  <r>
    <x v="0"/>
    <x v="9"/>
    <x v="12"/>
    <x v="3"/>
    <x v="0"/>
    <x v="0"/>
    <n v="125.766926461"/>
  </r>
  <r>
    <x v="0"/>
    <x v="9"/>
    <x v="13"/>
    <x v="3"/>
    <x v="0"/>
    <x v="0"/>
    <n v="80.333853028999997"/>
  </r>
  <r>
    <x v="0"/>
    <x v="9"/>
    <x v="14"/>
    <x v="3"/>
    <x v="0"/>
    <x v="0"/>
    <n v="0.28615497099999998"/>
  </r>
  <r>
    <x v="0"/>
    <x v="9"/>
    <x v="15"/>
    <x v="3"/>
    <x v="0"/>
    <x v="1"/>
    <n v="4.1359672E-2"/>
  </r>
  <r>
    <x v="0"/>
    <x v="9"/>
    <x v="16"/>
    <x v="3"/>
    <x v="0"/>
    <x v="1"/>
    <n v="4.2598101999999999E-2"/>
  </r>
  <r>
    <x v="0"/>
    <x v="9"/>
    <x v="12"/>
    <x v="4"/>
    <x v="0"/>
    <x v="0"/>
    <n v="57.860505934000003"/>
  </r>
  <r>
    <x v="0"/>
    <x v="9"/>
    <x v="13"/>
    <x v="4"/>
    <x v="0"/>
    <x v="0"/>
    <n v="6.7981160200000001"/>
  </r>
  <r>
    <x v="0"/>
    <x v="9"/>
    <x v="14"/>
    <x v="4"/>
    <x v="0"/>
    <x v="0"/>
    <n v="0.47282505200000002"/>
  </r>
  <r>
    <x v="0"/>
    <x v="9"/>
    <x v="15"/>
    <x v="4"/>
    <x v="0"/>
    <x v="1"/>
    <n v="4.8453267000000001E-2"/>
  </r>
  <r>
    <x v="0"/>
    <x v="9"/>
    <x v="16"/>
    <x v="4"/>
    <x v="0"/>
    <x v="1"/>
    <n v="4.9058078999999997E-2"/>
  </r>
  <r>
    <x v="0"/>
    <x v="9"/>
    <x v="12"/>
    <x v="5"/>
    <x v="0"/>
    <x v="0"/>
    <n v="558.19397305099994"/>
  </r>
  <r>
    <x v="0"/>
    <x v="9"/>
    <x v="13"/>
    <x v="5"/>
    <x v="0"/>
    <x v="0"/>
    <n v="157.66074879799999"/>
  </r>
  <r>
    <x v="0"/>
    <x v="9"/>
    <x v="14"/>
    <x v="5"/>
    <x v="0"/>
    <x v="0"/>
    <n v="4.7413740329999996"/>
  </r>
  <r>
    <x v="0"/>
    <x v="9"/>
    <x v="15"/>
    <x v="5"/>
    <x v="0"/>
    <x v="1"/>
    <n v="7.0220373000000003E-2"/>
  </r>
  <r>
    <x v="0"/>
    <x v="9"/>
    <x v="16"/>
    <x v="5"/>
    <x v="0"/>
    <x v="1"/>
    <n v="7.2944812999999997E-2"/>
  </r>
  <r>
    <x v="0"/>
    <x v="9"/>
    <x v="12"/>
    <x v="6"/>
    <x v="0"/>
    <x v="0"/>
    <n v="169.25828646599999"/>
  </r>
  <r>
    <x v="0"/>
    <x v="9"/>
    <x v="13"/>
    <x v="6"/>
    <x v="0"/>
    <x v="0"/>
    <n v="23.85231482"/>
  </r>
  <r>
    <x v="0"/>
    <x v="9"/>
    <x v="14"/>
    <x v="6"/>
    <x v="0"/>
    <x v="0"/>
    <n v="8.7248790189999994"/>
  </r>
  <r>
    <x v="0"/>
    <x v="9"/>
    <x v="15"/>
    <x v="6"/>
    <x v="0"/>
    <x v="1"/>
    <n v="6.3720205000000002E-2"/>
  </r>
  <r>
    <x v="0"/>
    <x v="9"/>
    <x v="16"/>
    <x v="6"/>
    <x v="0"/>
    <x v="1"/>
    <n v="6.4899123000000003E-2"/>
  </r>
  <r>
    <x v="0"/>
    <x v="9"/>
    <x v="12"/>
    <x v="7"/>
    <x v="0"/>
    <x v="0"/>
    <n v="94.414602367000001"/>
  </r>
  <r>
    <x v="0"/>
    <x v="9"/>
    <x v="13"/>
    <x v="7"/>
    <x v="0"/>
    <x v="0"/>
    <n v="38.587545638999998"/>
  </r>
  <r>
    <x v="0"/>
    <x v="9"/>
    <x v="14"/>
    <x v="7"/>
    <x v="0"/>
    <x v="0"/>
    <n v="18.198431933999998"/>
  </r>
  <r>
    <x v="0"/>
    <x v="9"/>
    <x v="15"/>
    <x v="7"/>
    <x v="0"/>
    <x v="1"/>
    <n v="6.5453211999999997E-2"/>
  </r>
  <r>
    <x v="0"/>
    <x v="9"/>
    <x v="16"/>
    <x v="7"/>
    <x v="0"/>
    <x v="1"/>
    <n v="6.8954947000000003E-2"/>
  </r>
  <r>
    <x v="0"/>
    <x v="9"/>
    <x v="12"/>
    <x v="8"/>
    <x v="0"/>
    <x v="0"/>
    <n v="76.878888602999993"/>
  </r>
  <r>
    <x v="0"/>
    <x v="9"/>
    <x v="13"/>
    <x v="8"/>
    <x v="0"/>
    <x v="0"/>
    <n v="10.756131326"/>
  </r>
  <r>
    <x v="0"/>
    <x v="9"/>
    <x v="14"/>
    <x v="8"/>
    <x v="0"/>
    <x v="0"/>
    <n v="7.0268621939999996"/>
  </r>
  <r>
    <x v="0"/>
    <x v="9"/>
    <x v="15"/>
    <x v="8"/>
    <x v="0"/>
    <x v="1"/>
    <n v="5.9253305999999999E-2"/>
  </r>
  <r>
    <x v="0"/>
    <x v="9"/>
    <x v="16"/>
    <x v="8"/>
    <x v="0"/>
    <x v="1"/>
    <n v="6.0312553999999997E-2"/>
  </r>
  <r>
    <x v="0"/>
    <x v="9"/>
    <x v="12"/>
    <x v="9"/>
    <x v="0"/>
    <x v="0"/>
    <n v="195.801710902"/>
  </r>
  <r>
    <x v="0"/>
    <x v="9"/>
    <x v="13"/>
    <x v="9"/>
    <x v="0"/>
    <x v="0"/>
    <n v="36.538146918999999"/>
  </r>
  <r>
    <x v="0"/>
    <x v="9"/>
    <x v="14"/>
    <x v="9"/>
    <x v="0"/>
    <x v="0"/>
    <n v="16.326197385"/>
  </r>
  <r>
    <x v="0"/>
    <x v="9"/>
    <x v="15"/>
    <x v="9"/>
    <x v="0"/>
    <x v="1"/>
    <n v="5.2222300999999999E-2"/>
  </r>
  <r>
    <x v="0"/>
    <x v="9"/>
    <x v="16"/>
    <x v="9"/>
    <x v="0"/>
    <x v="1"/>
    <n v="5.3297860000000002E-2"/>
  </r>
  <r>
    <x v="0"/>
    <x v="9"/>
    <x v="12"/>
    <x v="10"/>
    <x v="0"/>
    <x v="0"/>
    <n v="323.26927566699999"/>
  </r>
  <r>
    <x v="0"/>
    <x v="9"/>
    <x v="13"/>
    <x v="10"/>
    <x v="0"/>
    <x v="0"/>
    <n v="34.687311559999998"/>
  </r>
  <r>
    <x v="0"/>
    <x v="9"/>
    <x v="14"/>
    <x v="10"/>
    <x v="0"/>
    <x v="0"/>
    <n v="6.3989955209999998"/>
  </r>
  <r>
    <x v="0"/>
    <x v="9"/>
    <x v="15"/>
    <x v="10"/>
    <x v="0"/>
    <x v="1"/>
    <n v="3.6774864999999997E-2"/>
  </r>
  <r>
    <x v="0"/>
    <x v="9"/>
    <x v="16"/>
    <x v="10"/>
    <x v="0"/>
    <x v="1"/>
    <n v="3.6669312000000003E-2"/>
  </r>
  <r>
    <x v="0"/>
    <x v="9"/>
    <x v="12"/>
    <x v="11"/>
    <x v="0"/>
    <x v="0"/>
    <n v="822.96273944999996"/>
  </r>
  <r>
    <x v="0"/>
    <x v="9"/>
    <x v="13"/>
    <x v="11"/>
    <x v="0"/>
    <x v="0"/>
    <n v="197.012028566"/>
  </r>
  <r>
    <x v="0"/>
    <x v="9"/>
    <x v="14"/>
    <x v="11"/>
    <x v="0"/>
    <x v="0"/>
    <n v="35.029151372000001"/>
  </r>
  <r>
    <x v="0"/>
    <x v="9"/>
    <x v="15"/>
    <x v="11"/>
    <x v="0"/>
    <x v="1"/>
    <n v="4.5061849000000001E-2"/>
  </r>
  <r>
    <x v="0"/>
    <x v="9"/>
    <x v="16"/>
    <x v="11"/>
    <x v="0"/>
    <x v="1"/>
    <n v="4.5830080000000002E-2"/>
  </r>
  <r>
    <x v="0"/>
    <x v="9"/>
    <x v="12"/>
    <x v="12"/>
    <x v="0"/>
    <x v="0"/>
    <n v="231.462814998"/>
  </r>
  <r>
    <x v="0"/>
    <x v="9"/>
    <x v="13"/>
    <x v="12"/>
    <x v="0"/>
    <x v="0"/>
    <n v="8.102390303"/>
  </r>
  <r>
    <x v="0"/>
    <x v="9"/>
    <x v="14"/>
    <x v="12"/>
    <x v="0"/>
    <x v="0"/>
    <n v="7.9664213869999996"/>
  </r>
  <r>
    <x v="0"/>
    <x v="9"/>
    <x v="15"/>
    <x v="12"/>
    <x v="0"/>
    <x v="1"/>
    <n v="4.6246175E-2"/>
  </r>
  <r>
    <x v="0"/>
    <x v="9"/>
    <x v="16"/>
    <x v="12"/>
    <x v="0"/>
    <x v="1"/>
    <n v="4.6376804000000001E-2"/>
  </r>
  <r>
    <x v="0"/>
    <x v="9"/>
    <x v="12"/>
    <x v="13"/>
    <x v="0"/>
    <x v="0"/>
    <n v="639.973682489"/>
  </r>
  <r>
    <x v="0"/>
    <x v="9"/>
    <x v="13"/>
    <x v="13"/>
    <x v="0"/>
    <x v="0"/>
    <n v="78.834912555000002"/>
  </r>
  <r>
    <x v="0"/>
    <x v="9"/>
    <x v="14"/>
    <x v="13"/>
    <x v="0"/>
    <x v="0"/>
    <n v="19.986323088999999"/>
  </r>
  <r>
    <x v="0"/>
    <x v="9"/>
    <x v="15"/>
    <x v="13"/>
    <x v="0"/>
    <x v="1"/>
    <n v="3.7619864000000003E-2"/>
  </r>
  <r>
    <x v="0"/>
    <x v="9"/>
    <x v="16"/>
    <x v="13"/>
    <x v="0"/>
    <x v="1"/>
    <n v="3.7562052999999998E-2"/>
  </r>
  <r>
    <x v="0"/>
    <x v="9"/>
    <x v="12"/>
    <x v="14"/>
    <x v="0"/>
    <x v="0"/>
    <n v="162.27146221300001"/>
  </r>
  <r>
    <x v="0"/>
    <x v="9"/>
    <x v="13"/>
    <x v="14"/>
    <x v="0"/>
    <x v="0"/>
    <n v="10.534453753999999"/>
  </r>
  <r>
    <x v="0"/>
    <x v="9"/>
    <x v="14"/>
    <x v="14"/>
    <x v="0"/>
    <x v="0"/>
    <n v="14.596923639"/>
  </r>
  <r>
    <x v="0"/>
    <x v="9"/>
    <x v="15"/>
    <x v="14"/>
    <x v="0"/>
    <x v="1"/>
    <n v="4.4086331999999999E-2"/>
  </r>
  <r>
    <x v="0"/>
    <x v="9"/>
    <x v="16"/>
    <x v="14"/>
    <x v="0"/>
    <x v="1"/>
    <n v="4.4265322000000003E-2"/>
  </r>
  <r>
    <x v="0"/>
    <x v="9"/>
    <x v="12"/>
    <x v="15"/>
    <x v="0"/>
    <x v="0"/>
    <n v="167.788630901"/>
  </r>
  <r>
    <x v="0"/>
    <x v="9"/>
    <x v="13"/>
    <x v="15"/>
    <x v="0"/>
    <x v="0"/>
    <n v="68.007962747999997"/>
  </r>
  <r>
    <x v="0"/>
    <x v="9"/>
    <x v="14"/>
    <x v="15"/>
    <x v="0"/>
    <x v="0"/>
    <n v="20.652984622000002"/>
  </r>
  <r>
    <x v="0"/>
    <x v="9"/>
    <x v="15"/>
    <x v="15"/>
    <x v="0"/>
    <x v="1"/>
    <n v="4.6765537000000003E-2"/>
  </r>
  <r>
    <x v="0"/>
    <x v="9"/>
    <x v="16"/>
    <x v="15"/>
    <x v="0"/>
    <x v="1"/>
    <n v="4.8342905999999998E-2"/>
  </r>
  <r>
    <x v="0"/>
    <x v="9"/>
    <x v="12"/>
    <x v="16"/>
    <x v="0"/>
    <x v="0"/>
    <n v="106.655813831"/>
  </r>
  <r>
    <x v="0"/>
    <x v="9"/>
    <x v="13"/>
    <x v="16"/>
    <x v="0"/>
    <x v="0"/>
    <n v="58.305174547999997"/>
  </r>
  <r>
    <x v="0"/>
    <x v="9"/>
    <x v="14"/>
    <x v="16"/>
    <x v="0"/>
    <x v="0"/>
    <n v="9.6951537250000008"/>
  </r>
  <r>
    <x v="0"/>
    <x v="9"/>
    <x v="15"/>
    <x v="16"/>
    <x v="0"/>
    <x v="1"/>
    <n v="4.8636548000000002E-2"/>
  </r>
  <r>
    <x v="0"/>
    <x v="9"/>
    <x v="16"/>
    <x v="16"/>
    <x v="0"/>
    <x v="1"/>
    <n v="5.1106543999999997E-2"/>
  </r>
  <r>
    <x v="0"/>
    <x v="9"/>
    <x v="12"/>
    <x v="17"/>
    <x v="0"/>
    <x v="0"/>
    <n v="261.38447339999999"/>
  </r>
  <r>
    <x v="0"/>
    <x v="9"/>
    <x v="13"/>
    <x v="17"/>
    <x v="0"/>
    <x v="0"/>
    <n v="97.285730154000007"/>
  </r>
  <r>
    <x v="0"/>
    <x v="9"/>
    <x v="14"/>
    <x v="17"/>
    <x v="0"/>
    <x v="0"/>
    <n v="16.030948401"/>
  </r>
  <r>
    <x v="0"/>
    <x v="9"/>
    <x v="15"/>
    <x v="17"/>
    <x v="0"/>
    <x v="1"/>
    <n v="4.8996273999999999E-2"/>
  </r>
  <r>
    <x v="0"/>
    <x v="9"/>
    <x v="16"/>
    <x v="17"/>
    <x v="0"/>
    <x v="1"/>
    <n v="5.0716351E-2"/>
  </r>
  <r>
    <x v="0"/>
    <x v="9"/>
    <x v="12"/>
    <x v="18"/>
    <x v="0"/>
    <x v="0"/>
    <n v="206.504902773"/>
  </r>
  <r>
    <x v="0"/>
    <x v="9"/>
    <x v="13"/>
    <x v="18"/>
    <x v="0"/>
    <x v="0"/>
    <n v="52.906522033000002"/>
  </r>
  <r>
    <x v="0"/>
    <x v="9"/>
    <x v="14"/>
    <x v="18"/>
    <x v="0"/>
    <x v="0"/>
    <n v="35.526891440999997"/>
  </r>
  <r>
    <x v="0"/>
    <x v="9"/>
    <x v="15"/>
    <x v="18"/>
    <x v="0"/>
    <x v="1"/>
    <n v="4.432092E-2"/>
  </r>
  <r>
    <x v="0"/>
    <x v="9"/>
    <x v="16"/>
    <x v="18"/>
    <x v="0"/>
    <x v="1"/>
    <n v="4.5047895999999997E-2"/>
  </r>
  <r>
    <x v="0"/>
    <x v="9"/>
    <x v="12"/>
    <x v="19"/>
    <x v="0"/>
    <x v="0"/>
    <n v="194.39399064899999"/>
  </r>
  <r>
    <x v="0"/>
    <x v="9"/>
    <x v="13"/>
    <x v="19"/>
    <x v="0"/>
    <x v="0"/>
    <n v="276.09233098999999"/>
  </r>
  <r>
    <x v="0"/>
    <x v="9"/>
    <x v="14"/>
    <x v="19"/>
    <x v="0"/>
    <x v="0"/>
    <n v="90.514221192999997"/>
  </r>
  <r>
    <x v="0"/>
    <x v="9"/>
    <x v="15"/>
    <x v="19"/>
    <x v="0"/>
    <x v="1"/>
    <n v="4.4182990999999998E-2"/>
  </r>
  <r>
    <x v="0"/>
    <x v="9"/>
    <x v="16"/>
    <x v="19"/>
    <x v="0"/>
    <x v="1"/>
    <n v="4.8239690000000002E-2"/>
  </r>
  <r>
    <x v="0"/>
    <x v="9"/>
    <x v="12"/>
    <x v="20"/>
    <x v="0"/>
    <x v="0"/>
    <n v="30.580929176000001"/>
  </r>
  <r>
    <x v="0"/>
    <x v="9"/>
    <x v="13"/>
    <x v="20"/>
    <x v="0"/>
    <x v="0"/>
    <n v="38.452667894000001"/>
  </r>
  <r>
    <x v="0"/>
    <x v="9"/>
    <x v="14"/>
    <x v="20"/>
    <x v="0"/>
    <x v="0"/>
    <n v="7.0461922289999999"/>
  </r>
  <r>
    <x v="0"/>
    <x v="9"/>
    <x v="15"/>
    <x v="20"/>
    <x v="0"/>
    <x v="1"/>
    <n v="4.2798423000000002E-2"/>
  </r>
  <r>
    <x v="0"/>
    <x v="9"/>
    <x v="16"/>
    <x v="20"/>
    <x v="0"/>
    <x v="1"/>
    <n v="4.5857538000000003E-2"/>
  </r>
  <r>
    <x v="0"/>
    <x v="9"/>
    <x v="12"/>
    <x v="21"/>
    <x v="0"/>
    <x v="0"/>
    <n v="14.167877559000001"/>
  </r>
  <r>
    <x v="0"/>
    <x v="9"/>
    <x v="13"/>
    <x v="21"/>
    <x v="0"/>
    <x v="0"/>
    <n v="0.91395269700000004"/>
  </r>
  <r>
    <x v="0"/>
    <x v="9"/>
    <x v="14"/>
    <x v="21"/>
    <x v="0"/>
    <x v="0"/>
    <n v="1.2659208289999999"/>
  </r>
  <r>
    <x v="0"/>
    <x v="9"/>
    <x v="15"/>
    <x v="21"/>
    <x v="0"/>
    <x v="1"/>
    <n v="5.5235449999999998E-2"/>
  </r>
  <r>
    <x v="0"/>
    <x v="9"/>
    <x v="16"/>
    <x v="21"/>
    <x v="0"/>
    <x v="1"/>
    <n v="5.5655584000000001E-2"/>
  </r>
  <r>
    <x v="0"/>
    <x v="9"/>
    <x v="12"/>
    <x v="22"/>
    <x v="0"/>
    <x v="0"/>
    <n v="76.378718160000005"/>
  </r>
  <r>
    <x v="0"/>
    <x v="9"/>
    <x v="13"/>
    <x v="22"/>
    <x v="0"/>
    <x v="0"/>
    <n v="1.3243572029999999"/>
  </r>
  <r>
    <x v="0"/>
    <x v="9"/>
    <x v="14"/>
    <x v="22"/>
    <x v="0"/>
    <x v="0"/>
    <n v="4.3939138250000003"/>
  </r>
  <r>
    <x v="0"/>
    <x v="9"/>
    <x v="15"/>
    <x v="22"/>
    <x v="0"/>
    <x v="1"/>
    <n v="1.1048396E-2"/>
  </r>
  <r>
    <x v="0"/>
    <x v="9"/>
    <x v="16"/>
    <x v="22"/>
    <x v="0"/>
    <x v="1"/>
    <n v="9.3463520000000005E-3"/>
  </r>
  <r>
    <x v="0"/>
    <x v="9"/>
    <x v="12"/>
    <x v="23"/>
    <x v="0"/>
    <x v="0"/>
    <n v="7.1259338330000004"/>
  </r>
  <r>
    <x v="0"/>
    <x v="9"/>
    <x v="13"/>
    <x v="23"/>
    <x v="0"/>
    <x v="0"/>
    <n v="0"/>
  </r>
  <r>
    <x v="0"/>
    <x v="9"/>
    <x v="14"/>
    <x v="23"/>
    <x v="0"/>
    <x v="0"/>
    <n v="0"/>
  </r>
  <r>
    <x v="0"/>
    <x v="9"/>
    <x v="15"/>
    <x v="23"/>
    <x v="0"/>
    <x v="1"/>
    <n v="5.2943121000000003E-2"/>
  </r>
  <r>
    <x v="0"/>
    <x v="9"/>
    <x v="16"/>
    <x v="23"/>
    <x v="0"/>
    <x v="1"/>
    <n v="5.2943121000000003E-2"/>
  </r>
  <r>
    <x v="0"/>
    <x v="9"/>
    <x v="12"/>
    <x v="24"/>
    <x v="0"/>
    <x v="0"/>
    <n v="374.98569675800002"/>
  </r>
  <r>
    <x v="0"/>
    <x v="9"/>
    <x v="13"/>
    <x v="24"/>
    <x v="0"/>
    <x v="0"/>
    <n v="0.30267982199999999"/>
  </r>
  <r>
    <x v="0"/>
    <x v="9"/>
    <x v="14"/>
    <x v="24"/>
    <x v="0"/>
    <x v="0"/>
    <n v="0.34244904399999998"/>
  </r>
  <r>
    <x v="0"/>
    <x v="9"/>
    <x v="15"/>
    <x v="24"/>
    <x v="0"/>
    <x v="1"/>
    <n v="4.0908975E-2"/>
  </r>
  <r>
    <x v="0"/>
    <x v="9"/>
    <x v="16"/>
    <x v="24"/>
    <x v="0"/>
    <x v="1"/>
    <n v="4.0910056E-2"/>
  </r>
  <r>
    <x v="0"/>
    <x v="9"/>
    <x v="12"/>
    <x v="25"/>
    <x v="0"/>
    <x v="0"/>
    <n v="19.543681359000001"/>
  </r>
  <r>
    <x v="0"/>
    <x v="9"/>
    <x v="13"/>
    <x v="25"/>
    <x v="0"/>
    <x v="0"/>
    <n v="1.7599999999999999E-7"/>
  </r>
  <r>
    <x v="0"/>
    <x v="9"/>
    <x v="14"/>
    <x v="25"/>
    <x v="0"/>
    <x v="0"/>
    <n v="0"/>
  </r>
  <r>
    <x v="0"/>
    <x v="9"/>
    <x v="15"/>
    <x v="25"/>
    <x v="0"/>
    <x v="1"/>
    <n v="3.6707269000000001E-2"/>
  </r>
  <r>
    <x v="0"/>
    <x v="9"/>
    <x v="16"/>
    <x v="25"/>
    <x v="0"/>
    <x v="1"/>
    <n v="3.6707269000000001E-2"/>
  </r>
  <r>
    <x v="0"/>
    <x v="9"/>
    <x v="12"/>
    <x v="26"/>
    <x v="0"/>
    <x v="0"/>
    <n v="8.8897294470000006"/>
  </r>
  <r>
    <x v="0"/>
    <x v="9"/>
    <x v="13"/>
    <x v="26"/>
    <x v="0"/>
    <x v="0"/>
    <n v="0"/>
  </r>
  <r>
    <x v="0"/>
    <x v="9"/>
    <x v="14"/>
    <x v="26"/>
    <x v="0"/>
    <x v="0"/>
    <n v="0"/>
  </r>
  <r>
    <x v="0"/>
    <x v="9"/>
    <x v="15"/>
    <x v="26"/>
    <x v="0"/>
    <x v="1"/>
    <n v="5.2872453E-2"/>
  </r>
  <r>
    <x v="0"/>
    <x v="9"/>
    <x v="16"/>
    <x v="26"/>
    <x v="0"/>
    <x v="1"/>
    <n v="5.2872453E-2"/>
  </r>
  <r>
    <x v="0"/>
    <x v="9"/>
    <x v="12"/>
    <x v="27"/>
    <x v="0"/>
    <x v="0"/>
    <n v="440.19598146099997"/>
  </r>
  <r>
    <x v="0"/>
    <x v="9"/>
    <x v="13"/>
    <x v="27"/>
    <x v="0"/>
    <x v="0"/>
    <n v="5.1159602680000003"/>
  </r>
  <r>
    <x v="0"/>
    <x v="9"/>
    <x v="14"/>
    <x v="27"/>
    <x v="0"/>
    <x v="0"/>
    <n v="1.5565869729999999"/>
  </r>
  <r>
    <x v="0"/>
    <x v="9"/>
    <x v="15"/>
    <x v="27"/>
    <x v="0"/>
    <x v="1"/>
    <n v="6.0296349999999999E-2"/>
  </r>
  <r>
    <x v="0"/>
    <x v="9"/>
    <x v="16"/>
    <x v="27"/>
    <x v="0"/>
    <x v="1"/>
    <n v="6.0389659999999998E-2"/>
  </r>
  <r>
    <x v="0"/>
    <x v="9"/>
    <x v="12"/>
    <x v="28"/>
    <x v="0"/>
    <x v="0"/>
    <n v="499.52780343199998"/>
  </r>
  <r>
    <x v="0"/>
    <x v="9"/>
    <x v="13"/>
    <x v="28"/>
    <x v="0"/>
    <x v="0"/>
    <n v="0"/>
  </r>
  <r>
    <x v="0"/>
    <x v="9"/>
    <x v="14"/>
    <x v="28"/>
    <x v="0"/>
    <x v="0"/>
    <n v="62.352559618999997"/>
  </r>
  <r>
    <x v="0"/>
    <x v="9"/>
    <x v="15"/>
    <x v="28"/>
    <x v="0"/>
    <x v="1"/>
    <n v="4.2492734999999997E-2"/>
  </r>
  <r>
    <x v="0"/>
    <x v="9"/>
    <x v="16"/>
    <x v="28"/>
    <x v="0"/>
    <x v="1"/>
    <n v="4.2492734999999997E-2"/>
  </r>
  <r>
    <x v="0"/>
    <x v="9"/>
    <x v="12"/>
    <x v="29"/>
    <x v="0"/>
    <x v="0"/>
    <n v="455.54998806899999"/>
  </r>
  <r>
    <x v="0"/>
    <x v="9"/>
    <x v="13"/>
    <x v="29"/>
    <x v="0"/>
    <x v="0"/>
    <n v="56.058265792999997"/>
  </r>
  <r>
    <x v="0"/>
    <x v="9"/>
    <x v="14"/>
    <x v="29"/>
    <x v="0"/>
    <x v="0"/>
    <n v="21.416646487000001"/>
  </r>
  <r>
    <x v="0"/>
    <x v="9"/>
    <x v="15"/>
    <x v="29"/>
    <x v="0"/>
    <x v="1"/>
    <n v="4.6869312000000003E-2"/>
  </r>
  <r>
    <x v="0"/>
    <x v="9"/>
    <x v="16"/>
    <x v="29"/>
    <x v="0"/>
    <x v="1"/>
    <n v="4.7396311000000003E-2"/>
  </r>
  <r>
    <x v="0"/>
    <x v="9"/>
    <x v="12"/>
    <x v="30"/>
    <x v="0"/>
    <x v="0"/>
    <n v="108.198884087"/>
  </r>
  <r>
    <x v="0"/>
    <x v="9"/>
    <x v="13"/>
    <x v="30"/>
    <x v="0"/>
    <x v="0"/>
    <n v="34.955631711000002"/>
  </r>
  <r>
    <x v="0"/>
    <x v="9"/>
    <x v="14"/>
    <x v="30"/>
    <x v="0"/>
    <x v="0"/>
    <n v="0.82790713699999996"/>
  </r>
  <r>
    <x v="0"/>
    <x v="9"/>
    <x v="15"/>
    <x v="30"/>
    <x v="0"/>
    <x v="1"/>
    <n v="7.2578057000000001E-2"/>
  </r>
  <r>
    <x v="0"/>
    <x v="9"/>
    <x v="16"/>
    <x v="30"/>
    <x v="0"/>
    <x v="1"/>
    <n v="7.6139600000000002E-2"/>
  </r>
  <r>
    <x v="0"/>
    <x v="9"/>
    <x v="12"/>
    <x v="31"/>
    <x v="0"/>
    <x v="0"/>
    <n v="168.77288123299999"/>
  </r>
  <r>
    <x v="0"/>
    <x v="9"/>
    <x v="13"/>
    <x v="31"/>
    <x v="0"/>
    <x v="0"/>
    <n v="8.0112169659999992"/>
  </r>
  <r>
    <x v="0"/>
    <x v="9"/>
    <x v="14"/>
    <x v="31"/>
    <x v="0"/>
    <x v="0"/>
    <n v="5.9071729509999997"/>
  </r>
  <r>
    <x v="0"/>
    <x v="9"/>
    <x v="15"/>
    <x v="31"/>
    <x v="0"/>
    <x v="1"/>
    <n v="3.7934753000000002E-2"/>
  </r>
  <r>
    <x v="0"/>
    <x v="9"/>
    <x v="16"/>
    <x v="31"/>
    <x v="0"/>
    <x v="1"/>
    <n v="3.7919137999999998E-2"/>
  </r>
  <r>
    <x v="0"/>
    <x v="9"/>
    <x v="12"/>
    <x v="32"/>
    <x v="0"/>
    <x v="0"/>
    <n v="590.82041102400001"/>
  </r>
  <r>
    <x v="0"/>
    <x v="9"/>
    <x v="13"/>
    <x v="32"/>
    <x v="0"/>
    <x v="0"/>
    <n v="4.5005123400000002"/>
  </r>
  <r>
    <x v="0"/>
    <x v="9"/>
    <x v="14"/>
    <x v="32"/>
    <x v="0"/>
    <x v="0"/>
    <n v="2.8031751420000002"/>
  </r>
  <r>
    <x v="0"/>
    <x v="9"/>
    <x v="15"/>
    <x v="32"/>
    <x v="0"/>
    <x v="1"/>
    <n v="3.7210933000000002E-2"/>
  </r>
  <r>
    <x v="0"/>
    <x v="9"/>
    <x v="16"/>
    <x v="32"/>
    <x v="0"/>
    <x v="1"/>
    <n v="3.7204106000000001E-2"/>
  </r>
  <r>
    <x v="0"/>
    <x v="9"/>
    <x v="12"/>
    <x v="33"/>
    <x v="0"/>
    <x v="0"/>
    <n v="553.23419475699995"/>
  </r>
  <r>
    <x v="0"/>
    <x v="9"/>
    <x v="13"/>
    <x v="33"/>
    <x v="0"/>
    <x v="0"/>
    <n v="0"/>
  </r>
  <r>
    <x v="0"/>
    <x v="9"/>
    <x v="14"/>
    <x v="33"/>
    <x v="0"/>
    <x v="0"/>
    <n v="0"/>
  </r>
  <r>
    <x v="0"/>
    <x v="9"/>
    <x v="15"/>
    <x v="33"/>
    <x v="0"/>
    <x v="1"/>
    <n v="2.2889019E-2"/>
  </r>
  <r>
    <x v="0"/>
    <x v="9"/>
    <x v="16"/>
    <x v="33"/>
    <x v="0"/>
    <x v="1"/>
    <n v="2.2889019E-2"/>
  </r>
  <r>
    <x v="0"/>
    <x v="9"/>
    <x v="12"/>
    <x v="34"/>
    <x v="0"/>
    <x v="0"/>
    <n v="269.95755812499999"/>
  </r>
  <r>
    <x v="0"/>
    <x v="9"/>
    <x v="13"/>
    <x v="34"/>
    <x v="0"/>
    <x v="0"/>
    <n v="58.857299656999999"/>
  </r>
  <r>
    <x v="0"/>
    <x v="9"/>
    <x v="14"/>
    <x v="34"/>
    <x v="0"/>
    <x v="0"/>
    <n v="13.783830529999999"/>
  </r>
  <r>
    <x v="0"/>
    <x v="9"/>
    <x v="15"/>
    <x v="34"/>
    <x v="0"/>
    <x v="1"/>
    <n v="4.9791215E-2"/>
  </r>
  <r>
    <x v="0"/>
    <x v="9"/>
    <x v="16"/>
    <x v="34"/>
    <x v="0"/>
    <x v="1"/>
    <n v="5.0942543E-2"/>
  </r>
  <r>
    <x v="0"/>
    <x v="9"/>
    <x v="12"/>
    <x v="35"/>
    <x v="0"/>
    <x v="0"/>
    <n v="215.29922735700001"/>
  </r>
  <r>
    <x v="0"/>
    <x v="9"/>
    <x v="13"/>
    <x v="35"/>
    <x v="0"/>
    <x v="0"/>
    <n v="6.0350512680000001"/>
  </r>
  <r>
    <x v="0"/>
    <x v="9"/>
    <x v="14"/>
    <x v="35"/>
    <x v="0"/>
    <x v="0"/>
    <n v="8.4348584000000004E-2"/>
  </r>
  <r>
    <x v="0"/>
    <x v="9"/>
    <x v="15"/>
    <x v="35"/>
    <x v="0"/>
    <x v="1"/>
    <n v="5.3826314E-2"/>
  </r>
  <r>
    <x v="0"/>
    <x v="9"/>
    <x v="16"/>
    <x v="35"/>
    <x v="0"/>
    <x v="1"/>
    <n v="5.4015140000000003E-2"/>
  </r>
  <r>
    <x v="0"/>
    <x v="9"/>
    <x v="12"/>
    <x v="36"/>
    <x v="0"/>
    <x v="0"/>
    <n v="64.552530024999996"/>
  </r>
  <r>
    <x v="0"/>
    <x v="9"/>
    <x v="13"/>
    <x v="36"/>
    <x v="0"/>
    <x v="0"/>
    <n v="12.283758181"/>
  </r>
  <r>
    <x v="0"/>
    <x v="9"/>
    <x v="14"/>
    <x v="36"/>
    <x v="0"/>
    <x v="0"/>
    <n v="0.337555522"/>
  </r>
  <r>
    <x v="0"/>
    <x v="9"/>
    <x v="15"/>
    <x v="36"/>
    <x v="0"/>
    <x v="1"/>
    <n v="6.0975738000000002E-2"/>
  </r>
  <r>
    <x v="0"/>
    <x v="9"/>
    <x v="16"/>
    <x v="36"/>
    <x v="0"/>
    <x v="1"/>
    <n v="6.2656961999999997E-2"/>
  </r>
  <r>
    <x v="0"/>
    <x v="9"/>
    <x v="12"/>
    <x v="37"/>
    <x v="0"/>
    <x v="0"/>
    <n v="78.323777325999998"/>
  </r>
  <r>
    <x v="0"/>
    <x v="9"/>
    <x v="13"/>
    <x v="37"/>
    <x v="0"/>
    <x v="0"/>
    <n v="3.0738338889999999"/>
  </r>
  <r>
    <x v="0"/>
    <x v="9"/>
    <x v="14"/>
    <x v="37"/>
    <x v="0"/>
    <x v="0"/>
    <n v="0.225309817"/>
  </r>
  <r>
    <x v="0"/>
    <x v="9"/>
    <x v="15"/>
    <x v="37"/>
    <x v="0"/>
    <x v="1"/>
    <n v="6.6819602000000006E-2"/>
  </r>
  <r>
    <x v="0"/>
    <x v="9"/>
    <x v="16"/>
    <x v="37"/>
    <x v="0"/>
    <x v="1"/>
    <n v="6.7250661000000003E-2"/>
  </r>
  <r>
    <x v="0"/>
    <x v="9"/>
    <x v="12"/>
    <x v="38"/>
    <x v="0"/>
    <x v="0"/>
    <n v="218.564484685"/>
  </r>
  <r>
    <x v="0"/>
    <x v="9"/>
    <x v="13"/>
    <x v="38"/>
    <x v="0"/>
    <x v="0"/>
    <n v="12.895302735"/>
  </r>
  <r>
    <x v="0"/>
    <x v="9"/>
    <x v="14"/>
    <x v="38"/>
    <x v="0"/>
    <x v="0"/>
    <n v="7.3650577999999994E-2"/>
  </r>
  <r>
    <x v="0"/>
    <x v="9"/>
    <x v="15"/>
    <x v="38"/>
    <x v="0"/>
    <x v="1"/>
    <n v="9.7290684000000002E-2"/>
  </r>
  <r>
    <x v="0"/>
    <x v="9"/>
    <x v="16"/>
    <x v="38"/>
    <x v="0"/>
    <x v="1"/>
    <n v="9.8363772000000002E-2"/>
  </r>
  <r>
    <x v="0"/>
    <x v="9"/>
    <x v="12"/>
    <x v="39"/>
    <x v="0"/>
    <x v="0"/>
    <n v="109.90647408"/>
  </r>
  <r>
    <x v="0"/>
    <x v="9"/>
    <x v="13"/>
    <x v="39"/>
    <x v="0"/>
    <x v="0"/>
    <n v="4.7732121779999996"/>
  </r>
  <r>
    <x v="0"/>
    <x v="9"/>
    <x v="14"/>
    <x v="39"/>
    <x v="0"/>
    <x v="0"/>
    <n v="7.1658774999999994E-2"/>
  </r>
  <r>
    <x v="0"/>
    <x v="9"/>
    <x v="15"/>
    <x v="39"/>
    <x v="0"/>
    <x v="1"/>
    <n v="7.9132799000000004E-2"/>
  </r>
  <r>
    <x v="0"/>
    <x v="9"/>
    <x v="16"/>
    <x v="39"/>
    <x v="0"/>
    <x v="1"/>
    <n v="7.9677406000000006E-2"/>
  </r>
  <r>
    <x v="0"/>
    <x v="9"/>
    <x v="12"/>
    <x v="40"/>
    <x v="0"/>
    <x v="0"/>
    <n v="45.857419212000003"/>
  </r>
  <r>
    <x v="0"/>
    <x v="9"/>
    <x v="13"/>
    <x v="40"/>
    <x v="0"/>
    <x v="0"/>
    <n v="31.447506629999999"/>
  </r>
  <r>
    <x v="0"/>
    <x v="9"/>
    <x v="14"/>
    <x v="40"/>
    <x v="0"/>
    <x v="0"/>
    <n v="1.542839131"/>
  </r>
  <r>
    <x v="0"/>
    <x v="9"/>
    <x v="15"/>
    <x v="40"/>
    <x v="0"/>
    <x v="1"/>
    <n v="5.5301773999999998E-2"/>
  </r>
  <r>
    <x v="0"/>
    <x v="9"/>
    <x v="16"/>
    <x v="40"/>
    <x v="0"/>
    <x v="1"/>
    <n v="6.0475241999999998E-2"/>
  </r>
  <r>
    <x v="0"/>
    <x v="9"/>
    <x v="12"/>
    <x v="41"/>
    <x v="0"/>
    <x v="0"/>
    <n v="481.43999291"/>
  </r>
  <r>
    <x v="0"/>
    <x v="9"/>
    <x v="13"/>
    <x v="41"/>
    <x v="0"/>
    <x v="0"/>
    <n v="10.631192466"/>
  </r>
  <r>
    <x v="0"/>
    <x v="9"/>
    <x v="14"/>
    <x v="41"/>
    <x v="0"/>
    <x v="0"/>
    <n v="0.128422906"/>
  </r>
  <r>
    <x v="0"/>
    <x v="9"/>
    <x v="15"/>
    <x v="41"/>
    <x v="0"/>
    <x v="1"/>
    <n v="9.3392837000000006E-2"/>
  </r>
  <r>
    <x v="0"/>
    <x v="9"/>
    <x v="16"/>
    <x v="41"/>
    <x v="0"/>
    <x v="1"/>
    <n v="9.3747789999999998E-2"/>
  </r>
  <r>
    <x v="0"/>
    <x v="9"/>
    <x v="17"/>
    <x v="0"/>
    <x v="46"/>
    <x v="1"/>
    <n v="69.413865548000004"/>
  </r>
  <r>
    <x v="0"/>
    <x v="9"/>
    <x v="17"/>
    <x v="0"/>
    <x v="47"/>
    <x v="1"/>
    <n v="69.413865548000004"/>
  </r>
  <r>
    <x v="0"/>
    <x v="9"/>
    <x v="17"/>
    <x v="0"/>
    <x v="48"/>
    <x v="1"/>
    <n v="69.413865548000004"/>
  </r>
  <r>
    <x v="0"/>
    <x v="9"/>
    <x v="17"/>
    <x v="0"/>
    <x v="49"/>
    <x v="1"/>
    <n v="0"/>
  </r>
  <r>
    <x v="0"/>
    <x v="9"/>
    <x v="17"/>
    <x v="0"/>
    <x v="50"/>
    <x v="1"/>
    <n v="0"/>
  </r>
  <r>
    <x v="0"/>
    <x v="9"/>
    <x v="17"/>
    <x v="0"/>
    <x v="51"/>
    <x v="1"/>
    <n v="0"/>
  </r>
  <r>
    <x v="0"/>
    <x v="9"/>
    <x v="17"/>
    <x v="0"/>
    <x v="52"/>
    <x v="1"/>
    <n v="0"/>
  </r>
  <r>
    <x v="0"/>
    <x v="9"/>
    <x v="17"/>
    <x v="0"/>
    <x v="53"/>
    <x v="1"/>
    <n v="0"/>
  </r>
  <r>
    <x v="0"/>
    <x v="9"/>
    <x v="17"/>
    <x v="0"/>
    <x v="54"/>
    <x v="1"/>
    <n v="0"/>
  </r>
  <r>
    <x v="0"/>
    <x v="9"/>
    <x v="17"/>
    <x v="0"/>
    <x v="55"/>
    <x v="1"/>
    <n v="0"/>
  </r>
  <r>
    <x v="0"/>
    <x v="9"/>
    <x v="17"/>
    <x v="1"/>
    <x v="46"/>
    <x v="1"/>
    <n v="11.905431133"/>
  </r>
  <r>
    <x v="0"/>
    <x v="9"/>
    <x v="17"/>
    <x v="1"/>
    <x v="47"/>
    <x v="1"/>
    <n v="11.905431133"/>
  </r>
  <r>
    <x v="0"/>
    <x v="9"/>
    <x v="17"/>
    <x v="1"/>
    <x v="48"/>
    <x v="1"/>
    <n v="11.905431133"/>
  </r>
  <r>
    <x v="0"/>
    <x v="9"/>
    <x v="17"/>
    <x v="1"/>
    <x v="49"/>
    <x v="1"/>
    <n v="0"/>
  </r>
  <r>
    <x v="0"/>
    <x v="9"/>
    <x v="17"/>
    <x v="1"/>
    <x v="50"/>
    <x v="1"/>
    <n v="0"/>
  </r>
  <r>
    <x v="0"/>
    <x v="9"/>
    <x v="17"/>
    <x v="1"/>
    <x v="51"/>
    <x v="1"/>
    <n v="0"/>
  </r>
  <r>
    <x v="0"/>
    <x v="9"/>
    <x v="17"/>
    <x v="1"/>
    <x v="52"/>
    <x v="1"/>
    <n v="0"/>
  </r>
  <r>
    <x v="0"/>
    <x v="9"/>
    <x v="17"/>
    <x v="1"/>
    <x v="53"/>
    <x v="1"/>
    <n v="0"/>
  </r>
  <r>
    <x v="0"/>
    <x v="9"/>
    <x v="17"/>
    <x v="1"/>
    <x v="54"/>
    <x v="1"/>
    <n v="0"/>
  </r>
  <r>
    <x v="0"/>
    <x v="9"/>
    <x v="17"/>
    <x v="1"/>
    <x v="55"/>
    <x v="1"/>
    <n v="0"/>
  </r>
  <r>
    <x v="0"/>
    <x v="9"/>
    <x v="17"/>
    <x v="2"/>
    <x v="46"/>
    <x v="1"/>
    <n v="8.4691650070000009"/>
  </r>
  <r>
    <x v="0"/>
    <x v="9"/>
    <x v="17"/>
    <x v="2"/>
    <x v="47"/>
    <x v="1"/>
    <n v="8.4691650070000009"/>
  </r>
  <r>
    <x v="0"/>
    <x v="9"/>
    <x v="17"/>
    <x v="2"/>
    <x v="48"/>
    <x v="1"/>
    <n v="8.4691650070000009"/>
  </r>
  <r>
    <x v="0"/>
    <x v="9"/>
    <x v="17"/>
    <x v="2"/>
    <x v="49"/>
    <x v="1"/>
    <n v="0"/>
  </r>
  <r>
    <x v="0"/>
    <x v="9"/>
    <x v="17"/>
    <x v="2"/>
    <x v="50"/>
    <x v="1"/>
    <n v="0"/>
  </r>
  <r>
    <x v="0"/>
    <x v="9"/>
    <x v="17"/>
    <x v="2"/>
    <x v="51"/>
    <x v="1"/>
    <n v="0"/>
  </r>
  <r>
    <x v="0"/>
    <x v="9"/>
    <x v="17"/>
    <x v="2"/>
    <x v="52"/>
    <x v="1"/>
    <n v="0"/>
  </r>
  <r>
    <x v="0"/>
    <x v="9"/>
    <x v="17"/>
    <x v="2"/>
    <x v="53"/>
    <x v="1"/>
    <n v="0"/>
  </r>
  <r>
    <x v="0"/>
    <x v="9"/>
    <x v="17"/>
    <x v="2"/>
    <x v="54"/>
    <x v="1"/>
    <n v="0"/>
  </r>
  <r>
    <x v="0"/>
    <x v="9"/>
    <x v="17"/>
    <x v="2"/>
    <x v="55"/>
    <x v="1"/>
    <n v="0"/>
  </r>
  <r>
    <x v="0"/>
    <x v="9"/>
    <x v="17"/>
    <x v="3"/>
    <x v="46"/>
    <x v="1"/>
    <n v="5.3700704090000002"/>
  </r>
  <r>
    <x v="0"/>
    <x v="9"/>
    <x v="17"/>
    <x v="3"/>
    <x v="47"/>
    <x v="1"/>
    <n v="5.3700704090000002"/>
  </r>
  <r>
    <x v="0"/>
    <x v="9"/>
    <x v="17"/>
    <x v="3"/>
    <x v="48"/>
    <x v="1"/>
    <n v="5.3700704090000002"/>
  </r>
  <r>
    <x v="0"/>
    <x v="9"/>
    <x v="17"/>
    <x v="3"/>
    <x v="49"/>
    <x v="1"/>
    <n v="0"/>
  </r>
  <r>
    <x v="0"/>
    <x v="9"/>
    <x v="17"/>
    <x v="3"/>
    <x v="50"/>
    <x v="1"/>
    <n v="0"/>
  </r>
  <r>
    <x v="0"/>
    <x v="9"/>
    <x v="17"/>
    <x v="3"/>
    <x v="51"/>
    <x v="1"/>
    <n v="0"/>
  </r>
  <r>
    <x v="0"/>
    <x v="9"/>
    <x v="17"/>
    <x v="3"/>
    <x v="52"/>
    <x v="1"/>
    <n v="0"/>
  </r>
  <r>
    <x v="0"/>
    <x v="9"/>
    <x v="17"/>
    <x v="3"/>
    <x v="53"/>
    <x v="1"/>
    <n v="0"/>
  </r>
  <r>
    <x v="0"/>
    <x v="9"/>
    <x v="17"/>
    <x v="3"/>
    <x v="54"/>
    <x v="1"/>
    <n v="0"/>
  </r>
  <r>
    <x v="0"/>
    <x v="9"/>
    <x v="17"/>
    <x v="3"/>
    <x v="55"/>
    <x v="1"/>
    <n v="0"/>
  </r>
  <r>
    <x v="0"/>
    <x v="9"/>
    <x v="17"/>
    <x v="4"/>
    <x v="46"/>
    <x v="1"/>
    <n v="2.8605365620000001"/>
  </r>
  <r>
    <x v="0"/>
    <x v="9"/>
    <x v="17"/>
    <x v="4"/>
    <x v="47"/>
    <x v="1"/>
    <n v="2.8605365620000001"/>
  </r>
  <r>
    <x v="0"/>
    <x v="9"/>
    <x v="17"/>
    <x v="4"/>
    <x v="48"/>
    <x v="1"/>
    <n v="2.8605365620000001"/>
  </r>
  <r>
    <x v="0"/>
    <x v="9"/>
    <x v="17"/>
    <x v="4"/>
    <x v="49"/>
    <x v="1"/>
    <n v="0"/>
  </r>
  <r>
    <x v="0"/>
    <x v="9"/>
    <x v="17"/>
    <x v="4"/>
    <x v="50"/>
    <x v="1"/>
    <n v="0"/>
  </r>
  <r>
    <x v="0"/>
    <x v="9"/>
    <x v="17"/>
    <x v="4"/>
    <x v="51"/>
    <x v="1"/>
    <n v="0"/>
  </r>
  <r>
    <x v="0"/>
    <x v="9"/>
    <x v="17"/>
    <x v="4"/>
    <x v="52"/>
    <x v="1"/>
    <n v="0"/>
  </r>
  <r>
    <x v="0"/>
    <x v="9"/>
    <x v="17"/>
    <x v="4"/>
    <x v="53"/>
    <x v="1"/>
    <n v="0"/>
  </r>
  <r>
    <x v="0"/>
    <x v="9"/>
    <x v="17"/>
    <x v="4"/>
    <x v="54"/>
    <x v="1"/>
    <n v="0"/>
  </r>
  <r>
    <x v="0"/>
    <x v="9"/>
    <x v="17"/>
    <x v="4"/>
    <x v="55"/>
    <x v="1"/>
    <n v="0"/>
  </r>
  <r>
    <x v="0"/>
    <x v="9"/>
    <x v="17"/>
    <x v="5"/>
    <x v="46"/>
    <x v="1"/>
    <n v="40.991411747999997"/>
  </r>
  <r>
    <x v="0"/>
    <x v="9"/>
    <x v="17"/>
    <x v="5"/>
    <x v="47"/>
    <x v="1"/>
    <n v="40.991411747999997"/>
  </r>
  <r>
    <x v="0"/>
    <x v="9"/>
    <x v="17"/>
    <x v="5"/>
    <x v="48"/>
    <x v="1"/>
    <n v="40.991411747999997"/>
  </r>
  <r>
    <x v="0"/>
    <x v="9"/>
    <x v="17"/>
    <x v="5"/>
    <x v="49"/>
    <x v="1"/>
    <n v="0"/>
  </r>
  <r>
    <x v="0"/>
    <x v="9"/>
    <x v="17"/>
    <x v="5"/>
    <x v="50"/>
    <x v="1"/>
    <n v="0"/>
  </r>
  <r>
    <x v="0"/>
    <x v="9"/>
    <x v="17"/>
    <x v="5"/>
    <x v="51"/>
    <x v="1"/>
    <n v="0"/>
  </r>
  <r>
    <x v="0"/>
    <x v="9"/>
    <x v="17"/>
    <x v="5"/>
    <x v="52"/>
    <x v="1"/>
    <n v="0"/>
  </r>
  <r>
    <x v="0"/>
    <x v="9"/>
    <x v="17"/>
    <x v="5"/>
    <x v="53"/>
    <x v="1"/>
    <n v="0"/>
  </r>
  <r>
    <x v="0"/>
    <x v="9"/>
    <x v="17"/>
    <x v="5"/>
    <x v="54"/>
    <x v="1"/>
    <n v="0"/>
  </r>
  <r>
    <x v="0"/>
    <x v="9"/>
    <x v="17"/>
    <x v="5"/>
    <x v="55"/>
    <x v="1"/>
    <n v="0"/>
  </r>
  <r>
    <x v="0"/>
    <x v="9"/>
    <x v="17"/>
    <x v="6"/>
    <x v="46"/>
    <x v="1"/>
    <n v="11.484544272999999"/>
  </r>
  <r>
    <x v="0"/>
    <x v="9"/>
    <x v="17"/>
    <x v="6"/>
    <x v="47"/>
    <x v="1"/>
    <n v="11.484544272999999"/>
  </r>
  <r>
    <x v="0"/>
    <x v="9"/>
    <x v="17"/>
    <x v="6"/>
    <x v="48"/>
    <x v="1"/>
    <n v="11.484544272999999"/>
  </r>
  <r>
    <x v="0"/>
    <x v="9"/>
    <x v="17"/>
    <x v="6"/>
    <x v="49"/>
    <x v="1"/>
    <n v="0"/>
  </r>
  <r>
    <x v="0"/>
    <x v="9"/>
    <x v="17"/>
    <x v="6"/>
    <x v="50"/>
    <x v="1"/>
    <n v="0"/>
  </r>
  <r>
    <x v="0"/>
    <x v="9"/>
    <x v="17"/>
    <x v="6"/>
    <x v="51"/>
    <x v="1"/>
    <n v="0"/>
  </r>
  <r>
    <x v="0"/>
    <x v="9"/>
    <x v="17"/>
    <x v="6"/>
    <x v="52"/>
    <x v="1"/>
    <n v="0"/>
  </r>
  <r>
    <x v="0"/>
    <x v="9"/>
    <x v="17"/>
    <x v="6"/>
    <x v="53"/>
    <x v="1"/>
    <n v="0"/>
  </r>
  <r>
    <x v="0"/>
    <x v="9"/>
    <x v="17"/>
    <x v="6"/>
    <x v="54"/>
    <x v="1"/>
    <n v="0"/>
  </r>
  <r>
    <x v="0"/>
    <x v="9"/>
    <x v="17"/>
    <x v="6"/>
    <x v="55"/>
    <x v="1"/>
    <n v="0"/>
  </r>
  <r>
    <x v="0"/>
    <x v="9"/>
    <x v="17"/>
    <x v="7"/>
    <x v="46"/>
    <x v="1"/>
    <n v="7.5581398389999999"/>
  </r>
  <r>
    <x v="0"/>
    <x v="9"/>
    <x v="17"/>
    <x v="7"/>
    <x v="47"/>
    <x v="1"/>
    <n v="7.5581398389999999"/>
  </r>
  <r>
    <x v="0"/>
    <x v="9"/>
    <x v="17"/>
    <x v="7"/>
    <x v="48"/>
    <x v="1"/>
    <n v="7.5581398389999999"/>
  </r>
  <r>
    <x v="0"/>
    <x v="9"/>
    <x v="17"/>
    <x v="7"/>
    <x v="49"/>
    <x v="1"/>
    <n v="0"/>
  </r>
  <r>
    <x v="0"/>
    <x v="9"/>
    <x v="17"/>
    <x v="7"/>
    <x v="50"/>
    <x v="1"/>
    <n v="0"/>
  </r>
  <r>
    <x v="0"/>
    <x v="9"/>
    <x v="17"/>
    <x v="7"/>
    <x v="51"/>
    <x v="1"/>
    <n v="0"/>
  </r>
  <r>
    <x v="0"/>
    <x v="9"/>
    <x v="17"/>
    <x v="7"/>
    <x v="52"/>
    <x v="1"/>
    <n v="0"/>
  </r>
  <r>
    <x v="0"/>
    <x v="9"/>
    <x v="17"/>
    <x v="7"/>
    <x v="53"/>
    <x v="1"/>
    <n v="0"/>
  </r>
  <r>
    <x v="0"/>
    <x v="9"/>
    <x v="17"/>
    <x v="7"/>
    <x v="54"/>
    <x v="1"/>
    <n v="0"/>
  </r>
  <r>
    <x v="0"/>
    <x v="9"/>
    <x v="17"/>
    <x v="7"/>
    <x v="55"/>
    <x v="1"/>
    <n v="0"/>
  </r>
  <r>
    <x v="0"/>
    <x v="9"/>
    <x v="17"/>
    <x v="8"/>
    <x v="46"/>
    <x v="1"/>
    <n v="5.023435589"/>
  </r>
  <r>
    <x v="0"/>
    <x v="9"/>
    <x v="17"/>
    <x v="8"/>
    <x v="47"/>
    <x v="1"/>
    <n v="5.023435589"/>
  </r>
  <r>
    <x v="0"/>
    <x v="9"/>
    <x v="17"/>
    <x v="8"/>
    <x v="48"/>
    <x v="1"/>
    <n v="5.023435589"/>
  </r>
  <r>
    <x v="0"/>
    <x v="9"/>
    <x v="17"/>
    <x v="8"/>
    <x v="49"/>
    <x v="1"/>
    <n v="0"/>
  </r>
  <r>
    <x v="0"/>
    <x v="9"/>
    <x v="17"/>
    <x v="8"/>
    <x v="50"/>
    <x v="1"/>
    <n v="0"/>
  </r>
  <r>
    <x v="0"/>
    <x v="9"/>
    <x v="17"/>
    <x v="8"/>
    <x v="51"/>
    <x v="1"/>
    <n v="0"/>
  </r>
  <r>
    <x v="0"/>
    <x v="9"/>
    <x v="17"/>
    <x v="8"/>
    <x v="52"/>
    <x v="1"/>
    <n v="0"/>
  </r>
  <r>
    <x v="0"/>
    <x v="9"/>
    <x v="17"/>
    <x v="8"/>
    <x v="53"/>
    <x v="1"/>
    <n v="0"/>
  </r>
  <r>
    <x v="0"/>
    <x v="9"/>
    <x v="17"/>
    <x v="8"/>
    <x v="54"/>
    <x v="1"/>
    <n v="0"/>
  </r>
  <r>
    <x v="0"/>
    <x v="9"/>
    <x v="17"/>
    <x v="8"/>
    <x v="55"/>
    <x v="1"/>
    <n v="0"/>
  </r>
  <r>
    <x v="0"/>
    <x v="9"/>
    <x v="17"/>
    <x v="9"/>
    <x v="46"/>
    <x v="1"/>
    <n v="11.224187458999999"/>
  </r>
  <r>
    <x v="0"/>
    <x v="9"/>
    <x v="17"/>
    <x v="9"/>
    <x v="47"/>
    <x v="1"/>
    <n v="11.224187458999999"/>
  </r>
  <r>
    <x v="0"/>
    <x v="9"/>
    <x v="17"/>
    <x v="9"/>
    <x v="48"/>
    <x v="1"/>
    <n v="11.224187458999999"/>
  </r>
  <r>
    <x v="0"/>
    <x v="9"/>
    <x v="17"/>
    <x v="9"/>
    <x v="49"/>
    <x v="1"/>
    <n v="0"/>
  </r>
  <r>
    <x v="0"/>
    <x v="9"/>
    <x v="17"/>
    <x v="9"/>
    <x v="50"/>
    <x v="1"/>
    <n v="0"/>
  </r>
  <r>
    <x v="0"/>
    <x v="9"/>
    <x v="17"/>
    <x v="9"/>
    <x v="51"/>
    <x v="1"/>
    <n v="0"/>
  </r>
  <r>
    <x v="0"/>
    <x v="9"/>
    <x v="17"/>
    <x v="9"/>
    <x v="52"/>
    <x v="1"/>
    <n v="0"/>
  </r>
  <r>
    <x v="0"/>
    <x v="9"/>
    <x v="17"/>
    <x v="9"/>
    <x v="53"/>
    <x v="1"/>
    <n v="0"/>
  </r>
  <r>
    <x v="0"/>
    <x v="9"/>
    <x v="17"/>
    <x v="9"/>
    <x v="54"/>
    <x v="1"/>
    <n v="0"/>
  </r>
  <r>
    <x v="0"/>
    <x v="9"/>
    <x v="17"/>
    <x v="9"/>
    <x v="55"/>
    <x v="1"/>
    <n v="0"/>
  </r>
  <r>
    <x v="0"/>
    <x v="9"/>
    <x v="17"/>
    <x v="10"/>
    <x v="46"/>
    <x v="1"/>
    <n v="12.103443604000001"/>
  </r>
  <r>
    <x v="0"/>
    <x v="9"/>
    <x v="17"/>
    <x v="10"/>
    <x v="47"/>
    <x v="1"/>
    <n v="12.103443604000001"/>
  </r>
  <r>
    <x v="0"/>
    <x v="9"/>
    <x v="17"/>
    <x v="10"/>
    <x v="48"/>
    <x v="1"/>
    <n v="12.103443604000001"/>
  </r>
  <r>
    <x v="0"/>
    <x v="9"/>
    <x v="17"/>
    <x v="10"/>
    <x v="49"/>
    <x v="1"/>
    <n v="0"/>
  </r>
  <r>
    <x v="0"/>
    <x v="9"/>
    <x v="17"/>
    <x v="10"/>
    <x v="50"/>
    <x v="1"/>
    <n v="0"/>
  </r>
  <r>
    <x v="0"/>
    <x v="9"/>
    <x v="17"/>
    <x v="10"/>
    <x v="51"/>
    <x v="1"/>
    <n v="0"/>
  </r>
  <r>
    <x v="0"/>
    <x v="9"/>
    <x v="17"/>
    <x v="10"/>
    <x v="52"/>
    <x v="1"/>
    <n v="0"/>
  </r>
  <r>
    <x v="0"/>
    <x v="9"/>
    <x v="17"/>
    <x v="10"/>
    <x v="53"/>
    <x v="1"/>
    <n v="0"/>
  </r>
  <r>
    <x v="0"/>
    <x v="9"/>
    <x v="17"/>
    <x v="10"/>
    <x v="54"/>
    <x v="1"/>
    <n v="0"/>
  </r>
  <r>
    <x v="0"/>
    <x v="9"/>
    <x v="17"/>
    <x v="10"/>
    <x v="55"/>
    <x v="1"/>
    <n v="0"/>
  </r>
  <r>
    <x v="0"/>
    <x v="9"/>
    <x v="17"/>
    <x v="11"/>
    <x v="46"/>
    <x v="1"/>
    <n v="39.299861561999997"/>
  </r>
  <r>
    <x v="0"/>
    <x v="9"/>
    <x v="17"/>
    <x v="11"/>
    <x v="47"/>
    <x v="1"/>
    <n v="39.299861561999997"/>
  </r>
  <r>
    <x v="0"/>
    <x v="9"/>
    <x v="17"/>
    <x v="11"/>
    <x v="48"/>
    <x v="1"/>
    <n v="39.299861561999997"/>
  </r>
  <r>
    <x v="0"/>
    <x v="9"/>
    <x v="17"/>
    <x v="11"/>
    <x v="49"/>
    <x v="1"/>
    <n v="0"/>
  </r>
  <r>
    <x v="0"/>
    <x v="9"/>
    <x v="17"/>
    <x v="11"/>
    <x v="50"/>
    <x v="1"/>
    <n v="0"/>
  </r>
  <r>
    <x v="0"/>
    <x v="9"/>
    <x v="17"/>
    <x v="11"/>
    <x v="51"/>
    <x v="1"/>
    <n v="0"/>
  </r>
  <r>
    <x v="0"/>
    <x v="9"/>
    <x v="17"/>
    <x v="11"/>
    <x v="52"/>
    <x v="1"/>
    <n v="0"/>
  </r>
  <r>
    <x v="0"/>
    <x v="9"/>
    <x v="17"/>
    <x v="11"/>
    <x v="53"/>
    <x v="1"/>
    <n v="0"/>
  </r>
  <r>
    <x v="0"/>
    <x v="9"/>
    <x v="17"/>
    <x v="11"/>
    <x v="54"/>
    <x v="1"/>
    <n v="0"/>
  </r>
  <r>
    <x v="0"/>
    <x v="9"/>
    <x v="17"/>
    <x v="11"/>
    <x v="55"/>
    <x v="1"/>
    <n v="0"/>
  </r>
  <r>
    <x v="0"/>
    <x v="9"/>
    <x v="17"/>
    <x v="12"/>
    <x v="46"/>
    <x v="1"/>
    <n v="11.115823796999999"/>
  </r>
  <r>
    <x v="0"/>
    <x v="9"/>
    <x v="17"/>
    <x v="12"/>
    <x v="47"/>
    <x v="1"/>
    <n v="11.115823796999999"/>
  </r>
  <r>
    <x v="0"/>
    <x v="9"/>
    <x v="17"/>
    <x v="12"/>
    <x v="48"/>
    <x v="1"/>
    <n v="11.115823796999999"/>
  </r>
  <r>
    <x v="0"/>
    <x v="9"/>
    <x v="17"/>
    <x v="12"/>
    <x v="49"/>
    <x v="1"/>
    <n v="0"/>
  </r>
  <r>
    <x v="0"/>
    <x v="9"/>
    <x v="17"/>
    <x v="12"/>
    <x v="50"/>
    <x v="1"/>
    <n v="0"/>
  </r>
  <r>
    <x v="0"/>
    <x v="9"/>
    <x v="17"/>
    <x v="12"/>
    <x v="51"/>
    <x v="1"/>
    <n v="0"/>
  </r>
  <r>
    <x v="0"/>
    <x v="9"/>
    <x v="17"/>
    <x v="12"/>
    <x v="52"/>
    <x v="1"/>
    <n v="0"/>
  </r>
  <r>
    <x v="0"/>
    <x v="9"/>
    <x v="17"/>
    <x v="12"/>
    <x v="53"/>
    <x v="1"/>
    <n v="0"/>
  </r>
  <r>
    <x v="0"/>
    <x v="9"/>
    <x v="17"/>
    <x v="12"/>
    <x v="54"/>
    <x v="1"/>
    <n v="0"/>
  </r>
  <r>
    <x v="0"/>
    <x v="9"/>
    <x v="17"/>
    <x v="12"/>
    <x v="55"/>
    <x v="1"/>
    <n v="0"/>
  </r>
  <r>
    <x v="0"/>
    <x v="9"/>
    <x v="17"/>
    <x v="13"/>
    <x v="46"/>
    <x v="1"/>
    <n v="24.870090003000001"/>
  </r>
  <r>
    <x v="0"/>
    <x v="9"/>
    <x v="17"/>
    <x v="13"/>
    <x v="47"/>
    <x v="1"/>
    <n v="24.870090003000001"/>
  </r>
  <r>
    <x v="0"/>
    <x v="9"/>
    <x v="17"/>
    <x v="13"/>
    <x v="48"/>
    <x v="1"/>
    <n v="24.870090003000001"/>
  </r>
  <r>
    <x v="0"/>
    <x v="9"/>
    <x v="17"/>
    <x v="13"/>
    <x v="49"/>
    <x v="1"/>
    <n v="0"/>
  </r>
  <r>
    <x v="0"/>
    <x v="9"/>
    <x v="17"/>
    <x v="13"/>
    <x v="50"/>
    <x v="1"/>
    <n v="0"/>
  </r>
  <r>
    <x v="0"/>
    <x v="9"/>
    <x v="17"/>
    <x v="13"/>
    <x v="51"/>
    <x v="1"/>
    <n v="0"/>
  </r>
  <r>
    <x v="0"/>
    <x v="9"/>
    <x v="17"/>
    <x v="13"/>
    <x v="52"/>
    <x v="1"/>
    <n v="0"/>
  </r>
  <r>
    <x v="0"/>
    <x v="9"/>
    <x v="17"/>
    <x v="13"/>
    <x v="53"/>
    <x v="1"/>
    <n v="0"/>
  </r>
  <r>
    <x v="0"/>
    <x v="9"/>
    <x v="17"/>
    <x v="13"/>
    <x v="54"/>
    <x v="1"/>
    <n v="0"/>
  </r>
  <r>
    <x v="0"/>
    <x v="9"/>
    <x v="17"/>
    <x v="13"/>
    <x v="55"/>
    <x v="1"/>
    <n v="0"/>
  </r>
  <r>
    <x v="0"/>
    <x v="9"/>
    <x v="17"/>
    <x v="14"/>
    <x v="46"/>
    <x v="1"/>
    <n v="7.8456034270000004"/>
  </r>
  <r>
    <x v="0"/>
    <x v="9"/>
    <x v="17"/>
    <x v="14"/>
    <x v="47"/>
    <x v="1"/>
    <n v="7.8456034270000004"/>
  </r>
  <r>
    <x v="0"/>
    <x v="9"/>
    <x v="17"/>
    <x v="14"/>
    <x v="48"/>
    <x v="1"/>
    <n v="7.8456034270000004"/>
  </r>
  <r>
    <x v="0"/>
    <x v="9"/>
    <x v="17"/>
    <x v="14"/>
    <x v="49"/>
    <x v="1"/>
    <n v="0"/>
  </r>
  <r>
    <x v="0"/>
    <x v="9"/>
    <x v="17"/>
    <x v="14"/>
    <x v="50"/>
    <x v="1"/>
    <n v="0"/>
  </r>
  <r>
    <x v="0"/>
    <x v="9"/>
    <x v="17"/>
    <x v="14"/>
    <x v="51"/>
    <x v="1"/>
    <n v="0"/>
  </r>
  <r>
    <x v="0"/>
    <x v="9"/>
    <x v="17"/>
    <x v="14"/>
    <x v="52"/>
    <x v="1"/>
    <n v="0"/>
  </r>
  <r>
    <x v="0"/>
    <x v="9"/>
    <x v="17"/>
    <x v="14"/>
    <x v="53"/>
    <x v="1"/>
    <n v="0"/>
  </r>
  <r>
    <x v="0"/>
    <x v="9"/>
    <x v="17"/>
    <x v="14"/>
    <x v="54"/>
    <x v="1"/>
    <n v="0"/>
  </r>
  <r>
    <x v="0"/>
    <x v="9"/>
    <x v="17"/>
    <x v="14"/>
    <x v="55"/>
    <x v="1"/>
    <n v="0"/>
  </r>
  <r>
    <x v="0"/>
    <x v="9"/>
    <x v="17"/>
    <x v="15"/>
    <x v="46"/>
    <x v="1"/>
    <n v="9.1123209149999997"/>
  </r>
  <r>
    <x v="0"/>
    <x v="9"/>
    <x v="17"/>
    <x v="15"/>
    <x v="47"/>
    <x v="1"/>
    <n v="9.1123209149999997"/>
  </r>
  <r>
    <x v="0"/>
    <x v="9"/>
    <x v="17"/>
    <x v="15"/>
    <x v="48"/>
    <x v="1"/>
    <n v="9.1123209149999997"/>
  </r>
  <r>
    <x v="0"/>
    <x v="9"/>
    <x v="17"/>
    <x v="15"/>
    <x v="49"/>
    <x v="1"/>
    <n v="0"/>
  </r>
  <r>
    <x v="0"/>
    <x v="9"/>
    <x v="17"/>
    <x v="15"/>
    <x v="50"/>
    <x v="1"/>
    <n v="0"/>
  </r>
  <r>
    <x v="0"/>
    <x v="9"/>
    <x v="17"/>
    <x v="15"/>
    <x v="51"/>
    <x v="1"/>
    <n v="0"/>
  </r>
  <r>
    <x v="0"/>
    <x v="9"/>
    <x v="17"/>
    <x v="15"/>
    <x v="52"/>
    <x v="1"/>
    <n v="0"/>
  </r>
  <r>
    <x v="0"/>
    <x v="9"/>
    <x v="17"/>
    <x v="15"/>
    <x v="53"/>
    <x v="1"/>
    <n v="0"/>
  </r>
  <r>
    <x v="0"/>
    <x v="9"/>
    <x v="17"/>
    <x v="15"/>
    <x v="54"/>
    <x v="1"/>
    <n v="0"/>
  </r>
  <r>
    <x v="0"/>
    <x v="9"/>
    <x v="17"/>
    <x v="15"/>
    <x v="55"/>
    <x v="1"/>
    <n v="0"/>
  </r>
  <r>
    <x v="0"/>
    <x v="9"/>
    <x v="17"/>
    <x v="16"/>
    <x v="46"/>
    <x v="1"/>
    <n v="5.933836511"/>
  </r>
  <r>
    <x v="0"/>
    <x v="9"/>
    <x v="17"/>
    <x v="16"/>
    <x v="47"/>
    <x v="1"/>
    <n v="5.933836511"/>
  </r>
  <r>
    <x v="0"/>
    <x v="9"/>
    <x v="17"/>
    <x v="16"/>
    <x v="48"/>
    <x v="1"/>
    <n v="5.933836511"/>
  </r>
  <r>
    <x v="0"/>
    <x v="9"/>
    <x v="17"/>
    <x v="16"/>
    <x v="49"/>
    <x v="1"/>
    <n v="0"/>
  </r>
  <r>
    <x v="0"/>
    <x v="9"/>
    <x v="17"/>
    <x v="16"/>
    <x v="50"/>
    <x v="1"/>
    <n v="0"/>
  </r>
  <r>
    <x v="0"/>
    <x v="9"/>
    <x v="17"/>
    <x v="16"/>
    <x v="51"/>
    <x v="1"/>
    <n v="0"/>
  </r>
  <r>
    <x v="0"/>
    <x v="9"/>
    <x v="17"/>
    <x v="16"/>
    <x v="52"/>
    <x v="1"/>
    <n v="0"/>
  </r>
  <r>
    <x v="0"/>
    <x v="9"/>
    <x v="17"/>
    <x v="16"/>
    <x v="53"/>
    <x v="1"/>
    <n v="0"/>
  </r>
  <r>
    <x v="0"/>
    <x v="9"/>
    <x v="17"/>
    <x v="16"/>
    <x v="54"/>
    <x v="1"/>
    <n v="0"/>
  </r>
  <r>
    <x v="0"/>
    <x v="9"/>
    <x v="17"/>
    <x v="16"/>
    <x v="55"/>
    <x v="1"/>
    <n v="0"/>
  </r>
  <r>
    <x v="0"/>
    <x v="9"/>
    <x v="17"/>
    <x v="17"/>
    <x v="46"/>
    <x v="1"/>
    <n v="14.045712948"/>
  </r>
  <r>
    <x v="0"/>
    <x v="9"/>
    <x v="17"/>
    <x v="17"/>
    <x v="47"/>
    <x v="1"/>
    <n v="14.045712948"/>
  </r>
  <r>
    <x v="0"/>
    <x v="9"/>
    <x v="17"/>
    <x v="17"/>
    <x v="48"/>
    <x v="1"/>
    <n v="14.045712948"/>
  </r>
  <r>
    <x v="0"/>
    <x v="9"/>
    <x v="17"/>
    <x v="17"/>
    <x v="49"/>
    <x v="1"/>
    <n v="0"/>
  </r>
  <r>
    <x v="0"/>
    <x v="9"/>
    <x v="17"/>
    <x v="17"/>
    <x v="50"/>
    <x v="1"/>
    <n v="0"/>
  </r>
  <r>
    <x v="0"/>
    <x v="9"/>
    <x v="17"/>
    <x v="17"/>
    <x v="51"/>
    <x v="1"/>
    <n v="0"/>
  </r>
  <r>
    <x v="0"/>
    <x v="9"/>
    <x v="17"/>
    <x v="17"/>
    <x v="52"/>
    <x v="1"/>
    <n v="0"/>
  </r>
  <r>
    <x v="0"/>
    <x v="9"/>
    <x v="17"/>
    <x v="17"/>
    <x v="53"/>
    <x v="1"/>
    <n v="0"/>
  </r>
  <r>
    <x v="0"/>
    <x v="9"/>
    <x v="17"/>
    <x v="17"/>
    <x v="54"/>
    <x v="1"/>
    <n v="0"/>
  </r>
  <r>
    <x v="0"/>
    <x v="9"/>
    <x v="17"/>
    <x v="17"/>
    <x v="55"/>
    <x v="1"/>
    <n v="0"/>
  </r>
  <r>
    <x v="0"/>
    <x v="9"/>
    <x v="17"/>
    <x v="18"/>
    <x v="46"/>
    <x v="1"/>
    <n v="10.933141659"/>
  </r>
  <r>
    <x v="0"/>
    <x v="9"/>
    <x v="17"/>
    <x v="18"/>
    <x v="47"/>
    <x v="1"/>
    <n v="10.933141659"/>
  </r>
  <r>
    <x v="0"/>
    <x v="9"/>
    <x v="17"/>
    <x v="18"/>
    <x v="48"/>
    <x v="1"/>
    <n v="10.933141659"/>
  </r>
  <r>
    <x v="0"/>
    <x v="9"/>
    <x v="17"/>
    <x v="18"/>
    <x v="49"/>
    <x v="1"/>
    <n v="0"/>
  </r>
  <r>
    <x v="0"/>
    <x v="9"/>
    <x v="17"/>
    <x v="18"/>
    <x v="50"/>
    <x v="1"/>
    <n v="0"/>
  </r>
  <r>
    <x v="0"/>
    <x v="9"/>
    <x v="17"/>
    <x v="18"/>
    <x v="51"/>
    <x v="1"/>
    <n v="0"/>
  </r>
  <r>
    <x v="0"/>
    <x v="9"/>
    <x v="17"/>
    <x v="18"/>
    <x v="52"/>
    <x v="1"/>
    <n v="0"/>
  </r>
  <r>
    <x v="0"/>
    <x v="9"/>
    <x v="17"/>
    <x v="18"/>
    <x v="53"/>
    <x v="1"/>
    <n v="0"/>
  </r>
  <r>
    <x v="0"/>
    <x v="9"/>
    <x v="17"/>
    <x v="18"/>
    <x v="54"/>
    <x v="1"/>
    <n v="0"/>
  </r>
  <r>
    <x v="0"/>
    <x v="9"/>
    <x v="17"/>
    <x v="18"/>
    <x v="55"/>
    <x v="1"/>
    <n v="0"/>
  </r>
  <r>
    <x v="0"/>
    <x v="9"/>
    <x v="17"/>
    <x v="19"/>
    <x v="46"/>
    <x v="1"/>
    <n v="13.810677476"/>
  </r>
  <r>
    <x v="0"/>
    <x v="9"/>
    <x v="17"/>
    <x v="19"/>
    <x v="47"/>
    <x v="1"/>
    <n v="13.810677476"/>
  </r>
  <r>
    <x v="0"/>
    <x v="9"/>
    <x v="17"/>
    <x v="19"/>
    <x v="48"/>
    <x v="1"/>
    <n v="13.810677476"/>
  </r>
  <r>
    <x v="0"/>
    <x v="9"/>
    <x v="17"/>
    <x v="19"/>
    <x v="49"/>
    <x v="1"/>
    <n v="0"/>
  </r>
  <r>
    <x v="0"/>
    <x v="9"/>
    <x v="17"/>
    <x v="19"/>
    <x v="50"/>
    <x v="1"/>
    <n v="0"/>
  </r>
  <r>
    <x v="0"/>
    <x v="9"/>
    <x v="17"/>
    <x v="19"/>
    <x v="51"/>
    <x v="1"/>
    <n v="0"/>
  </r>
  <r>
    <x v="0"/>
    <x v="9"/>
    <x v="17"/>
    <x v="19"/>
    <x v="52"/>
    <x v="1"/>
    <n v="0"/>
  </r>
  <r>
    <x v="0"/>
    <x v="9"/>
    <x v="17"/>
    <x v="19"/>
    <x v="53"/>
    <x v="1"/>
    <n v="0"/>
  </r>
  <r>
    <x v="0"/>
    <x v="9"/>
    <x v="17"/>
    <x v="19"/>
    <x v="54"/>
    <x v="1"/>
    <n v="0"/>
  </r>
  <r>
    <x v="0"/>
    <x v="9"/>
    <x v="17"/>
    <x v="19"/>
    <x v="55"/>
    <x v="1"/>
    <n v="0"/>
  </r>
  <r>
    <x v="0"/>
    <x v="9"/>
    <x v="17"/>
    <x v="20"/>
    <x v="46"/>
    <x v="1"/>
    <n v="1.7232699739999999"/>
  </r>
  <r>
    <x v="0"/>
    <x v="9"/>
    <x v="17"/>
    <x v="20"/>
    <x v="47"/>
    <x v="1"/>
    <n v="1.7232699739999999"/>
  </r>
  <r>
    <x v="0"/>
    <x v="9"/>
    <x v="17"/>
    <x v="20"/>
    <x v="48"/>
    <x v="1"/>
    <n v="1.7232699739999999"/>
  </r>
  <r>
    <x v="0"/>
    <x v="9"/>
    <x v="17"/>
    <x v="20"/>
    <x v="49"/>
    <x v="1"/>
    <n v="0"/>
  </r>
  <r>
    <x v="0"/>
    <x v="9"/>
    <x v="17"/>
    <x v="20"/>
    <x v="50"/>
    <x v="1"/>
    <n v="0"/>
  </r>
  <r>
    <x v="0"/>
    <x v="9"/>
    <x v="17"/>
    <x v="20"/>
    <x v="51"/>
    <x v="1"/>
    <n v="0"/>
  </r>
  <r>
    <x v="0"/>
    <x v="9"/>
    <x v="17"/>
    <x v="20"/>
    <x v="52"/>
    <x v="1"/>
    <n v="0"/>
  </r>
  <r>
    <x v="0"/>
    <x v="9"/>
    <x v="17"/>
    <x v="20"/>
    <x v="53"/>
    <x v="1"/>
    <n v="0"/>
  </r>
  <r>
    <x v="0"/>
    <x v="9"/>
    <x v="17"/>
    <x v="20"/>
    <x v="54"/>
    <x v="1"/>
    <n v="0"/>
  </r>
  <r>
    <x v="0"/>
    <x v="9"/>
    <x v="17"/>
    <x v="20"/>
    <x v="55"/>
    <x v="1"/>
    <n v="0"/>
  </r>
  <r>
    <x v="0"/>
    <x v="9"/>
    <x v="17"/>
    <x v="21"/>
    <x v="46"/>
    <x v="1"/>
    <n v="0.85166153099999997"/>
  </r>
  <r>
    <x v="0"/>
    <x v="9"/>
    <x v="17"/>
    <x v="21"/>
    <x v="47"/>
    <x v="1"/>
    <n v="0.85166153099999997"/>
  </r>
  <r>
    <x v="0"/>
    <x v="9"/>
    <x v="17"/>
    <x v="21"/>
    <x v="48"/>
    <x v="1"/>
    <n v="0.85166153099999997"/>
  </r>
  <r>
    <x v="0"/>
    <x v="9"/>
    <x v="17"/>
    <x v="21"/>
    <x v="49"/>
    <x v="1"/>
    <n v="0"/>
  </r>
  <r>
    <x v="0"/>
    <x v="9"/>
    <x v="17"/>
    <x v="21"/>
    <x v="50"/>
    <x v="1"/>
    <n v="0"/>
  </r>
  <r>
    <x v="0"/>
    <x v="9"/>
    <x v="17"/>
    <x v="21"/>
    <x v="51"/>
    <x v="1"/>
    <n v="0"/>
  </r>
  <r>
    <x v="0"/>
    <x v="9"/>
    <x v="17"/>
    <x v="21"/>
    <x v="52"/>
    <x v="1"/>
    <n v="0"/>
  </r>
  <r>
    <x v="0"/>
    <x v="9"/>
    <x v="17"/>
    <x v="21"/>
    <x v="53"/>
    <x v="1"/>
    <n v="0"/>
  </r>
  <r>
    <x v="0"/>
    <x v="9"/>
    <x v="17"/>
    <x v="21"/>
    <x v="54"/>
    <x v="1"/>
    <n v="0"/>
  </r>
  <r>
    <x v="0"/>
    <x v="9"/>
    <x v="17"/>
    <x v="21"/>
    <x v="55"/>
    <x v="1"/>
    <n v="0"/>
  </r>
  <r>
    <x v="0"/>
    <x v="9"/>
    <x v="17"/>
    <x v="22"/>
    <x v="46"/>
    <x v="1"/>
    <n v="0.78963201599999999"/>
  </r>
  <r>
    <x v="0"/>
    <x v="9"/>
    <x v="17"/>
    <x v="22"/>
    <x v="47"/>
    <x v="1"/>
    <n v="0.78963201599999999"/>
  </r>
  <r>
    <x v="0"/>
    <x v="9"/>
    <x v="17"/>
    <x v="22"/>
    <x v="48"/>
    <x v="1"/>
    <n v="0.78963201599999999"/>
  </r>
  <r>
    <x v="0"/>
    <x v="9"/>
    <x v="17"/>
    <x v="22"/>
    <x v="49"/>
    <x v="1"/>
    <n v="0"/>
  </r>
  <r>
    <x v="0"/>
    <x v="9"/>
    <x v="17"/>
    <x v="22"/>
    <x v="50"/>
    <x v="1"/>
    <n v="0"/>
  </r>
  <r>
    <x v="0"/>
    <x v="9"/>
    <x v="17"/>
    <x v="22"/>
    <x v="51"/>
    <x v="1"/>
    <n v="0"/>
  </r>
  <r>
    <x v="0"/>
    <x v="9"/>
    <x v="17"/>
    <x v="22"/>
    <x v="52"/>
    <x v="1"/>
    <n v="0"/>
  </r>
  <r>
    <x v="0"/>
    <x v="9"/>
    <x v="17"/>
    <x v="22"/>
    <x v="53"/>
    <x v="1"/>
    <n v="0"/>
  </r>
  <r>
    <x v="0"/>
    <x v="9"/>
    <x v="17"/>
    <x v="22"/>
    <x v="54"/>
    <x v="1"/>
    <n v="0"/>
  </r>
  <r>
    <x v="0"/>
    <x v="9"/>
    <x v="17"/>
    <x v="22"/>
    <x v="55"/>
    <x v="1"/>
    <n v="0"/>
  </r>
  <r>
    <x v="0"/>
    <x v="9"/>
    <x v="17"/>
    <x v="23"/>
    <x v="46"/>
    <x v="1"/>
    <n v="0.37726917799999998"/>
  </r>
  <r>
    <x v="0"/>
    <x v="9"/>
    <x v="17"/>
    <x v="23"/>
    <x v="47"/>
    <x v="1"/>
    <n v="0.37726917799999998"/>
  </r>
  <r>
    <x v="0"/>
    <x v="9"/>
    <x v="17"/>
    <x v="23"/>
    <x v="48"/>
    <x v="1"/>
    <n v="0.37726917799999998"/>
  </r>
  <r>
    <x v="0"/>
    <x v="9"/>
    <x v="17"/>
    <x v="23"/>
    <x v="49"/>
    <x v="1"/>
    <n v="0"/>
  </r>
  <r>
    <x v="0"/>
    <x v="9"/>
    <x v="17"/>
    <x v="23"/>
    <x v="50"/>
    <x v="1"/>
    <n v="0"/>
  </r>
  <r>
    <x v="0"/>
    <x v="9"/>
    <x v="17"/>
    <x v="23"/>
    <x v="51"/>
    <x v="1"/>
    <n v="0"/>
  </r>
  <r>
    <x v="0"/>
    <x v="9"/>
    <x v="17"/>
    <x v="23"/>
    <x v="52"/>
    <x v="1"/>
    <n v="0"/>
  </r>
  <r>
    <x v="0"/>
    <x v="9"/>
    <x v="17"/>
    <x v="23"/>
    <x v="53"/>
    <x v="1"/>
    <n v="0"/>
  </r>
  <r>
    <x v="0"/>
    <x v="9"/>
    <x v="17"/>
    <x v="23"/>
    <x v="54"/>
    <x v="1"/>
    <n v="0"/>
  </r>
  <r>
    <x v="0"/>
    <x v="9"/>
    <x v="17"/>
    <x v="23"/>
    <x v="55"/>
    <x v="1"/>
    <n v="0"/>
  </r>
  <r>
    <x v="0"/>
    <x v="9"/>
    <x v="17"/>
    <x v="24"/>
    <x v="46"/>
    <x v="1"/>
    <n v="15.355064498999999"/>
  </r>
  <r>
    <x v="0"/>
    <x v="9"/>
    <x v="17"/>
    <x v="24"/>
    <x v="47"/>
    <x v="1"/>
    <n v="15.355064498999999"/>
  </r>
  <r>
    <x v="0"/>
    <x v="9"/>
    <x v="17"/>
    <x v="24"/>
    <x v="48"/>
    <x v="1"/>
    <n v="15.355064498999999"/>
  </r>
  <r>
    <x v="0"/>
    <x v="9"/>
    <x v="17"/>
    <x v="24"/>
    <x v="49"/>
    <x v="1"/>
    <n v="0"/>
  </r>
  <r>
    <x v="0"/>
    <x v="9"/>
    <x v="17"/>
    <x v="24"/>
    <x v="50"/>
    <x v="1"/>
    <n v="0"/>
  </r>
  <r>
    <x v="0"/>
    <x v="9"/>
    <x v="17"/>
    <x v="24"/>
    <x v="51"/>
    <x v="1"/>
    <n v="0"/>
  </r>
  <r>
    <x v="0"/>
    <x v="9"/>
    <x v="17"/>
    <x v="24"/>
    <x v="52"/>
    <x v="1"/>
    <n v="0"/>
  </r>
  <r>
    <x v="0"/>
    <x v="9"/>
    <x v="17"/>
    <x v="24"/>
    <x v="53"/>
    <x v="1"/>
    <n v="0"/>
  </r>
  <r>
    <x v="0"/>
    <x v="9"/>
    <x v="17"/>
    <x v="24"/>
    <x v="54"/>
    <x v="1"/>
    <n v="0"/>
  </r>
  <r>
    <x v="0"/>
    <x v="9"/>
    <x v="17"/>
    <x v="24"/>
    <x v="55"/>
    <x v="1"/>
    <n v="0"/>
  </r>
  <r>
    <x v="0"/>
    <x v="9"/>
    <x v="17"/>
    <x v="25"/>
    <x v="46"/>
    <x v="1"/>
    <n v="0.71739512599999999"/>
  </r>
  <r>
    <x v="0"/>
    <x v="9"/>
    <x v="17"/>
    <x v="25"/>
    <x v="47"/>
    <x v="1"/>
    <n v="0.71739512599999999"/>
  </r>
  <r>
    <x v="0"/>
    <x v="9"/>
    <x v="17"/>
    <x v="25"/>
    <x v="48"/>
    <x v="1"/>
    <n v="0.71739512599999999"/>
  </r>
  <r>
    <x v="0"/>
    <x v="9"/>
    <x v="17"/>
    <x v="25"/>
    <x v="49"/>
    <x v="1"/>
    <n v="0"/>
  </r>
  <r>
    <x v="0"/>
    <x v="9"/>
    <x v="17"/>
    <x v="25"/>
    <x v="50"/>
    <x v="1"/>
    <n v="0"/>
  </r>
  <r>
    <x v="0"/>
    <x v="9"/>
    <x v="17"/>
    <x v="25"/>
    <x v="51"/>
    <x v="1"/>
    <n v="0"/>
  </r>
  <r>
    <x v="0"/>
    <x v="9"/>
    <x v="17"/>
    <x v="25"/>
    <x v="52"/>
    <x v="1"/>
    <n v="0"/>
  </r>
  <r>
    <x v="0"/>
    <x v="9"/>
    <x v="17"/>
    <x v="25"/>
    <x v="53"/>
    <x v="1"/>
    <n v="0"/>
  </r>
  <r>
    <x v="0"/>
    <x v="9"/>
    <x v="17"/>
    <x v="25"/>
    <x v="54"/>
    <x v="1"/>
    <n v="0"/>
  </r>
  <r>
    <x v="0"/>
    <x v="9"/>
    <x v="17"/>
    <x v="25"/>
    <x v="55"/>
    <x v="1"/>
    <n v="0"/>
  </r>
  <r>
    <x v="0"/>
    <x v="9"/>
    <x v="17"/>
    <x v="26"/>
    <x v="46"/>
    <x v="1"/>
    <n v="0.47002180500000001"/>
  </r>
  <r>
    <x v="0"/>
    <x v="9"/>
    <x v="17"/>
    <x v="26"/>
    <x v="47"/>
    <x v="1"/>
    <n v="0.47002180500000001"/>
  </r>
  <r>
    <x v="0"/>
    <x v="9"/>
    <x v="17"/>
    <x v="26"/>
    <x v="48"/>
    <x v="1"/>
    <n v="0.47002180500000001"/>
  </r>
  <r>
    <x v="0"/>
    <x v="9"/>
    <x v="17"/>
    <x v="26"/>
    <x v="49"/>
    <x v="1"/>
    <n v="0"/>
  </r>
  <r>
    <x v="0"/>
    <x v="9"/>
    <x v="17"/>
    <x v="26"/>
    <x v="50"/>
    <x v="1"/>
    <n v="0"/>
  </r>
  <r>
    <x v="0"/>
    <x v="9"/>
    <x v="17"/>
    <x v="26"/>
    <x v="51"/>
    <x v="1"/>
    <n v="0"/>
  </r>
  <r>
    <x v="0"/>
    <x v="9"/>
    <x v="17"/>
    <x v="26"/>
    <x v="52"/>
    <x v="1"/>
    <n v="0"/>
  </r>
  <r>
    <x v="0"/>
    <x v="9"/>
    <x v="17"/>
    <x v="26"/>
    <x v="53"/>
    <x v="1"/>
    <n v="0"/>
  </r>
  <r>
    <x v="0"/>
    <x v="9"/>
    <x v="17"/>
    <x v="26"/>
    <x v="54"/>
    <x v="1"/>
    <n v="0"/>
  </r>
  <r>
    <x v="0"/>
    <x v="9"/>
    <x v="17"/>
    <x v="26"/>
    <x v="55"/>
    <x v="1"/>
    <n v="0"/>
  </r>
  <r>
    <x v="0"/>
    <x v="9"/>
    <x v="17"/>
    <x v="27"/>
    <x v="46"/>
    <x v="1"/>
    <n v="26.668230372"/>
  </r>
  <r>
    <x v="0"/>
    <x v="9"/>
    <x v="17"/>
    <x v="27"/>
    <x v="47"/>
    <x v="1"/>
    <n v="26.668230372"/>
  </r>
  <r>
    <x v="0"/>
    <x v="9"/>
    <x v="17"/>
    <x v="27"/>
    <x v="48"/>
    <x v="1"/>
    <n v="26.668230372"/>
  </r>
  <r>
    <x v="0"/>
    <x v="9"/>
    <x v="17"/>
    <x v="27"/>
    <x v="49"/>
    <x v="1"/>
    <n v="0"/>
  </r>
  <r>
    <x v="0"/>
    <x v="9"/>
    <x v="17"/>
    <x v="27"/>
    <x v="50"/>
    <x v="1"/>
    <n v="0"/>
  </r>
  <r>
    <x v="0"/>
    <x v="9"/>
    <x v="17"/>
    <x v="27"/>
    <x v="51"/>
    <x v="1"/>
    <n v="0"/>
  </r>
  <r>
    <x v="0"/>
    <x v="9"/>
    <x v="17"/>
    <x v="27"/>
    <x v="52"/>
    <x v="1"/>
    <n v="0"/>
  </r>
  <r>
    <x v="0"/>
    <x v="9"/>
    <x v="17"/>
    <x v="27"/>
    <x v="53"/>
    <x v="1"/>
    <n v="0"/>
  </r>
  <r>
    <x v="0"/>
    <x v="9"/>
    <x v="17"/>
    <x v="27"/>
    <x v="54"/>
    <x v="1"/>
    <n v="0"/>
  </r>
  <r>
    <x v="0"/>
    <x v="9"/>
    <x v="17"/>
    <x v="27"/>
    <x v="55"/>
    <x v="1"/>
    <n v="0"/>
  </r>
  <r>
    <x v="0"/>
    <x v="9"/>
    <x v="17"/>
    <x v="28"/>
    <x v="46"/>
    <x v="1"/>
    <n v="23.933206787"/>
  </r>
  <r>
    <x v="0"/>
    <x v="9"/>
    <x v="17"/>
    <x v="28"/>
    <x v="47"/>
    <x v="1"/>
    <n v="23.933206787"/>
  </r>
  <r>
    <x v="0"/>
    <x v="9"/>
    <x v="17"/>
    <x v="28"/>
    <x v="48"/>
    <x v="1"/>
    <n v="23.933206787"/>
  </r>
  <r>
    <x v="0"/>
    <x v="9"/>
    <x v="17"/>
    <x v="28"/>
    <x v="49"/>
    <x v="1"/>
    <n v="0"/>
  </r>
  <r>
    <x v="0"/>
    <x v="9"/>
    <x v="17"/>
    <x v="28"/>
    <x v="50"/>
    <x v="1"/>
    <n v="0"/>
  </r>
  <r>
    <x v="0"/>
    <x v="9"/>
    <x v="17"/>
    <x v="28"/>
    <x v="51"/>
    <x v="1"/>
    <n v="0"/>
  </r>
  <r>
    <x v="0"/>
    <x v="9"/>
    <x v="17"/>
    <x v="28"/>
    <x v="52"/>
    <x v="1"/>
    <n v="0"/>
  </r>
  <r>
    <x v="0"/>
    <x v="9"/>
    <x v="17"/>
    <x v="28"/>
    <x v="53"/>
    <x v="1"/>
    <n v="0"/>
  </r>
  <r>
    <x v="0"/>
    <x v="9"/>
    <x v="17"/>
    <x v="28"/>
    <x v="54"/>
    <x v="1"/>
    <n v="0"/>
  </r>
  <r>
    <x v="0"/>
    <x v="9"/>
    <x v="17"/>
    <x v="28"/>
    <x v="55"/>
    <x v="1"/>
    <n v="0"/>
  </r>
  <r>
    <x v="0"/>
    <x v="9"/>
    <x v="17"/>
    <x v="29"/>
    <x v="46"/>
    <x v="1"/>
    <n v="22.566517832999999"/>
  </r>
  <r>
    <x v="0"/>
    <x v="9"/>
    <x v="17"/>
    <x v="29"/>
    <x v="47"/>
    <x v="1"/>
    <n v="22.566517832999999"/>
  </r>
  <r>
    <x v="0"/>
    <x v="9"/>
    <x v="17"/>
    <x v="29"/>
    <x v="48"/>
    <x v="1"/>
    <n v="22.566517832999999"/>
  </r>
  <r>
    <x v="0"/>
    <x v="9"/>
    <x v="17"/>
    <x v="29"/>
    <x v="49"/>
    <x v="1"/>
    <n v="0"/>
  </r>
  <r>
    <x v="0"/>
    <x v="9"/>
    <x v="17"/>
    <x v="29"/>
    <x v="50"/>
    <x v="1"/>
    <n v="0"/>
  </r>
  <r>
    <x v="0"/>
    <x v="9"/>
    <x v="17"/>
    <x v="29"/>
    <x v="51"/>
    <x v="1"/>
    <n v="0"/>
  </r>
  <r>
    <x v="0"/>
    <x v="9"/>
    <x v="17"/>
    <x v="29"/>
    <x v="52"/>
    <x v="1"/>
    <n v="0"/>
  </r>
  <r>
    <x v="0"/>
    <x v="9"/>
    <x v="17"/>
    <x v="29"/>
    <x v="53"/>
    <x v="1"/>
    <n v="0"/>
  </r>
  <r>
    <x v="0"/>
    <x v="9"/>
    <x v="17"/>
    <x v="29"/>
    <x v="54"/>
    <x v="1"/>
    <n v="0"/>
  </r>
  <r>
    <x v="0"/>
    <x v="9"/>
    <x v="17"/>
    <x v="29"/>
    <x v="55"/>
    <x v="1"/>
    <n v="0"/>
  </r>
  <r>
    <x v="0"/>
    <x v="9"/>
    <x v="17"/>
    <x v="30"/>
    <x v="46"/>
    <x v="1"/>
    <n v="8.290227045"/>
  </r>
  <r>
    <x v="0"/>
    <x v="9"/>
    <x v="17"/>
    <x v="30"/>
    <x v="47"/>
    <x v="1"/>
    <n v="8.290227045"/>
  </r>
  <r>
    <x v="0"/>
    <x v="9"/>
    <x v="17"/>
    <x v="30"/>
    <x v="48"/>
    <x v="1"/>
    <n v="8.290227045"/>
  </r>
  <r>
    <x v="0"/>
    <x v="9"/>
    <x v="17"/>
    <x v="30"/>
    <x v="49"/>
    <x v="1"/>
    <n v="0"/>
  </r>
  <r>
    <x v="0"/>
    <x v="9"/>
    <x v="17"/>
    <x v="30"/>
    <x v="50"/>
    <x v="1"/>
    <n v="0"/>
  </r>
  <r>
    <x v="0"/>
    <x v="9"/>
    <x v="17"/>
    <x v="30"/>
    <x v="51"/>
    <x v="1"/>
    <n v="0"/>
  </r>
  <r>
    <x v="0"/>
    <x v="9"/>
    <x v="17"/>
    <x v="30"/>
    <x v="52"/>
    <x v="1"/>
    <n v="0"/>
  </r>
  <r>
    <x v="0"/>
    <x v="9"/>
    <x v="17"/>
    <x v="30"/>
    <x v="53"/>
    <x v="1"/>
    <n v="0"/>
  </r>
  <r>
    <x v="0"/>
    <x v="9"/>
    <x v="17"/>
    <x v="30"/>
    <x v="54"/>
    <x v="1"/>
    <n v="0"/>
  </r>
  <r>
    <x v="0"/>
    <x v="9"/>
    <x v="17"/>
    <x v="30"/>
    <x v="55"/>
    <x v="1"/>
    <n v="0"/>
  </r>
  <r>
    <x v="0"/>
    <x v="9"/>
    <x v="17"/>
    <x v="31"/>
    <x v="46"/>
    <x v="1"/>
    <n v="6.6351197439999998"/>
  </r>
  <r>
    <x v="0"/>
    <x v="9"/>
    <x v="17"/>
    <x v="31"/>
    <x v="47"/>
    <x v="1"/>
    <n v="6.6351197439999998"/>
  </r>
  <r>
    <x v="0"/>
    <x v="9"/>
    <x v="17"/>
    <x v="31"/>
    <x v="48"/>
    <x v="1"/>
    <n v="6.6351197439999998"/>
  </r>
  <r>
    <x v="0"/>
    <x v="9"/>
    <x v="17"/>
    <x v="31"/>
    <x v="49"/>
    <x v="1"/>
    <n v="0"/>
  </r>
  <r>
    <x v="0"/>
    <x v="9"/>
    <x v="17"/>
    <x v="31"/>
    <x v="50"/>
    <x v="1"/>
    <n v="0"/>
  </r>
  <r>
    <x v="0"/>
    <x v="9"/>
    <x v="17"/>
    <x v="31"/>
    <x v="51"/>
    <x v="1"/>
    <n v="0"/>
  </r>
  <r>
    <x v="0"/>
    <x v="9"/>
    <x v="17"/>
    <x v="31"/>
    <x v="52"/>
    <x v="1"/>
    <n v="0"/>
  </r>
  <r>
    <x v="0"/>
    <x v="9"/>
    <x v="17"/>
    <x v="31"/>
    <x v="53"/>
    <x v="1"/>
    <n v="0"/>
  </r>
  <r>
    <x v="0"/>
    <x v="9"/>
    <x v="17"/>
    <x v="31"/>
    <x v="54"/>
    <x v="1"/>
    <n v="0"/>
  </r>
  <r>
    <x v="0"/>
    <x v="9"/>
    <x v="17"/>
    <x v="31"/>
    <x v="55"/>
    <x v="1"/>
    <n v="0"/>
  </r>
  <r>
    <x v="0"/>
    <x v="9"/>
    <x v="17"/>
    <x v="32"/>
    <x v="46"/>
    <x v="1"/>
    <n v="22.090650278999998"/>
  </r>
  <r>
    <x v="0"/>
    <x v="9"/>
    <x v="17"/>
    <x v="32"/>
    <x v="47"/>
    <x v="1"/>
    <n v="22.090650278999998"/>
  </r>
  <r>
    <x v="0"/>
    <x v="9"/>
    <x v="17"/>
    <x v="32"/>
    <x v="48"/>
    <x v="1"/>
    <n v="22.090650278999998"/>
  </r>
  <r>
    <x v="0"/>
    <x v="9"/>
    <x v="17"/>
    <x v="32"/>
    <x v="49"/>
    <x v="1"/>
    <n v="0"/>
  </r>
  <r>
    <x v="0"/>
    <x v="9"/>
    <x v="17"/>
    <x v="32"/>
    <x v="50"/>
    <x v="1"/>
    <n v="0"/>
  </r>
  <r>
    <x v="0"/>
    <x v="9"/>
    <x v="17"/>
    <x v="32"/>
    <x v="51"/>
    <x v="1"/>
    <n v="0"/>
  </r>
  <r>
    <x v="0"/>
    <x v="9"/>
    <x v="17"/>
    <x v="32"/>
    <x v="52"/>
    <x v="1"/>
    <n v="0"/>
  </r>
  <r>
    <x v="0"/>
    <x v="9"/>
    <x v="17"/>
    <x v="32"/>
    <x v="53"/>
    <x v="1"/>
    <n v="0"/>
  </r>
  <r>
    <x v="0"/>
    <x v="9"/>
    <x v="17"/>
    <x v="32"/>
    <x v="54"/>
    <x v="1"/>
    <n v="0"/>
  </r>
  <r>
    <x v="0"/>
    <x v="9"/>
    <x v="17"/>
    <x v="32"/>
    <x v="55"/>
    <x v="1"/>
    <n v="0"/>
  </r>
  <r>
    <x v="0"/>
    <x v="9"/>
    <x v="17"/>
    <x v="33"/>
    <x v="46"/>
    <x v="1"/>
    <n v="12.664307168000001"/>
  </r>
  <r>
    <x v="0"/>
    <x v="9"/>
    <x v="17"/>
    <x v="33"/>
    <x v="47"/>
    <x v="1"/>
    <n v="12.664307168000001"/>
  </r>
  <r>
    <x v="0"/>
    <x v="9"/>
    <x v="17"/>
    <x v="33"/>
    <x v="48"/>
    <x v="1"/>
    <n v="12.664307168000001"/>
  </r>
  <r>
    <x v="0"/>
    <x v="9"/>
    <x v="17"/>
    <x v="33"/>
    <x v="49"/>
    <x v="1"/>
    <n v="0"/>
  </r>
  <r>
    <x v="0"/>
    <x v="9"/>
    <x v="17"/>
    <x v="33"/>
    <x v="50"/>
    <x v="1"/>
    <n v="0"/>
  </r>
  <r>
    <x v="0"/>
    <x v="9"/>
    <x v="17"/>
    <x v="33"/>
    <x v="51"/>
    <x v="1"/>
    <n v="0"/>
  </r>
  <r>
    <x v="0"/>
    <x v="9"/>
    <x v="17"/>
    <x v="33"/>
    <x v="52"/>
    <x v="1"/>
    <n v="0"/>
  </r>
  <r>
    <x v="0"/>
    <x v="9"/>
    <x v="17"/>
    <x v="33"/>
    <x v="53"/>
    <x v="1"/>
    <n v="0"/>
  </r>
  <r>
    <x v="0"/>
    <x v="9"/>
    <x v="17"/>
    <x v="33"/>
    <x v="54"/>
    <x v="1"/>
    <n v="0"/>
  </r>
  <r>
    <x v="0"/>
    <x v="9"/>
    <x v="17"/>
    <x v="33"/>
    <x v="55"/>
    <x v="1"/>
    <n v="0"/>
  </r>
  <r>
    <x v="0"/>
    <x v="9"/>
    <x v="17"/>
    <x v="34"/>
    <x v="46"/>
    <x v="1"/>
    <n v="14.402189555"/>
  </r>
  <r>
    <x v="0"/>
    <x v="9"/>
    <x v="17"/>
    <x v="34"/>
    <x v="47"/>
    <x v="1"/>
    <n v="14.402189555"/>
  </r>
  <r>
    <x v="0"/>
    <x v="9"/>
    <x v="17"/>
    <x v="34"/>
    <x v="48"/>
    <x v="1"/>
    <n v="14.402189555"/>
  </r>
  <r>
    <x v="0"/>
    <x v="9"/>
    <x v="17"/>
    <x v="34"/>
    <x v="49"/>
    <x v="1"/>
    <n v="0"/>
  </r>
  <r>
    <x v="0"/>
    <x v="9"/>
    <x v="17"/>
    <x v="34"/>
    <x v="50"/>
    <x v="1"/>
    <n v="0"/>
  </r>
  <r>
    <x v="0"/>
    <x v="9"/>
    <x v="17"/>
    <x v="34"/>
    <x v="51"/>
    <x v="1"/>
    <n v="0"/>
  </r>
  <r>
    <x v="0"/>
    <x v="9"/>
    <x v="17"/>
    <x v="34"/>
    <x v="52"/>
    <x v="1"/>
    <n v="0"/>
  </r>
  <r>
    <x v="0"/>
    <x v="9"/>
    <x v="17"/>
    <x v="34"/>
    <x v="53"/>
    <x v="1"/>
    <n v="0"/>
  </r>
  <r>
    <x v="0"/>
    <x v="9"/>
    <x v="17"/>
    <x v="34"/>
    <x v="54"/>
    <x v="1"/>
    <n v="0"/>
  </r>
  <r>
    <x v="0"/>
    <x v="9"/>
    <x v="17"/>
    <x v="34"/>
    <x v="55"/>
    <x v="1"/>
    <n v="0"/>
  </r>
  <r>
    <x v="0"/>
    <x v="9"/>
    <x v="17"/>
    <x v="35"/>
    <x v="46"/>
    <x v="1"/>
    <n v="11.633457267000001"/>
  </r>
  <r>
    <x v="0"/>
    <x v="9"/>
    <x v="17"/>
    <x v="35"/>
    <x v="47"/>
    <x v="1"/>
    <n v="11.633457267000001"/>
  </r>
  <r>
    <x v="0"/>
    <x v="9"/>
    <x v="17"/>
    <x v="35"/>
    <x v="48"/>
    <x v="1"/>
    <n v="11.633457267000001"/>
  </r>
  <r>
    <x v="0"/>
    <x v="9"/>
    <x v="17"/>
    <x v="35"/>
    <x v="49"/>
    <x v="1"/>
    <n v="0"/>
  </r>
  <r>
    <x v="0"/>
    <x v="9"/>
    <x v="17"/>
    <x v="35"/>
    <x v="50"/>
    <x v="1"/>
    <n v="0"/>
  </r>
  <r>
    <x v="0"/>
    <x v="9"/>
    <x v="17"/>
    <x v="35"/>
    <x v="51"/>
    <x v="1"/>
    <n v="0"/>
  </r>
  <r>
    <x v="0"/>
    <x v="9"/>
    <x v="17"/>
    <x v="35"/>
    <x v="52"/>
    <x v="1"/>
    <n v="0"/>
  </r>
  <r>
    <x v="0"/>
    <x v="9"/>
    <x v="17"/>
    <x v="35"/>
    <x v="53"/>
    <x v="1"/>
    <n v="0"/>
  </r>
  <r>
    <x v="0"/>
    <x v="9"/>
    <x v="17"/>
    <x v="35"/>
    <x v="54"/>
    <x v="1"/>
    <n v="0"/>
  </r>
  <r>
    <x v="0"/>
    <x v="9"/>
    <x v="17"/>
    <x v="35"/>
    <x v="55"/>
    <x v="1"/>
    <n v="0"/>
  </r>
  <r>
    <x v="0"/>
    <x v="9"/>
    <x v="17"/>
    <x v="36"/>
    <x v="46"/>
    <x v="1"/>
    <n v="4.0611063190000003"/>
  </r>
  <r>
    <x v="0"/>
    <x v="9"/>
    <x v="17"/>
    <x v="36"/>
    <x v="47"/>
    <x v="1"/>
    <n v="4.0611063190000003"/>
  </r>
  <r>
    <x v="0"/>
    <x v="9"/>
    <x v="17"/>
    <x v="36"/>
    <x v="48"/>
    <x v="1"/>
    <n v="4.0611063190000003"/>
  </r>
  <r>
    <x v="0"/>
    <x v="9"/>
    <x v="17"/>
    <x v="36"/>
    <x v="49"/>
    <x v="1"/>
    <n v="0"/>
  </r>
  <r>
    <x v="0"/>
    <x v="9"/>
    <x v="17"/>
    <x v="36"/>
    <x v="50"/>
    <x v="1"/>
    <n v="0"/>
  </r>
  <r>
    <x v="0"/>
    <x v="9"/>
    <x v="17"/>
    <x v="36"/>
    <x v="51"/>
    <x v="1"/>
    <n v="0"/>
  </r>
  <r>
    <x v="0"/>
    <x v="9"/>
    <x v="17"/>
    <x v="36"/>
    <x v="52"/>
    <x v="1"/>
    <n v="0"/>
  </r>
  <r>
    <x v="0"/>
    <x v="9"/>
    <x v="17"/>
    <x v="36"/>
    <x v="53"/>
    <x v="1"/>
    <n v="0"/>
  </r>
  <r>
    <x v="0"/>
    <x v="9"/>
    <x v="17"/>
    <x v="36"/>
    <x v="54"/>
    <x v="1"/>
    <n v="0"/>
  </r>
  <r>
    <x v="0"/>
    <x v="9"/>
    <x v="17"/>
    <x v="36"/>
    <x v="55"/>
    <x v="1"/>
    <n v="0"/>
  </r>
  <r>
    <x v="0"/>
    <x v="9"/>
    <x v="17"/>
    <x v="37"/>
    <x v="46"/>
    <x v="1"/>
    <n v="5.280494923"/>
  </r>
  <r>
    <x v="0"/>
    <x v="9"/>
    <x v="17"/>
    <x v="37"/>
    <x v="47"/>
    <x v="1"/>
    <n v="5.280494923"/>
  </r>
  <r>
    <x v="0"/>
    <x v="9"/>
    <x v="17"/>
    <x v="37"/>
    <x v="48"/>
    <x v="1"/>
    <n v="5.280494923"/>
  </r>
  <r>
    <x v="0"/>
    <x v="9"/>
    <x v="17"/>
    <x v="37"/>
    <x v="49"/>
    <x v="1"/>
    <n v="0"/>
  </r>
  <r>
    <x v="0"/>
    <x v="9"/>
    <x v="17"/>
    <x v="37"/>
    <x v="50"/>
    <x v="1"/>
    <n v="0"/>
  </r>
  <r>
    <x v="0"/>
    <x v="9"/>
    <x v="17"/>
    <x v="37"/>
    <x v="51"/>
    <x v="1"/>
    <n v="0"/>
  </r>
  <r>
    <x v="0"/>
    <x v="9"/>
    <x v="17"/>
    <x v="37"/>
    <x v="52"/>
    <x v="1"/>
    <n v="0"/>
  </r>
  <r>
    <x v="0"/>
    <x v="9"/>
    <x v="17"/>
    <x v="37"/>
    <x v="53"/>
    <x v="1"/>
    <n v="0"/>
  </r>
  <r>
    <x v="0"/>
    <x v="9"/>
    <x v="17"/>
    <x v="37"/>
    <x v="54"/>
    <x v="1"/>
    <n v="0"/>
  </r>
  <r>
    <x v="0"/>
    <x v="9"/>
    <x v="17"/>
    <x v="37"/>
    <x v="55"/>
    <x v="1"/>
    <n v="0"/>
  </r>
  <r>
    <x v="0"/>
    <x v="9"/>
    <x v="17"/>
    <x v="38"/>
    <x v="46"/>
    <x v="1"/>
    <n v="21.503554775000001"/>
  </r>
  <r>
    <x v="0"/>
    <x v="9"/>
    <x v="17"/>
    <x v="38"/>
    <x v="47"/>
    <x v="1"/>
    <n v="21.503554775000001"/>
  </r>
  <r>
    <x v="0"/>
    <x v="9"/>
    <x v="17"/>
    <x v="38"/>
    <x v="48"/>
    <x v="1"/>
    <n v="21.503554775000001"/>
  </r>
  <r>
    <x v="0"/>
    <x v="9"/>
    <x v="17"/>
    <x v="38"/>
    <x v="49"/>
    <x v="1"/>
    <n v="0"/>
  </r>
  <r>
    <x v="0"/>
    <x v="9"/>
    <x v="17"/>
    <x v="38"/>
    <x v="50"/>
    <x v="1"/>
    <n v="0"/>
  </r>
  <r>
    <x v="0"/>
    <x v="9"/>
    <x v="17"/>
    <x v="38"/>
    <x v="51"/>
    <x v="1"/>
    <n v="0"/>
  </r>
  <r>
    <x v="0"/>
    <x v="9"/>
    <x v="17"/>
    <x v="38"/>
    <x v="52"/>
    <x v="1"/>
    <n v="0"/>
  </r>
  <r>
    <x v="0"/>
    <x v="9"/>
    <x v="17"/>
    <x v="38"/>
    <x v="53"/>
    <x v="1"/>
    <n v="0"/>
  </r>
  <r>
    <x v="0"/>
    <x v="9"/>
    <x v="17"/>
    <x v="38"/>
    <x v="54"/>
    <x v="1"/>
    <n v="0"/>
  </r>
  <r>
    <x v="0"/>
    <x v="9"/>
    <x v="17"/>
    <x v="38"/>
    <x v="55"/>
    <x v="1"/>
    <n v="0"/>
  </r>
  <r>
    <x v="0"/>
    <x v="9"/>
    <x v="17"/>
    <x v="39"/>
    <x v="46"/>
    <x v="1"/>
    <n v="8.7613653300000003"/>
  </r>
  <r>
    <x v="0"/>
    <x v="9"/>
    <x v="17"/>
    <x v="39"/>
    <x v="47"/>
    <x v="1"/>
    <n v="8.7613653300000003"/>
  </r>
  <r>
    <x v="0"/>
    <x v="9"/>
    <x v="17"/>
    <x v="39"/>
    <x v="48"/>
    <x v="1"/>
    <n v="8.7613653300000003"/>
  </r>
  <r>
    <x v="0"/>
    <x v="9"/>
    <x v="17"/>
    <x v="39"/>
    <x v="49"/>
    <x v="1"/>
    <n v="0"/>
  </r>
  <r>
    <x v="0"/>
    <x v="9"/>
    <x v="17"/>
    <x v="39"/>
    <x v="50"/>
    <x v="1"/>
    <n v="0"/>
  </r>
  <r>
    <x v="0"/>
    <x v="9"/>
    <x v="17"/>
    <x v="39"/>
    <x v="51"/>
    <x v="1"/>
    <n v="0"/>
  </r>
  <r>
    <x v="0"/>
    <x v="9"/>
    <x v="17"/>
    <x v="39"/>
    <x v="52"/>
    <x v="1"/>
    <n v="0"/>
  </r>
  <r>
    <x v="0"/>
    <x v="9"/>
    <x v="17"/>
    <x v="39"/>
    <x v="53"/>
    <x v="1"/>
    <n v="0"/>
  </r>
  <r>
    <x v="0"/>
    <x v="9"/>
    <x v="17"/>
    <x v="39"/>
    <x v="54"/>
    <x v="1"/>
    <n v="0"/>
  </r>
  <r>
    <x v="0"/>
    <x v="9"/>
    <x v="17"/>
    <x v="39"/>
    <x v="55"/>
    <x v="1"/>
    <n v="0"/>
  </r>
  <r>
    <x v="0"/>
    <x v="9"/>
    <x v="17"/>
    <x v="40"/>
    <x v="46"/>
    <x v="1"/>
    <n v="2.8537606850000001"/>
  </r>
  <r>
    <x v="0"/>
    <x v="9"/>
    <x v="17"/>
    <x v="40"/>
    <x v="47"/>
    <x v="1"/>
    <n v="2.8537606850000001"/>
  </r>
  <r>
    <x v="0"/>
    <x v="9"/>
    <x v="17"/>
    <x v="40"/>
    <x v="48"/>
    <x v="1"/>
    <n v="2.8537606850000001"/>
  </r>
  <r>
    <x v="0"/>
    <x v="9"/>
    <x v="17"/>
    <x v="40"/>
    <x v="49"/>
    <x v="1"/>
    <n v="0"/>
  </r>
  <r>
    <x v="0"/>
    <x v="9"/>
    <x v="17"/>
    <x v="40"/>
    <x v="50"/>
    <x v="1"/>
    <n v="0"/>
  </r>
  <r>
    <x v="0"/>
    <x v="9"/>
    <x v="17"/>
    <x v="40"/>
    <x v="51"/>
    <x v="1"/>
    <n v="0"/>
  </r>
  <r>
    <x v="0"/>
    <x v="9"/>
    <x v="17"/>
    <x v="40"/>
    <x v="52"/>
    <x v="1"/>
    <n v="0"/>
  </r>
  <r>
    <x v="0"/>
    <x v="9"/>
    <x v="17"/>
    <x v="40"/>
    <x v="53"/>
    <x v="1"/>
    <n v="0"/>
  </r>
  <r>
    <x v="0"/>
    <x v="9"/>
    <x v="17"/>
    <x v="40"/>
    <x v="54"/>
    <x v="1"/>
    <n v="0"/>
  </r>
  <r>
    <x v="0"/>
    <x v="9"/>
    <x v="17"/>
    <x v="40"/>
    <x v="55"/>
    <x v="1"/>
    <n v="0"/>
  </r>
  <r>
    <x v="0"/>
    <x v="9"/>
    <x v="17"/>
    <x v="41"/>
    <x v="46"/>
    <x v="1"/>
    <n v="45.141408073999997"/>
  </r>
  <r>
    <x v="0"/>
    <x v="9"/>
    <x v="17"/>
    <x v="41"/>
    <x v="47"/>
    <x v="1"/>
    <n v="45.141408073999997"/>
  </r>
  <r>
    <x v="0"/>
    <x v="9"/>
    <x v="17"/>
    <x v="41"/>
    <x v="48"/>
    <x v="1"/>
    <n v="45.141408073999997"/>
  </r>
  <r>
    <x v="0"/>
    <x v="9"/>
    <x v="17"/>
    <x v="41"/>
    <x v="49"/>
    <x v="1"/>
    <n v="0"/>
  </r>
  <r>
    <x v="0"/>
    <x v="9"/>
    <x v="17"/>
    <x v="41"/>
    <x v="50"/>
    <x v="1"/>
    <n v="0"/>
  </r>
  <r>
    <x v="0"/>
    <x v="9"/>
    <x v="17"/>
    <x v="41"/>
    <x v="51"/>
    <x v="1"/>
    <n v="0"/>
  </r>
  <r>
    <x v="0"/>
    <x v="9"/>
    <x v="17"/>
    <x v="41"/>
    <x v="52"/>
    <x v="1"/>
    <n v="0"/>
  </r>
  <r>
    <x v="0"/>
    <x v="9"/>
    <x v="17"/>
    <x v="41"/>
    <x v="53"/>
    <x v="1"/>
    <n v="0"/>
  </r>
  <r>
    <x v="0"/>
    <x v="9"/>
    <x v="17"/>
    <x v="41"/>
    <x v="54"/>
    <x v="1"/>
    <n v="0"/>
  </r>
  <r>
    <x v="0"/>
    <x v="9"/>
    <x v="17"/>
    <x v="41"/>
    <x v="55"/>
    <x v="1"/>
    <n v="0"/>
  </r>
  <r>
    <x v="0"/>
    <x v="9"/>
    <x v="18"/>
    <x v="42"/>
    <x v="46"/>
    <x v="1"/>
    <n v="22.769220328999999"/>
  </r>
  <r>
    <x v="0"/>
    <x v="9"/>
    <x v="18"/>
    <x v="42"/>
    <x v="47"/>
    <x v="1"/>
    <n v="22.769220328999999"/>
  </r>
  <r>
    <x v="0"/>
    <x v="9"/>
    <x v="18"/>
    <x v="42"/>
    <x v="48"/>
    <x v="1"/>
    <n v="22.769220328999999"/>
  </r>
  <r>
    <x v="0"/>
    <x v="9"/>
    <x v="18"/>
    <x v="42"/>
    <x v="49"/>
    <x v="1"/>
    <n v="0"/>
  </r>
  <r>
    <x v="0"/>
    <x v="9"/>
    <x v="18"/>
    <x v="42"/>
    <x v="50"/>
    <x v="1"/>
    <n v="0"/>
  </r>
  <r>
    <x v="0"/>
    <x v="9"/>
    <x v="18"/>
    <x v="42"/>
    <x v="51"/>
    <x v="1"/>
    <n v="0"/>
  </r>
  <r>
    <x v="0"/>
    <x v="9"/>
    <x v="18"/>
    <x v="42"/>
    <x v="52"/>
    <x v="1"/>
    <n v="0"/>
  </r>
  <r>
    <x v="0"/>
    <x v="9"/>
    <x v="18"/>
    <x v="42"/>
    <x v="53"/>
    <x v="1"/>
    <n v="0"/>
  </r>
  <r>
    <x v="0"/>
    <x v="9"/>
    <x v="18"/>
    <x v="42"/>
    <x v="54"/>
    <x v="1"/>
    <n v="0"/>
  </r>
  <r>
    <x v="0"/>
    <x v="9"/>
    <x v="18"/>
    <x v="42"/>
    <x v="55"/>
    <x v="1"/>
    <n v="0"/>
  </r>
  <r>
    <x v="0"/>
    <x v="9"/>
    <x v="18"/>
    <x v="43"/>
    <x v="46"/>
    <x v="1"/>
    <n v="51.457383352000001"/>
  </r>
  <r>
    <x v="0"/>
    <x v="9"/>
    <x v="18"/>
    <x v="43"/>
    <x v="47"/>
    <x v="1"/>
    <n v="51.457383352000001"/>
  </r>
  <r>
    <x v="0"/>
    <x v="9"/>
    <x v="18"/>
    <x v="43"/>
    <x v="48"/>
    <x v="1"/>
    <n v="51.457383352000001"/>
  </r>
  <r>
    <x v="0"/>
    <x v="9"/>
    <x v="18"/>
    <x v="43"/>
    <x v="49"/>
    <x v="1"/>
    <n v="0"/>
  </r>
  <r>
    <x v="0"/>
    <x v="9"/>
    <x v="18"/>
    <x v="43"/>
    <x v="50"/>
    <x v="1"/>
    <n v="0"/>
  </r>
  <r>
    <x v="0"/>
    <x v="9"/>
    <x v="18"/>
    <x v="43"/>
    <x v="51"/>
    <x v="1"/>
    <n v="0"/>
  </r>
  <r>
    <x v="0"/>
    <x v="9"/>
    <x v="18"/>
    <x v="43"/>
    <x v="52"/>
    <x v="1"/>
    <n v="0"/>
  </r>
  <r>
    <x v="0"/>
    <x v="9"/>
    <x v="18"/>
    <x v="43"/>
    <x v="53"/>
    <x v="1"/>
    <n v="0"/>
  </r>
  <r>
    <x v="0"/>
    <x v="9"/>
    <x v="18"/>
    <x v="43"/>
    <x v="54"/>
    <x v="1"/>
    <n v="0"/>
  </r>
  <r>
    <x v="0"/>
    <x v="9"/>
    <x v="18"/>
    <x v="43"/>
    <x v="55"/>
    <x v="1"/>
    <n v="0"/>
  </r>
  <r>
    <x v="0"/>
    <x v="9"/>
    <x v="19"/>
    <x v="44"/>
    <x v="46"/>
    <x v="5"/>
    <n v="654.36781343500002"/>
  </r>
  <r>
    <x v="0"/>
    <x v="9"/>
    <x v="19"/>
    <x v="44"/>
    <x v="47"/>
    <x v="5"/>
    <n v="654.36781343500002"/>
  </r>
  <r>
    <x v="0"/>
    <x v="9"/>
    <x v="19"/>
    <x v="44"/>
    <x v="48"/>
    <x v="5"/>
    <n v="654.36781343500002"/>
  </r>
  <r>
    <x v="0"/>
    <x v="9"/>
    <x v="19"/>
    <x v="44"/>
    <x v="49"/>
    <x v="5"/>
    <n v="0"/>
  </r>
  <r>
    <x v="0"/>
    <x v="9"/>
    <x v="19"/>
    <x v="44"/>
    <x v="50"/>
    <x v="5"/>
    <n v="0"/>
  </r>
  <r>
    <x v="0"/>
    <x v="9"/>
    <x v="19"/>
    <x v="44"/>
    <x v="51"/>
    <x v="5"/>
    <n v="0"/>
  </r>
  <r>
    <x v="0"/>
    <x v="9"/>
    <x v="19"/>
    <x v="44"/>
    <x v="52"/>
    <x v="5"/>
    <n v="0"/>
  </r>
  <r>
    <x v="0"/>
    <x v="9"/>
    <x v="19"/>
    <x v="44"/>
    <x v="53"/>
    <x v="5"/>
    <n v="0"/>
  </r>
  <r>
    <x v="0"/>
    <x v="9"/>
    <x v="19"/>
    <x v="44"/>
    <x v="54"/>
    <x v="5"/>
    <n v="0"/>
  </r>
  <r>
    <x v="0"/>
    <x v="9"/>
    <x v="19"/>
    <x v="44"/>
    <x v="55"/>
    <x v="5"/>
    <n v="0"/>
  </r>
  <r>
    <x v="0"/>
    <x v="9"/>
    <x v="20"/>
    <x v="44"/>
    <x v="0"/>
    <x v="6"/>
    <n v="252.80487901800001"/>
  </r>
  <r>
    <x v="0"/>
    <x v="9"/>
    <x v="21"/>
    <x v="44"/>
    <x v="0"/>
    <x v="6"/>
    <n v="3714.1477246979998"/>
  </r>
  <r>
    <x v="0"/>
    <x v="9"/>
    <x v="22"/>
    <x v="44"/>
    <x v="0"/>
    <x v="5"/>
    <n v="6.8065380999999994E-2"/>
  </r>
  <r>
    <x v="0"/>
    <x v="9"/>
    <x v="23"/>
    <x v="44"/>
    <x v="0"/>
    <x v="5"/>
    <n v="847.75863838199996"/>
  </r>
  <r>
    <x v="0"/>
    <x v="9"/>
    <x v="24"/>
    <x v="44"/>
    <x v="0"/>
    <x v="6"/>
    <n v="1500.6221449100001"/>
  </r>
  <r>
    <x v="0"/>
    <x v="9"/>
    <x v="25"/>
    <x v="45"/>
    <x v="0"/>
    <x v="6"/>
    <n v="1508.2999133190001"/>
  </r>
  <r>
    <x v="0"/>
    <x v="9"/>
    <x v="26"/>
    <x v="44"/>
    <x v="0"/>
    <x v="6"/>
    <n v="1248.527362647"/>
  </r>
  <r>
    <x v="0"/>
    <x v="9"/>
    <x v="27"/>
    <x v="44"/>
    <x v="0"/>
    <x v="6"/>
    <n v="713.627310868"/>
  </r>
  <r>
    <x v="0"/>
    <x v="9"/>
    <x v="28"/>
    <x v="44"/>
    <x v="0"/>
    <x v="6"/>
    <n v="1256.9290070459999"/>
  </r>
  <r>
    <x v="0"/>
    <x v="9"/>
    <x v="29"/>
    <x v="44"/>
    <x v="0"/>
    <x v="6"/>
    <n v="5.9445870640000003"/>
  </r>
  <r>
    <x v="0"/>
    <x v="9"/>
    <x v="30"/>
    <x v="44"/>
    <x v="0"/>
    <x v="6"/>
    <n v="227.341938382"/>
  </r>
  <r>
    <x v="0"/>
    <x v="9"/>
    <x v="31"/>
    <x v="44"/>
    <x v="0"/>
    <x v="6"/>
    <n v="9546.573417304"/>
  </r>
  <r>
    <x v="0"/>
    <x v="9"/>
    <x v="32"/>
    <x v="44"/>
    <x v="0"/>
    <x v="5"/>
    <n v="2.3813983E-2"/>
  </r>
  <r>
    <x v="0"/>
    <x v="9"/>
    <x v="33"/>
    <x v="44"/>
    <x v="0"/>
    <x v="5"/>
    <n v="3.6193999999999999E-5"/>
  </r>
  <r>
    <x v="0"/>
    <x v="9"/>
    <x v="34"/>
    <x v="44"/>
    <x v="0"/>
    <x v="5"/>
    <n v="1"/>
  </r>
  <r>
    <x v="0"/>
    <x v="9"/>
    <x v="35"/>
    <x v="44"/>
    <x v="0"/>
    <x v="5"/>
    <n v="1.075"/>
  </r>
  <r>
    <x v="0"/>
    <x v="9"/>
    <x v="36"/>
    <x v="44"/>
    <x v="0"/>
    <x v="5"/>
    <n v="1.6622426999999999E-2"/>
  </r>
  <r>
    <x v="0"/>
    <x v="9"/>
    <x v="37"/>
    <x v="45"/>
    <x v="0"/>
    <x v="6"/>
    <n v="0"/>
  </r>
  <r>
    <x v="0"/>
    <x v="9"/>
    <x v="38"/>
    <x v="45"/>
    <x v="0"/>
    <x v="6"/>
    <n v="0"/>
  </r>
  <r>
    <x v="0"/>
    <x v="9"/>
    <x v="39"/>
    <x v="45"/>
    <x v="0"/>
    <x v="6"/>
    <n v="1"/>
  </r>
  <r>
    <x v="0"/>
    <x v="9"/>
    <x v="40"/>
    <x v="45"/>
    <x v="0"/>
    <x v="6"/>
    <n v="156.93690542600001"/>
  </r>
  <r>
    <x v="0"/>
    <x v="9"/>
    <x v="41"/>
    <x v="45"/>
    <x v="0"/>
    <x v="6"/>
    <n v="141.891066862"/>
  </r>
  <r>
    <x v="0"/>
    <x v="9"/>
    <x v="42"/>
    <x v="45"/>
    <x v="0"/>
    <x v="6"/>
    <n v="15.045838563"/>
  </r>
  <r>
    <x v="0"/>
    <x v="9"/>
    <x v="43"/>
    <x v="45"/>
    <x v="0"/>
    <x v="6"/>
    <n v="293.35566010000002"/>
  </r>
  <r>
    <x v="0"/>
    <x v="9"/>
    <x v="44"/>
    <x v="45"/>
    <x v="0"/>
    <x v="6"/>
    <n v="0"/>
  </r>
  <r>
    <x v="0"/>
    <x v="9"/>
    <x v="45"/>
    <x v="44"/>
    <x v="0"/>
    <x v="5"/>
    <n v="5.1288727999999999E-2"/>
  </r>
  <r>
    <x v="0"/>
    <x v="9"/>
    <x v="46"/>
    <x v="45"/>
    <x v="0"/>
    <x v="5"/>
    <n v="4.0925454759999997"/>
  </r>
  <r>
    <x v="0"/>
    <x v="9"/>
    <x v="47"/>
    <x v="46"/>
    <x v="0"/>
    <x v="6"/>
    <n v="0.60746939200000005"/>
  </r>
  <r>
    <x v="0"/>
    <x v="9"/>
    <x v="48"/>
    <x v="47"/>
    <x v="0"/>
    <x v="6"/>
    <n v="0"/>
  </r>
  <r>
    <x v="0"/>
    <x v="9"/>
    <x v="49"/>
    <x v="47"/>
    <x v="0"/>
    <x v="6"/>
    <n v="0"/>
  </r>
  <r>
    <x v="0"/>
    <x v="9"/>
    <x v="50"/>
    <x v="48"/>
    <x v="0"/>
    <x v="7"/>
    <n v="117.19771331699999"/>
  </r>
  <r>
    <x v="0"/>
    <x v="9"/>
    <x v="50"/>
    <x v="49"/>
    <x v="0"/>
    <x v="7"/>
    <n v="109.536755673"/>
  </r>
  <r>
    <x v="0"/>
    <x v="9"/>
    <x v="51"/>
    <x v="42"/>
    <x v="0"/>
    <x v="4"/>
    <n v="56.316500476999998"/>
  </r>
  <r>
    <x v="0"/>
    <x v="9"/>
    <x v="51"/>
    <x v="43"/>
    <x v="0"/>
    <x v="4"/>
    <n v="186.991625723"/>
  </r>
  <r>
    <x v="0"/>
    <x v="9"/>
    <x v="52"/>
    <x v="42"/>
    <x v="0"/>
    <x v="4"/>
    <n v="32.134117435"/>
  </r>
  <r>
    <x v="0"/>
    <x v="9"/>
    <x v="52"/>
    <x v="43"/>
    <x v="0"/>
    <x v="4"/>
    <n v="67.475929031999996"/>
  </r>
  <r>
    <x v="0"/>
    <x v="9"/>
    <x v="53"/>
    <x v="42"/>
    <x v="0"/>
    <x v="4"/>
    <n v="9.3648971050000007"/>
  </r>
  <r>
    <x v="0"/>
    <x v="9"/>
    <x v="53"/>
    <x v="43"/>
    <x v="0"/>
    <x v="4"/>
    <n v="16.018545679999999"/>
  </r>
  <r>
    <x v="0"/>
    <x v="9"/>
    <x v="54"/>
    <x v="42"/>
    <x v="56"/>
    <x v="4"/>
    <n v="19.628540707999999"/>
  </r>
  <r>
    <x v="0"/>
    <x v="9"/>
    <x v="54"/>
    <x v="43"/>
    <x v="56"/>
    <x v="4"/>
    <n v="111.797083082"/>
  </r>
  <r>
    <x v="0"/>
    <x v="9"/>
    <x v="55"/>
    <x v="42"/>
    <x v="0"/>
    <x v="4"/>
    <n v="6.3087686000000004E-2"/>
  </r>
  <r>
    <x v="0"/>
    <x v="9"/>
    <x v="55"/>
    <x v="43"/>
    <x v="0"/>
    <x v="4"/>
    <n v="5.8371646999999999E-2"/>
  </r>
  <r>
    <x v="0"/>
    <x v="9"/>
    <x v="56"/>
    <x v="42"/>
    <x v="0"/>
    <x v="4"/>
    <n v="8.0376758000000006E-2"/>
  </r>
  <r>
    <x v="0"/>
    <x v="9"/>
    <x v="56"/>
    <x v="43"/>
    <x v="0"/>
    <x v="4"/>
    <n v="7.7576210000000007E-2"/>
  </r>
  <r>
    <x v="0"/>
    <x v="9"/>
    <x v="57"/>
    <x v="42"/>
    <x v="0"/>
    <x v="4"/>
    <n v="4.1012859999999998E-2"/>
  </r>
  <r>
    <x v="0"/>
    <x v="9"/>
    <x v="57"/>
    <x v="43"/>
    <x v="0"/>
    <x v="4"/>
    <n v="3.8548259000000001E-2"/>
  </r>
  <r>
    <x v="0"/>
    <x v="9"/>
    <x v="58"/>
    <x v="44"/>
    <x v="57"/>
    <x v="5"/>
    <n v="3.8426394000000003E-2"/>
  </r>
  <r>
    <x v="0"/>
    <x v="9"/>
    <x v="59"/>
    <x v="44"/>
    <x v="57"/>
    <x v="6"/>
    <n v="704.06799999999998"/>
  </r>
  <r>
    <x v="0"/>
    <x v="9"/>
    <x v="60"/>
    <x v="0"/>
    <x v="57"/>
    <x v="8"/>
    <n v="221.91531695699999"/>
  </r>
  <r>
    <x v="0"/>
    <x v="9"/>
    <x v="60"/>
    <x v="1"/>
    <x v="57"/>
    <x v="8"/>
    <n v="25.621846435999998"/>
  </r>
  <r>
    <x v="0"/>
    <x v="9"/>
    <x v="60"/>
    <x v="2"/>
    <x v="57"/>
    <x v="8"/>
    <n v="82.583646576999996"/>
  </r>
  <r>
    <x v="0"/>
    <x v="9"/>
    <x v="60"/>
    <x v="3"/>
    <x v="57"/>
    <x v="8"/>
    <n v="58.863365332000001"/>
  </r>
  <r>
    <x v="0"/>
    <x v="9"/>
    <x v="60"/>
    <x v="4"/>
    <x v="57"/>
    <x v="8"/>
    <n v="4.4557087449999999"/>
  </r>
  <r>
    <x v="0"/>
    <x v="9"/>
    <x v="60"/>
    <x v="5"/>
    <x v="57"/>
    <x v="8"/>
    <n v="90.799244466000005"/>
  </r>
  <r>
    <x v="0"/>
    <x v="9"/>
    <x v="60"/>
    <x v="6"/>
    <x v="57"/>
    <x v="8"/>
    <n v="13.323816495000001"/>
  </r>
  <r>
    <x v="0"/>
    <x v="9"/>
    <x v="60"/>
    <x v="7"/>
    <x v="57"/>
    <x v="8"/>
    <n v="21.951459571000001"/>
  </r>
  <r>
    <x v="0"/>
    <x v="9"/>
    <x v="60"/>
    <x v="8"/>
    <x v="57"/>
    <x v="8"/>
    <n v="6.1370237630000002"/>
  </r>
  <r>
    <x v="0"/>
    <x v="9"/>
    <x v="60"/>
    <x v="9"/>
    <x v="57"/>
    <x v="8"/>
    <n v="21.172918109000001"/>
  </r>
  <r>
    <x v="0"/>
    <x v="9"/>
    <x v="60"/>
    <x v="10"/>
    <x v="57"/>
    <x v="8"/>
    <n v="19.716120994000001"/>
  </r>
  <r>
    <x v="0"/>
    <x v="9"/>
    <x v="60"/>
    <x v="11"/>
    <x v="57"/>
    <x v="8"/>
    <n v="113.637648646"/>
  </r>
  <r>
    <x v="0"/>
    <x v="9"/>
    <x v="60"/>
    <x v="12"/>
    <x v="57"/>
    <x v="8"/>
    <n v="4.6665409880000004"/>
  </r>
  <r>
    <x v="0"/>
    <x v="9"/>
    <x v="60"/>
    <x v="13"/>
    <x v="57"/>
    <x v="8"/>
    <n v="44.840606291"/>
  </r>
  <r>
    <x v="0"/>
    <x v="9"/>
    <x v="60"/>
    <x v="14"/>
    <x v="57"/>
    <x v="8"/>
    <n v="5.911441613"/>
  </r>
  <r>
    <x v="0"/>
    <x v="9"/>
    <x v="60"/>
    <x v="15"/>
    <x v="57"/>
    <x v="8"/>
    <n v="39.928005585999998"/>
  </r>
  <r>
    <x v="0"/>
    <x v="9"/>
    <x v="60"/>
    <x v="16"/>
    <x v="57"/>
    <x v="8"/>
    <n v="34.315911858"/>
  </r>
  <r>
    <x v="0"/>
    <x v="9"/>
    <x v="60"/>
    <x v="17"/>
    <x v="57"/>
    <x v="8"/>
    <n v="56.140483881000002"/>
  </r>
  <r>
    <x v="0"/>
    <x v="9"/>
    <x v="60"/>
    <x v="18"/>
    <x v="57"/>
    <x v="8"/>
    <n v="29.857029332"/>
  </r>
  <r>
    <x v="0"/>
    <x v="9"/>
    <x v="60"/>
    <x v="19"/>
    <x v="57"/>
    <x v="8"/>
    <n v="171.97478932499999"/>
  </r>
  <r>
    <x v="0"/>
    <x v="9"/>
    <x v="60"/>
    <x v="20"/>
    <x v="57"/>
    <x v="8"/>
    <n v="25.535515878999998"/>
  </r>
  <r>
    <x v="0"/>
    <x v="9"/>
    <x v="60"/>
    <x v="21"/>
    <x v="57"/>
    <x v="8"/>
    <n v="0.51289500399999999"/>
  </r>
  <r>
    <x v="0"/>
    <x v="9"/>
    <x v="60"/>
    <x v="22"/>
    <x v="57"/>
    <x v="8"/>
    <n v="1.1549251700000001"/>
  </r>
  <r>
    <x v="0"/>
    <x v="9"/>
    <x v="60"/>
    <x v="23"/>
    <x v="57"/>
    <x v="8"/>
    <n v="0"/>
  </r>
  <r>
    <x v="0"/>
    <x v="9"/>
    <x v="60"/>
    <x v="24"/>
    <x v="57"/>
    <x v="8"/>
    <n v="0.173762471"/>
  </r>
  <r>
    <x v="0"/>
    <x v="9"/>
    <x v="60"/>
    <x v="25"/>
    <x v="57"/>
    <x v="8"/>
    <n v="-2.1999999999999998E-8"/>
  </r>
  <r>
    <x v="0"/>
    <x v="9"/>
    <x v="60"/>
    <x v="26"/>
    <x v="57"/>
    <x v="8"/>
    <n v="0"/>
  </r>
  <r>
    <x v="0"/>
    <x v="9"/>
    <x v="60"/>
    <x v="27"/>
    <x v="57"/>
    <x v="8"/>
    <n v="2.951623857"/>
  </r>
  <r>
    <x v="0"/>
    <x v="9"/>
    <x v="60"/>
    <x v="28"/>
    <x v="57"/>
    <x v="8"/>
    <n v="0"/>
  </r>
  <r>
    <x v="0"/>
    <x v="9"/>
    <x v="60"/>
    <x v="29"/>
    <x v="57"/>
    <x v="8"/>
    <n v="35.072634579999999"/>
  </r>
  <r>
    <x v="0"/>
    <x v="9"/>
    <x v="60"/>
    <x v="30"/>
    <x v="57"/>
    <x v="8"/>
    <n v="22.357853342999999"/>
  </r>
  <r>
    <x v="0"/>
    <x v="9"/>
    <x v="60"/>
    <x v="31"/>
    <x v="57"/>
    <x v="8"/>
    <n v="5.289798373"/>
  </r>
  <r>
    <x v="0"/>
    <x v="9"/>
    <x v="60"/>
    <x v="32"/>
    <x v="57"/>
    <x v="8"/>
    <n v="3.212966647"/>
  </r>
  <r>
    <x v="0"/>
    <x v="9"/>
    <x v="60"/>
    <x v="33"/>
    <x v="57"/>
    <x v="8"/>
    <n v="0"/>
  </r>
  <r>
    <x v="0"/>
    <x v="9"/>
    <x v="60"/>
    <x v="34"/>
    <x v="57"/>
    <x v="8"/>
    <n v="36.256263271000002"/>
  </r>
  <r>
    <x v="0"/>
    <x v="9"/>
    <x v="60"/>
    <x v="35"/>
    <x v="57"/>
    <x v="8"/>
    <n v="3.7108496199999998"/>
  </r>
  <r>
    <x v="0"/>
    <x v="9"/>
    <x v="60"/>
    <x v="36"/>
    <x v="57"/>
    <x v="8"/>
    <n v="7.8477515609999999"/>
  </r>
  <r>
    <x v="0"/>
    <x v="9"/>
    <x v="60"/>
    <x v="37"/>
    <x v="57"/>
    <x v="8"/>
    <n v="2.081051252"/>
  </r>
  <r>
    <x v="0"/>
    <x v="9"/>
    <x v="60"/>
    <x v="38"/>
    <x v="57"/>
    <x v="8"/>
    <n v="10.199261422999999"/>
  </r>
  <r>
    <x v="0"/>
    <x v="9"/>
    <x v="60"/>
    <x v="39"/>
    <x v="57"/>
    <x v="8"/>
    <n v="3.0489340810000001"/>
  </r>
  <r>
    <x v="0"/>
    <x v="9"/>
    <x v="60"/>
    <x v="40"/>
    <x v="57"/>
    <x v="8"/>
    <n v="22.125131458999999"/>
  </r>
  <r>
    <x v="0"/>
    <x v="9"/>
    <x v="60"/>
    <x v="41"/>
    <x v="57"/>
    <x v="8"/>
    <n v="7.584864112"/>
  </r>
  <r>
    <x v="0"/>
    <x v="9"/>
    <x v="61"/>
    <x v="0"/>
    <x v="57"/>
    <x v="8"/>
    <n v="1.243170237"/>
  </r>
  <r>
    <x v="0"/>
    <x v="9"/>
    <x v="61"/>
    <x v="1"/>
    <x v="57"/>
    <x v="8"/>
    <n v="0.42920859099999997"/>
  </r>
  <r>
    <x v="0"/>
    <x v="9"/>
    <x v="61"/>
    <x v="2"/>
    <x v="57"/>
    <x v="8"/>
    <n v="2.6490289279999999"/>
  </r>
  <r>
    <x v="0"/>
    <x v="9"/>
    <x v="61"/>
    <x v="3"/>
    <x v="57"/>
    <x v="8"/>
    <n v="0.39053036299999999"/>
  </r>
  <r>
    <x v="0"/>
    <x v="9"/>
    <x v="61"/>
    <x v="4"/>
    <x v="57"/>
    <x v="8"/>
    <n v="0.72138978099999995"/>
  </r>
  <r>
    <x v="0"/>
    <x v="9"/>
    <x v="61"/>
    <x v="5"/>
    <x v="57"/>
    <x v="8"/>
    <n v="8.2327621210000004"/>
  </r>
  <r>
    <x v="0"/>
    <x v="9"/>
    <x v="61"/>
    <x v="6"/>
    <x v="57"/>
    <x v="8"/>
    <n v="15.619290554000001"/>
  </r>
  <r>
    <x v="0"/>
    <x v="9"/>
    <x v="61"/>
    <x v="7"/>
    <x v="57"/>
    <x v="8"/>
    <n v="31.990256527"/>
  </r>
  <r>
    <x v="0"/>
    <x v="9"/>
    <x v="61"/>
    <x v="8"/>
    <x v="57"/>
    <x v="8"/>
    <n v="12.315717762"/>
  </r>
  <r>
    <x v="0"/>
    <x v="9"/>
    <x v="61"/>
    <x v="9"/>
    <x v="57"/>
    <x v="8"/>
    <n v="28.174151319"/>
  </r>
  <r>
    <x v="0"/>
    <x v="9"/>
    <x v="61"/>
    <x v="10"/>
    <x v="57"/>
    <x v="8"/>
    <n v="11.257992959999999"/>
  </r>
  <r>
    <x v="0"/>
    <x v="9"/>
    <x v="61"/>
    <x v="11"/>
    <x v="57"/>
    <x v="8"/>
    <n v="60.729557968000002"/>
  </r>
  <r>
    <x v="0"/>
    <x v="9"/>
    <x v="61"/>
    <x v="12"/>
    <x v="57"/>
    <x v="8"/>
    <n v="13.831859254999999"/>
  </r>
  <r>
    <x v="0"/>
    <x v="9"/>
    <x v="61"/>
    <x v="13"/>
    <x v="57"/>
    <x v="8"/>
    <n v="35.138241057000002"/>
  </r>
  <r>
    <x v="0"/>
    <x v="9"/>
    <x v="61"/>
    <x v="14"/>
    <x v="57"/>
    <x v="8"/>
    <n v="26.012371785999999"/>
  </r>
  <r>
    <x v="0"/>
    <x v="9"/>
    <x v="61"/>
    <x v="15"/>
    <x v="57"/>
    <x v="8"/>
    <n v="35.177499806999997"/>
  </r>
  <r>
    <x v="0"/>
    <x v="9"/>
    <x v="61"/>
    <x v="16"/>
    <x v="57"/>
    <x v="8"/>
    <n v="16.472755629000002"/>
  </r>
  <r>
    <x v="0"/>
    <x v="9"/>
    <x v="61"/>
    <x v="17"/>
    <x v="57"/>
    <x v="8"/>
    <n v="27.779997827999999"/>
  </r>
  <r>
    <x v="0"/>
    <x v="9"/>
    <x v="61"/>
    <x v="18"/>
    <x v="57"/>
    <x v="8"/>
    <n v="62.953492255"/>
  </r>
  <r>
    <x v="0"/>
    <x v="9"/>
    <x v="61"/>
    <x v="19"/>
    <x v="57"/>
    <x v="8"/>
    <n v="145.313638209"/>
  </r>
  <r>
    <x v="0"/>
    <x v="9"/>
    <x v="61"/>
    <x v="20"/>
    <x v="57"/>
    <x v="8"/>
    <n v="10.610511688000001"/>
  </r>
  <r>
    <x v="0"/>
    <x v="9"/>
    <x v="61"/>
    <x v="21"/>
    <x v="57"/>
    <x v="8"/>
    <n v="2.2558062489999999"/>
  </r>
  <r>
    <x v="0"/>
    <x v="9"/>
    <x v="61"/>
    <x v="22"/>
    <x v="57"/>
    <x v="8"/>
    <n v="5.0385174599999996"/>
  </r>
  <r>
    <x v="0"/>
    <x v="9"/>
    <x v="61"/>
    <x v="23"/>
    <x v="57"/>
    <x v="8"/>
    <n v="0"/>
  </r>
  <r>
    <x v="0"/>
    <x v="9"/>
    <x v="61"/>
    <x v="24"/>
    <x v="57"/>
    <x v="8"/>
    <n v="0.59649113200000003"/>
  </r>
  <r>
    <x v="0"/>
    <x v="9"/>
    <x v="61"/>
    <x v="25"/>
    <x v="57"/>
    <x v="8"/>
    <n v="0"/>
  </r>
  <r>
    <x v="0"/>
    <x v="9"/>
    <x v="61"/>
    <x v="26"/>
    <x v="57"/>
    <x v="8"/>
    <n v="0"/>
  </r>
  <r>
    <x v="0"/>
    <x v="9"/>
    <x v="61"/>
    <x v="27"/>
    <x v="57"/>
    <x v="8"/>
    <n v="2.6979840500000001"/>
  </r>
  <r>
    <x v="0"/>
    <x v="9"/>
    <x v="61"/>
    <x v="28"/>
    <x v="57"/>
    <x v="8"/>
    <n v="81.643954187000006"/>
  </r>
  <r>
    <x v="0"/>
    <x v="9"/>
    <x v="61"/>
    <x v="29"/>
    <x v="57"/>
    <x v="8"/>
    <n v="34.231248252999997"/>
  </r>
  <r>
    <x v="0"/>
    <x v="9"/>
    <x v="61"/>
    <x v="30"/>
    <x v="57"/>
    <x v="8"/>
    <n v="1.2944005190000001"/>
  </r>
  <r>
    <x v="0"/>
    <x v="9"/>
    <x v="61"/>
    <x v="31"/>
    <x v="57"/>
    <x v="8"/>
    <n v="8.9462094440000008"/>
  </r>
  <r>
    <x v="0"/>
    <x v="9"/>
    <x v="61"/>
    <x v="32"/>
    <x v="57"/>
    <x v="8"/>
    <n v="3.9264878969999999"/>
  </r>
  <r>
    <x v="0"/>
    <x v="9"/>
    <x v="61"/>
    <x v="33"/>
    <x v="57"/>
    <x v="8"/>
    <n v="0"/>
  </r>
  <r>
    <x v="0"/>
    <x v="9"/>
    <x v="61"/>
    <x v="34"/>
    <x v="57"/>
    <x v="8"/>
    <n v="22.376245391000001"/>
  </r>
  <r>
    <x v="0"/>
    <x v="9"/>
    <x v="61"/>
    <x v="35"/>
    <x v="57"/>
    <x v="8"/>
    <n v="0.13717829600000001"/>
  </r>
  <r>
    <x v="0"/>
    <x v="9"/>
    <x v="61"/>
    <x v="36"/>
    <x v="57"/>
    <x v="8"/>
    <n v="0.52835272700000002"/>
  </r>
  <r>
    <x v="0"/>
    <x v="9"/>
    <x v="61"/>
    <x v="37"/>
    <x v="57"/>
    <x v="8"/>
    <n v="0.33279572099999999"/>
  </r>
  <r>
    <x v="0"/>
    <x v="9"/>
    <x v="61"/>
    <x v="38"/>
    <x v="57"/>
    <x v="8"/>
    <n v="9.3119145E-2"/>
  </r>
  <r>
    <x v="0"/>
    <x v="9"/>
    <x v="61"/>
    <x v="39"/>
    <x v="57"/>
    <x v="8"/>
    <n v="0.11218359"/>
  </r>
  <r>
    <x v="0"/>
    <x v="9"/>
    <x v="61"/>
    <x v="40"/>
    <x v="57"/>
    <x v="8"/>
    <n v="2.1929109840000001"/>
  </r>
  <r>
    <x v="0"/>
    <x v="9"/>
    <x v="61"/>
    <x v="41"/>
    <x v="57"/>
    <x v="8"/>
    <n v="0.180001202"/>
  </r>
  <r>
    <x v="0"/>
    <x v="9"/>
    <x v="62"/>
    <x v="0"/>
    <x v="57"/>
    <x v="9"/>
    <n v="3.8426394000000003E-2"/>
  </r>
  <r>
    <x v="0"/>
    <x v="9"/>
    <x v="62"/>
    <x v="1"/>
    <x v="57"/>
    <x v="9"/>
    <n v="3.8426394000000003E-2"/>
  </r>
  <r>
    <x v="0"/>
    <x v="9"/>
    <x v="62"/>
    <x v="2"/>
    <x v="57"/>
    <x v="9"/>
    <n v="3.8426394000000003E-2"/>
  </r>
  <r>
    <x v="0"/>
    <x v="9"/>
    <x v="62"/>
    <x v="3"/>
    <x v="57"/>
    <x v="9"/>
    <n v="3.8426394000000003E-2"/>
  </r>
  <r>
    <x v="0"/>
    <x v="9"/>
    <x v="62"/>
    <x v="4"/>
    <x v="57"/>
    <x v="9"/>
    <n v="3.8426394000000003E-2"/>
  </r>
  <r>
    <x v="0"/>
    <x v="9"/>
    <x v="62"/>
    <x v="5"/>
    <x v="57"/>
    <x v="9"/>
    <n v="3.8426394000000003E-2"/>
  </r>
  <r>
    <x v="0"/>
    <x v="9"/>
    <x v="62"/>
    <x v="6"/>
    <x v="57"/>
    <x v="9"/>
    <n v="3.8426394000000003E-2"/>
  </r>
  <r>
    <x v="0"/>
    <x v="9"/>
    <x v="62"/>
    <x v="7"/>
    <x v="57"/>
    <x v="9"/>
    <n v="3.8426394000000003E-2"/>
  </r>
  <r>
    <x v="0"/>
    <x v="9"/>
    <x v="62"/>
    <x v="8"/>
    <x v="57"/>
    <x v="9"/>
    <n v="3.8426394000000003E-2"/>
  </r>
  <r>
    <x v="0"/>
    <x v="9"/>
    <x v="62"/>
    <x v="9"/>
    <x v="57"/>
    <x v="9"/>
    <n v="3.8426394000000003E-2"/>
  </r>
  <r>
    <x v="0"/>
    <x v="9"/>
    <x v="62"/>
    <x v="10"/>
    <x v="57"/>
    <x v="9"/>
    <n v="3.8426394000000003E-2"/>
  </r>
  <r>
    <x v="0"/>
    <x v="9"/>
    <x v="62"/>
    <x v="11"/>
    <x v="57"/>
    <x v="9"/>
    <n v="3.8426394000000003E-2"/>
  </r>
  <r>
    <x v="0"/>
    <x v="9"/>
    <x v="62"/>
    <x v="12"/>
    <x v="57"/>
    <x v="9"/>
    <n v="3.8426394000000003E-2"/>
  </r>
  <r>
    <x v="0"/>
    <x v="9"/>
    <x v="62"/>
    <x v="13"/>
    <x v="57"/>
    <x v="9"/>
    <n v="3.8426394000000003E-2"/>
  </r>
  <r>
    <x v="0"/>
    <x v="9"/>
    <x v="62"/>
    <x v="14"/>
    <x v="57"/>
    <x v="9"/>
    <n v="3.8426394000000003E-2"/>
  </r>
  <r>
    <x v="0"/>
    <x v="9"/>
    <x v="62"/>
    <x v="15"/>
    <x v="57"/>
    <x v="9"/>
    <n v="3.8426394000000003E-2"/>
  </r>
  <r>
    <x v="0"/>
    <x v="9"/>
    <x v="62"/>
    <x v="16"/>
    <x v="57"/>
    <x v="9"/>
    <n v="3.8426394000000003E-2"/>
  </r>
  <r>
    <x v="0"/>
    <x v="9"/>
    <x v="62"/>
    <x v="17"/>
    <x v="57"/>
    <x v="9"/>
    <n v="3.8426394000000003E-2"/>
  </r>
  <r>
    <x v="0"/>
    <x v="9"/>
    <x v="62"/>
    <x v="18"/>
    <x v="57"/>
    <x v="9"/>
    <n v="3.8426394000000003E-2"/>
  </r>
  <r>
    <x v="0"/>
    <x v="9"/>
    <x v="62"/>
    <x v="19"/>
    <x v="57"/>
    <x v="9"/>
    <n v="3.8426394000000003E-2"/>
  </r>
  <r>
    <x v="0"/>
    <x v="9"/>
    <x v="62"/>
    <x v="20"/>
    <x v="57"/>
    <x v="9"/>
    <n v="3.8426394000000003E-2"/>
  </r>
  <r>
    <x v="0"/>
    <x v="9"/>
    <x v="62"/>
    <x v="21"/>
    <x v="57"/>
    <x v="9"/>
    <n v="3.8426394000000003E-2"/>
  </r>
  <r>
    <x v="0"/>
    <x v="9"/>
    <x v="62"/>
    <x v="22"/>
    <x v="57"/>
    <x v="9"/>
    <n v="3.8426394000000003E-2"/>
  </r>
  <r>
    <x v="0"/>
    <x v="9"/>
    <x v="62"/>
    <x v="23"/>
    <x v="57"/>
    <x v="9"/>
    <n v="1"/>
  </r>
  <r>
    <x v="0"/>
    <x v="9"/>
    <x v="62"/>
    <x v="24"/>
    <x v="57"/>
    <x v="9"/>
    <n v="3.8426394000000003E-2"/>
  </r>
  <r>
    <x v="0"/>
    <x v="9"/>
    <x v="62"/>
    <x v="25"/>
    <x v="57"/>
    <x v="9"/>
    <n v="3.8426394000000003E-2"/>
  </r>
  <r>
    <x v="0"/>
    <x v="9"/>
    <x v="62"/>
    <x v="26"/>
    <x v="57"/>
    <x v="9"/>
    <n v="1"/>
  </r>
  <r>
    <x v="0"/>
    <x v="9"/>
    <x v="62"/>
    <x v="27"/>
    <x v="57"/>
    <x v="9"/>
    <n v="3.8426394000000003E-2"/>
  </r>
  <r>
    <x v="0"/>
    <x v="9"/>
    <x v="62"/>
    <x v="28"/>
    <x v="57"/>
    <x v="9"/>
    <n v="1"/>
  </r>
  <r>
    <x v="0"/>
    <x v="9"/>
    <x v="62"/>
    <x v="29"/>
    <x v="57"/>
    <x v="9"/>
    <n v="3.8426394000000003E-2"/>
  </r>
  <r>
    <x v="0"/>
    <x v="9"/>
    <x v="62"/>
    <x v="30"/>
    <x v="57"/>
    <x v="9"/>
    <n v="3.8426394000000003E-2"/>
  </r>
  <r>
    <x v="0"/>
    <x v="9"/>
    <x v="62"/>
    <x v="31"/>
    <x v="57"/>
    <x v="9"/>
    <n v="3.8426394000000003E-2"/>
  </r>
  <r>
    <x v="0"/>
    <x v="9"/>
    <x v="62"/>
    <x v="32"/>
    <x v="57"/>
    <x v="9"/>
    <n v="3.8426394000000003E-2"/>
  </r>
  <r>
    <x v="0"/>
    <x v="9"/>
    <x v="62"/>
    <x v="33"/>
    <x v="57"/>
    <x v="9"/>
    <n v="1"/>
  </r>
  <r>
    <x v="0"/>
    <x v="9"/>
    <x v="62"/>
    <x v="34"/>
    <x v="57"/>
    <x v="9"/>
    <n v="3.8426394000000003E-2"/>
  </r>
  <r>
    <x v="0"/>
    <x v="9"/>
    <x v="62"/>
    <x v="35"/>
    <x v="57"/>
    <x v="9"/>
    <n v="3.8426394000000003E-2"/>
  </r>
  <r>
    <x v="0"/>
    <x v="9"/>
    <x v="62"/>
    <x v="36"/>
    <x v="57"/>
    <x v="9"/>
    <n v="3.8426394000000003E-2"/>
  </r>
  <r>
    <x v="0"/>
    <x v="9"/>
    <x v="62"/>
    <x v="37"/>
    <x v="57"/>
    <x v="9"/>
    <n v="3.8426394000000003E-2"/>
  </r>
  <r>
    <x v="0"/>
    <x v="9"/>
    <x v="62"/>
    <x v="38"/>
    <x v="57"/>
    <x v="9"/>
    <n v="3.8426394000000003E-2"/>
  </r>
  <r>
    <x v="0"/>
    <x v="9"/>
    <x v="62"/>
    <x v="39"/>
    <x v="57"/>
    <x v="9"/>
    <n v="3.8426394000000003E-2"/>
  </r>
  <r>
    <x v="0"/>
    <x v="9"/>
    <x v="62"/>
    <x v="40"/>
    <x v="57"/>
    <x v="9"/>
    <n v="3.8426394000000003E-2"/>
  </r>
  <r>
    <x v="0"/>
    <x v="9"/>
    <x v="62"/>
    <x v="41"/>
    <x v="57"/>
    <x v="9"/>
    <n v="3.8426394000000003E-2"/>
  </r>
  <r>
    <x v="0"/>
    <x v="9"/>
    <x v="63"/>
    <x v="0"/>
    <x v="57"/>
    <x v="9"/>
    <n v="5.0949075000000003E-2"/>
  </r>
  <r>
    <x v="0"/>
    <x v="9"/>
    <x v="63"/>
    <x v="1"/>
    <x v="57"/>
    <x v="9"/>
    <n v="3.3631597999999999E-2"/>
  </r>
  <r>
    <x v="0"/>
    <x v="9"/>
    <x v="63"/>
    <x v="2"/>
    <x v="57"/>
    <x v="9"/>
    <n v="2.9021729999999999E-2"/>
  </r>
  <r>
    <x v="0"/>
    <x v="9"/>
    <x v="63"/>
    <x v="3"/>
    <x v="57"/>
    <x v="9"/>
    <n v="3.2361332999999999E-2"/>
  </r>
  <r>
    <x v="0"/>
    <x v="9"/>
    <x v="63"/>
    <x v="4"/>
    <x v="57"/>
    <x v="9"/>
    <n v="3.0512300999999999E-2"/>
  </r>
  <r>
    <x v="0"/>
    <x v="9"/>
    <x v="63"/>
    <x v="5"/>
    <x v="57"/>
    <x v="9"/>
    <n v="3.3288581999999997E-2"/>
  </r>
  <r>
    <x v="0"/>
    <x v="9"/>
    <x v="63"/>
    <x v="6"/>
    <x v="57"/>
    <x v="9"/>
    <n v="3.2000803000000001E-2"/>
  </r>
  <r>
    <x v="0"/>
    <x v="9"/>
    <x v="63"/>
    <x v="7"/>
    <x v="57"/>
    <x v="9"/>
    <n v="3.2753282000000002E-2"/>
  </r>
  <r>
    <x v="0"/>
    <x v="9"/>
    <x v="63"/>
    <x v="8"/>
    <x v="57"/>
    <x v="9"/>
    <n v="3.1396748000000002E-2"/>
  </r>
  <r>
    <x v="0"/>
    <x v="9"/>
    <x v="63"/>
    <x v="9"/>
    <x v="57"/>
    <x v="9"/>
    <n v="2.7982218999999999E-2"/>
  </r>
  <r>
    <x v="0"/>
    <x v="9"/>
    <x v="63"/>
    <x v="10"/>
    <x v="57"/>
    <x v="9"/>
    <n v="2.2151530999999999E-2"/>
  </r>
  <r>
    <x v="0"/>
    <x v="9"/>
    <x v="63"/>
    <x v="11"/>
    <x v="57"/>
    <x v="9"/>
    <n v="2.607319E-2"/>
  </r>
  <r>
    <x v="0"/>
    <x v="9"/>
    <x v="63"/>
    <x v="12"/>
    <x v="57"/>
    <x v="9"/>
    <n v="2.7568064E-2"/>
  </r>
  <r>
    <x v="0"/>
    <x v="9"/>
    <x v="63"/>
    <x v="13"/>
    <x v="57"/>
    <x v="9"/>
    <n v="2.3659860000000001E-2"/>
  </r>
  <r>
    <x v="0"/>
    <x v="9"/>
    <x v="63"/>
    <x v="14"/>
    <x v="57"/>
    <x v="9"/>
    <n v="2.5472682999999999E-2"/>
  </r>
  <r>
    <x v="0"/>
    <x v="9"/>
    <x v="63"/>
    <x v="15"/>
    <x v="57"/>
    <x v="9"/>
    <n v="2.8453723E-2"/>
  </r>
  <r>
    <x v="0"/>
    <x v="9"/>
    <x v="63"/>
    <x v="16"/>
    <x v="57"/>
    <x v="9"/>
    <n v="2.9322745000000001E-2"/>
  </r>
  <r>
    <x v="0"/>
    <x v="9"/>
    <x v="63"/>
    <x v="17"/>
    <x v="57"/>
    <x v="9"/>
    <n v="2.8411436000000002E-2"/>
  </r>
  <r>
    <x v="0"/>
    <x v="9"/>
    <x v="63"/>
    <x v="18"/>
    <x v="57"/>
    <x v="9"/>
    <n v="2.5900553E-2"/>
  </r>
  <r>
    <x v="0"/>
    <x v="9"/>
    <x v="63"/>
    <x v="19"/>
    <x v="57"/>
    <x v="9"/>
    <n v="3.0507609000000002E-2"/>
  </r>
  <r>
    <x v="0"/>
    <x v="9"/>
    <x v="63"/>
    <x v="20"/>
    <x v="57"/>
    <x v="9"/>
    <n v="3.0243955999999999E-2"/>
  </r>
  <r>
    <x v="0"/>
    <x v="9"/>
    <x v="63"/>
    <x v="21"/>
    <x v="57"/>
    <x v="9"/>
    <n v="2.7990006000000001E-2"/>
  </r>
  <r>
    <x v="0"/>
    <x v="9"/>
    <x v="63"/>
    <x v="22"/>
    <x v="57"/>
    <x v="9"/>
    <n v="1.5293331E-2"/>
  </r>
  <r>
    <x v="0"/>
    <x v="9"/>
    <x v="63"/>
    <x v="23"/>
    <x v="57"/>
    <x v="9"/>
    <n v="1"/>
  </r>
  <r>
    <x v="0"/>
    <x v="9"/>
    <x v="63"/>
    <x v="24"/>
    <x v="57"/>
    <x v="9"/>
    <n v="2.4104606000000001E-2"/>
  </r>
  <r>
    <x v="0"/>
    <x v="9"/>
    <x v="63"/>
    <x v="25"/>
    <x v="57"/>
    <x v="9"/>
    <n v="1"/>
  </r>
  <r>
    <x v="0"/>
    <x v="9"/>
    <x v="63"/>
    <x v="26"/>
    <x v="57"/>
    <x v="9"/>
    <n v="1"/>
  </r>
  <r>
    <x v="0"/>
    <x v="9"/>
    <x v="63"/>
    <x v="27"/>
    <x v="57"/>
    <x v="9"/>
    <n v="3.1488225000000002E-2"/>
  </r>
  <r>
    <x v="0"/>
    <x v="9"/>
    <x v="63"/>
    <x v="28"/>
    <x v="57"/>
    <x v="9"/>
    <n v="3.3154983999999998E-2"/>
  </r>
  <r>
    <x v="0"/>
    <x v="9"/>
    <x v="63"/>
    <x v="29"/>
    <x v="57"/>
    <x v="9"/>
    <n v="2.8486513000000001E-2"/>
  </r>
  <r>
    <x v="0"/>
    <x v="9"/>
    <x v="63"/>
    <x v="30"/>
    <x v="57"/>
    <x v="9"/>
    <n v="4.0178634999999997E-2"/>
  </r>
  <r>
    <x v="0"/>
    <x v="9"/>
    <x v="63"/>
    <x v="31"/>
    <x v="57"/>
    <x v="9"/>
    <n v="2.6312556000000001E-2"/>
  </r>
  <r>
    <x v="0"/>
    <x v="9"/>
    <x v="63"/>
    <x v="32"/>
    <x v="57"/>
    <x v="9"/>
    <n v="2.7939661000000001E-2"/>
  </r>
  <r>
    <x v="0"/>
    <x v="9"/>
    <x v="63"/>
    <x v="33"/>
    <x v="57"/>
    <x v="9"/>
    <n v="1"/>
  </r>
  <r>
    <x v="0"/>
    <x v="9"/>
    <x v="63"/>
    <x v="34"/>
    <x v="57"/>
    <x v="9"/>
    <n v="2.9042630999999999E-2"/>
  </r>
  <r>
    <x v="0"/>
    <x v="9"/>
    <x v="63"/>
    <x v="35"/>
    <x v="57"/>
    <x v="9"/>
    <n v="2.9445386E-2"/>
  </r>
  <r>
    <x v="0"/>
    <x v="9"/>
    <x v="63"/>
    <x v="36"/>
    <x v="57"/>
    <x v="9"/>
    <n v="3.1111504000000002E-2"/>
  </r>
  <r>
    <x v="0"/>
    <x v="9"/>
    <x v="63"/>
    <x v="37"/>
    <x v="57"/>
    <x v="9"/>
    <n v="3.9571217999999998E-2"/>
  </r>
  <r>
    <x v="0"/>
    <x v="9"/>
    <x v="63"/>
    <x v="38"/>
    <x v="57"/>
    <x v="9"/>
    <n v="5.0769367000000003E-2"/>
  </r>
  <r>
    <x v="0"/>
    <x v="9"/>
    <x v="63"/>
    <x v="39"/>
    <x v="57"/>
    <x v="9"/>
    <n v="3.8352493000000001E-2"/>
  </r>
  <r>
    <x v="0"/>
    <x v="9"/>
    <x v="63"/>
    <x v="40"/>
    <x v="57"/>
    <x v="9"/>
    <n v="3.6719298999999997E-2"/>
  </r>
  <r>
    <x v="0"/>
    <x v="9"/>
    <x v="63"/>
    <x v="41"/>
    <x v="57"/>
    <x v="9"/>
    <n v="4.1513455999999997E-2"/>
  </r>
  <r>
    <x v="0"/>
    <x v="9"/>
    <x v="64"/>
    <x v="0"/>
    <x v="57"/>
    <x v="10"/>
    <n v="0"/>
  </r>
  <r>
    <x v="0"/>
    <x v="9"/>
    <x v="64"/>
    <x v="1"/>
    <x v="57"/>
    <x v="10"/>
    <n v="0"/>
  </r>
  <r>
    <x v="0"/>
    <x v="9"/>
    <x v="64"/>
    <x v="2"/>
    <x v="57"/>
    <x v="10"/>
    <n v="0"/>
  </r>
  <r>
    <x v="0"/>
    <x v="9"/>
    <x v="64"/>
    <x v="3"/>
    <x v="57"/>
    <x v="10"/>
    <n v="0"/>
  </r>
  <r>
    <x v="0"/>
    <x v="9"/>
    <x v="64"/>
    <x v="4"/>
    <x v="57"/>
    <x v="10"/>
    <n v="0"/>
  </r>
  <r>
    <x v="0"/>
    <x v="9"/>
    <x v="64"/>
    <x v="5"/>
    <x v="57"/>
    <x v="10"/>
    <n v="0"/>
  </r>
  <r>
    <x v="0"/>
    <x v="9"/>
    <x v="64"/>
    <x v="6"/>
    <x v="57"/>
    <x v="10"/>
    <n v="0"/>
  </r>
  <r>
    <x v="0"/>
    <x v="9"/>
    <x v="64"/>
    <x v="7"/>
    <x v="57"/>
    <x v="10"/>
    <n v="0"/>
  </r>
  <r>
    <x v="0"/>
    <x v="9"/>
    <x v="64"/>
    <x v="8"/>
    <x v="57"/>
    <x v="10"/>
    <n v="0"/>
  </r>
  <r>
    <x v="0"/>
    <x v="9"/>
    <x v="64"/>
    <x v="9"/>
    <x v="57"/>
    <x v="10"/>
    <n v="0"/>
  </r>
  <r>
    <x v="0"/>
    <x v="9"/>
    <x v="64"/>
    <x v="10"/>
    <x v="57"/>
    <x v="10"/>
    <n v="0"/>
  </r>
  <r>
    <x v="0"/>
    <x v="9"/>
    <x v="64"/>
    <x v="11"/>
    <x v="57"/>
    <x v="10"/>
    <n v="0"/>
  </r>
  <r>
    <x v="0"/>
    <x v="9"/>
    <x v="64"/>
    <x v="12"/>
    <x v="57"/>
    <x v="10"/>
    <n v="0"/>
  </r>
  <r>
    <x v="0"/>
    <x v="9"/>
    <x v="64"/>
    <x v="13"/>
    <x v="57"/>
    <x v="10"/>
    <n v="0"/>
  </r>
  <r>
    <x v="0"/>
    <x v="9"/>
    <x v="64"/>
    <x v="14"/>
    <x v="57"/>
    <x v="10"/>
    <n v="0"/>
  </r>
  <r>
    <x v="0"/>
    <x v="9"/>
    <x v="64"/>
    <x v="15"/>
    <x v="57"/>
    <x v="10"/>
    <n v="0"/>
  </r>
  <r>
    <x v="0"/>
    <x v="9"/>
    <x v="64"/>
    <x v="16"/>
    <x v="57"/>
    <x v="10"/>
    <n v="0"/>
  </r>
  <r>
    <x v="0"/>
    <x v="9"/>
    <x v="64"/>
    <x v="17"/>
    <x v="57"/>
    <x v="10"/>
    <n v="0"/>
  </r>
  <r>
    <x v="0"/>
    <x v="9"/>
    <x v="64"/>
    <x v="18"/>
    <x v="57"/>
    <x v="10"/>
    <n v="0"/>
  </r>
  <r>
    <x v="0"/>
    <x v="9"/>
    <x v="64"/>
    <x v="19"/>
    <x v="57"/>
    <x v="10"/>
    <n v="0"/>
  </r>
  <r>
    <x v="0"/>
    <x v="9"/>
    <x v="64"/>
    <x v="20"/>
    <x v="57"/>
    <x v="10"/>
    <n v="0"/>
  </r>
  <r>
    <x v="0"/>
    <x v="9"/>
    <x v="64"/>
    <x v="21"/>
    <x v="57"/>
    <x v="10"/>
    <n v="0"/>
  </r>
  <r>
    <x v="0"/>
    <x v="9"/>
    <x v="64"/>
    <x v="22"/>
    <x v="57"/>
    <x v="10"/>
    <n v="0"/>
  </r>
  <r>
    <x v="0"/>
    <x v="9"/>
    <x v="64"/>
    <x v="23"/>
    <x v="57"/>
    <x v="10"/>
    <n v="0"/>
  </r>
  <r>
    <x v="0"/>
    <x v="9"/>
    <x v="64"/>
    <x v="24"/>
    <x v="57"/>
    <x v="10"/>
    <n v="0"/>
  </r>
  <r>
    <x v="0"/>
    <x v="9"/>
    <x v="64"/>
    <x v="25"/>
    <x v="57"/>
    <x v="10"/>
    <n v="0"/>
  </r>
  <r>
    <x v="0"/>
    <x v="9"/>
    <x v="64"/>
    <x v="26"/>
    <x v="57"/>
    <x v="10"/>
    <n v="0"/>
  </r>
  <r>
    <x v="0"/>
    <x v="9"/>
    <x v="64"/>
    <x v="27"/>
    <x v="57"/>
    <x v="10"/>
    <n v="0"/>
  </r>
  <r>
    <x v="0"/>
    <x v="9"/>
    <x v="64"/>
    <x v="28"/>
    <x v="57"/>
    <x v="10"/>
    <n v="0"/>
  </r>
  <r>
    <x v="0"/>
    <x v="9"/>
    <x v="64"/>
    <x v="29"/>
    <x v="57"/>
    <x v="10"/>
    <n v="0"/>
  </r>
  <r>
    <x v="0"/>
    <x v="9"/>
    <x v="64"/>
    <x v="30"/>
    <x v="57"/>
    <x v="10"/>
    <n v="0"/>
  </r>
  <r>
    <x v="0"/>
    <x v="9"/>
    <x v="64"/>
    <x v="31"/>
    <x v="57"/>
    <x v="10"/>
    <n v="0"/>
  </r>
  <r>
    <x v="0"/>
    <x v="9"/>
    <x v="64"/>
    <x v="32"/>
    <x v="57"/>
    <x v="10"/>
    <n v="0"/>
  </r>
  <r>
    <x v="0"/>
    <x v="9"/>
    <x v="64"/>
    <x v="33"/>
    <x v="57"/>
    <x v="10"/>
    <n v="0"/>
  </r>
  <r>
    <x v="0"/>
    <x v="9"/>
    <x v="64"/>
    <x v="34"/>
    <x v="57"/>
    <x v="10"/>
    <n v="0"/>
  </r>
  <r>
    <x v="0"/>
    <x v="9"/>
    <x v="64"/>
    <x v="35"/>
    <x v="57"/>
    <x v="10"/>
    <n v="0"/>
  </r>
  <r>
    <x v="0"/>
    <x v="9"/>
    <x v="64"/>
    <x v="36"/>
    <x v="57"/>
    <x v="10"/>
    <n v="0"/>
  </r>
  <r>
    <x v="0"/>
    <x v="9"/>
    <x v="64"/>
    <x v="37"/>
    <x v="57"/>
    <x v="10"/>
    <n v="0"/>
  </r>
  <r>
    <x v="0"/>
    <x v="9"/>
    <x v="64"/>
    <x v="38"/>
    <x v="57"/>
    <x v="10"/>
    <n v="0"/>
  </r>
  <r>
    <x v="0"/>
    <x v="9"/>
    <x v="64"/>
    <x v="39"/>
    <x v="57"/>
    <x v="10"/>
    <n v="0"/>
  </r>
  <r>
    <x v="0"/>
    <x v="9"/>
    <x v="64"/>
    <x v="40"/>
    <x v="57"/>
    <x v="10"/>
    <n v="0"/>
  </r>
  <r>
    <x v="0"/>
    <x v="9"/>
    <x v="64"/>
    <x v="41"/>
    <x v="57"/>
    <x v="10"/>
    <n v="0"/>
  </r>
  <r>
    <x v="0"/>
    <x v="9"/>
    <x v="65"/>
    <x v="48"/>
    <x v="58"/>
    <x v="11"/>
    <n v="1737.1841915279999"/>
  </r>
  <r>
    <x v="0"/>
    <x v="9"/>
    <x v="65"/>
    <x v="49"/>
    <x v="58"/>
    <x v="11"/>
    <n v="1679.4467425299999"/>
  </r>
  <r>
    <x v="0"/>
    <x v="9"/>
    <x v="66"/>
    <x v="48"/>
    <x v="58"/>
    <x v="12"/>
    <n v="6.7464183999999996E-2"/>
  </r>
  <r>
    <x v="0"/>
    <x v="9"/>
    <x v="66"/>
    <x v="49"/>
    <x v="58"/>
    <x v="12"/>
    <n v="6.5221928999999998E-2"/>
  </r>
  <r>
    <x v="0"/>
    <x v="10"/>
    <x v="0"/>
    <x v="0"/>
    <x v="0"/>
    <x v="0"/>
    <n v="681.90398877799998"/>
  </r>
  <r>
    <x v="0"/>
    <x v="10"/>
    <x v="1"/>
    <x v="0"/>
    <x v="0"/>
    <x v="1"/>
    <n v="0.10450387899999999"/>
  </r>
  <r>
    <x v="0"/>
    <x v="10"/>
    <x v="2"/>
    <x v="0"/>
    <x v="0"/>
    <x v="1"/>
    <n v="260.54796050900001"/>
  </r>
  <r>
    <x v="0"/>
    <x v="10"/>
    <x v="3"/>
    <x v="0"/>
    <x v="0"/>
    <x v="1"/>
    <n v="0.12737248800000001"/>
  </r>
  <r>
    <x v="0"/>
    <x v="10"/>
    <x v="0"/>
    <x v="1"/>
    <x v="0"/>
    <x v="0"/>
    <n v="209.85239749900001"/>
  </r>
  <r>
    <x v="0"/>
    <x v="10"/>
    <x v="1"/>
    <x v="1"/>
    <x v="0"/>
    <x v="1"/>
    <n v="5.8362136000000002E-2"/>
  </r>
  <r>
    <x v="0"/>
    <x v="10"/>
    <x v="2"/>
    <x v="1"/>
    <x v="0"/>
    <x v="1"/>
    <n v="127.892397077"/>
  </r>
  <r>
    <x v="0"/>
    <x v="10"/>
    <x v="3"/>
    <x v="1"/>
    <x v="0"/>
    <x v="1"/>
    <n v="7.4349471E-2"/>
  </r>
  <r>
    <x v="0"/>
    <x v="10"/>
    <x v="0"/>
    <x v="2"/>
    <x v="0"/>
    <x v="0"/>
    <n v="238.27984144199999"/>
  </r>
  <r>
    <x v="0"/>
    <x v="10"/>
    <x v="1"/>
    <x v="2"/>
    <x v="0"/>
    <x v="1"/>
    <n v="3.6811146000000003E-2"/>
  </r>
  <r>
    <x v="0"/>
    <x v="10"/>
    <x v="2"/>
    <x v="2"/>
    <x v="0"/>
    <x v="1"/>
    <n v="136.576643096"/>
  </r>
  <r>
    <x v="0"/>
    <x v="10"/>
    <x v="3"/>
    <x v="2"/>
    <x v="0"/>
    <x v="1"/>
    <n v="2.5640662000000002E-2"/>
  </r>
  <r>
    <x v="0"/>
    <x v="10"/>
    <x v="0"/>
    <x v="3"/>
    <x v="0"/>
    <x v="0"/>
    <n v="115.28492375800001"/>
  </r>
  <r>
    <x v="0"/>
    <x v="10"/>
    <x v="1"/>
    <x v="3"/>
    <x v="0"/>
    <x v="1"/>
    <n v="4.7878928000000001E-2"/>
  </r>
  <r>
    <x v="0"/>
    <x v="10"/>
    <x v="2"/>
    <x v="3"/>
    <x v="0"/>
    <x v="1"/>
    <n v="78.519862381999999"/>
  </r>
  <r>
    <x v="0"/>
    <x v="10"/>
    <x v="3"/>
    <x v="3"/>
    <x v="0"/>
    <x v="1"/>
    <n v="5.5948676000000003E-2"/>
  </r>
  <r>
    <x v="0"/>
    <x v="10"/>
    <x v="0"/>
    <x v="4"/>
    <x v="0"/>
    <x v="0"/>
    <n v="56.486932557000003"/>
  </r>
  <r>
    <x v="0"/>
    <x v="10"/>
    <x v="1"/>
    <x v="4"/>
    <x v="0"/>
    <x v="1"/>
    <n v="5.2016781999999998E-2"/>
  </r>
  <r>
    <x v="0"/>
    <x v="10"/>
    <x v="2"/>
    <x v="4"/>
    <x v="0"/>
    <x v="1"/>
    <n v="38.007550662"/>
  </r>
  <r>
    <x v="0"/>
    <x v="10"/>
    <x v="3"/>
    <x v="4"/>
    <x v="0"/>
    <x v="1"/>
    <n v="6.5617631999999995E-2"/>
  </r>
  <r>
    <x v="0"/>
    <x v="10"/>
    <x v="0"/>
    <x v="5"/>
    <x v="0"/>
    <x v="0"/>
    <n v="593.05019840800003"/>
  </r>
  <r>
    <x v="0"/>
    <x v="10"/>
    <x v="1"/>
    <x v="5"/>
    <x v="0"/>
    <x v="1"/>
    <n v="7.0923784000000004E-2"/>
  </r>
  <r>
    <x v="0"/>
    <x v="10"/>
    <x v="2"/>
    <x v="5"/>
    <x v="0"/>
    <x v="1"/>
    <n v="495.538463718"/>
  </r>
  <r>
    <x v="0"/>
    <x v="10"/>
    <x v="3"/>
    <x v="5"/>
    <x v="0"/>
    <x v="1"/>
    <n v="4.5041262999999998E-2"/>
  </r>
  <r>
    <x v="0"/>
    <x v="10"/>
    <x v="0"/>
    <x v="6"/>
    <x v="0"/>
    <x v="0"/>
    <n v="183.84053099499999"/>
  </r>
  <r>
    <x v="0"/>
    <x v="10"/>
    <x v="1"/>
    <x v="6"/>
    <x v="0"/>
    <x v="1"/>
    <n v="6.4726520999999995E-2"/>
  </r>
  <r>
    <x v="0"/>
    <x v="10"/>
    <x v="2"/>
    <x v="6"/>
    <x v="0"/>
    <x v="1"/>
    <n v="153.87710413600001"/>
  </r>
  <r>
    <x v="0"/>
    <x v="10"/>
    <x v="3"/>
    <x v="6"/>
    <x v="0"/>
    <x v="1"/>
    <n v="6.0939205000000003E-2"/>
  </r>
  <r>
    <x v="0"/>
    <x v="10"/>
    <x v="0"/>
    <x v="7"/>
    <x v="0"/>
    <x v="0"/>
    <n v="124.58530641199999"/>
  </r>
  <r>
    <x v="0"/>
    <x v="10"/>
    <x v="1"/>
    <x v="7"/>
    <x v="0"/>
    <x v="1"/>
    <n v="6.2501707000000004E-2"/>
  </r>
  <r>
    <x v="0"/>
    <x v="10"/>
    <x v="2"/>
    <x v="7"/>
    <x v="0"/>
    <x v="1"/>
    <n v="101.335890412"/>
  </r>
  <r>
    <x v="0"/>
    <x v="10"/>
    <x v="3"/>
    <x v="7"/>
    <x v="0"/>
    <x v="1"/>
    <n v="7.1983562000000001E-2"/>
  </r>
  <r>
    <x v="0"/>
    <x v="10"/>
    <x v="0"/>
    <x v="8"/>
    <x v="0"/>
    <x v="0"/>
    <n v="86.740641300999997"/>
  </r>
  <r>
    <x v="0"/>
    <x v="10"/>
    <x v="1"/>
    <x v="8"/>
    <x v="0"/>
    <x v="1"/>
    <n v="5.9266718000000003E-2"/>
  </r>
  <r>
    <x v="0"/>
    <x v="10"/>
    <x v="2"/>
    <x v="8"/>
    <x v="0"/>
    <x v="1"/>
    <n v="70.827123338999996"/>
  </r>
  <r>
    <x v="0"/>
    <x v="10"/>
    <x v="3"/>
    <x v="8"/>
    <x v="0"/>
    <x v="1"/>
    <n v="5.8375547999999999E-2"/>
  </r>
  <r>
    <x v="0"/>
    <x v="10"/>
    <x v="0"/>
    <x v="9"/>
    <x v="0"/>
    <x v="0"/>
    <n v="219.86216931999999"/>
  </r>
  <r>
    <x v="0"/>
    <x v="10"/>
    <x v="1"/>
    <x v="9"/>
    <x v="0"/>
    <x v="1"/>
    <n v="5.3001064000000001E-2"/>
  </r>
  <r>
    <x v="0"/>
    <x v="10"/>
    <x v="2"/>
    <x v="9"/>
    <x v="0"/>
    <x v="1"/>
    <n v="176.05664848800001"/>
  </r>
  <r>
    <x v="0"/>
    <x v="10"/>
    <x v="3"/>
    <x v="9"/>
    <x v="0"/>
    <x v="1"/>
    <n v="6.2744161000000007E-2"/>
  </r>
  <r>
    <x v="0"/>
    <x v="10"/>
    <x v="0"/>
    <x v="10"/>
    <x v="0"/>
    <x v="0"/>
    <n v="333.80862320300002"/>
  </r>
  <r>
    <x v="0"/>
    <x v="10"/>
    <x v="1"/>
    <x v="10"/>
    <x v="0"/>
    <x v="1"/>
    <n v="3.7484166999999999E-2"/>
  </r>
  <r>
    <x v="0"/>
    <x v="10"/>
    <x v="2"/>
    <x v="10"/>
    <x v="0"/>
    <x v="1"/>
    <n v="305.78251441899999"/>
  </r>
  <r>
    <x v="0"/>
    <x v="10"/>
    <x v="3"/>
    <x v="10"/>
    <x v="0"/>
    <x v="1"/>
    <n v="4.4853861000000002E-2"/>
  </r>
  <r>
    <x v="0"/>
    <x v="10"/>
    <x v="0"/>
    <x v="11"/>
    <x v="0"/>
    <x v="0"/>
    <n v="870.94778051499998"/>
  </r>
  <r>
    <x v="0"/>
    <x v="10"/>
    <x v="1"/>
    <x v="11"/>
    <x v="0"/>
    <x v="1"/>
    <n v="4.6781565999999997E-2"/>
  </r>
  <r>
    <x v="0"/>
    <x v="10"/>
    <x v="2"/>
    <x v="11"/>
    <x v="0"/>
    <x v="1"/>
    <n v="731.82731910200005"/>
  </r>
  <r>
    <x v="0"/>
    <x v="10"/>
    <x v="3"/>
    <x v="11"/>
    <x v="0"/>
    <x v="1"/>
    <n v="4.0842509999999999E-2"/>
  </r>
  <r>
    <x v="0"/>
    <x v="10"/>
    <x v="0"/>
    <x v="12"/>
    <x v="0"/>
    <x v="0"/>
    <n v="237.28282237900001"/>
  </r>
  <r>
    <x v="0"/>
    <x v="10"/>
    <x v="1"/>
    <x v="12"/>
    <x v="0"/>
    <x v="1"/>
    <n v="4.7627140999999998E-2"/>
  </r>
  <r>
    <x v="0"/>
    <x v="10"/>
    <x v="2"/>
    <x v="12"/>
    <x v="0"/>
    <x v="1"/>
    <n v="190.09689466899999"/>
  </r>
  <r>
    <x v="0"/>
    <x v="10"/>
    <x v="3"/>
    <x v="12"/>
    <x v="0"/>
    <x v="1"/>
    <n v="5.3591201999999998E-2"/>
  </r>
  <r>
    <x v="0"/>
    <x v="10"/>
    <x v="0"/>
    <x v="13"/>
    <x v="0"/>
    <x v="0"/>
    <n v="657.07502979900005"/>
  </r>
  <r>
    <x v="0"/>
    <x v="10"/>
    <x v="1"/>
    <x v="13"/>
    <x v="0"/>
    <x v="1"/>
    <n v="3.8731759999999997E-2"/>
  </r>
  <r>
    <x v="0"/>
    <x v="10"/>
    <x v="2"/>
    <x v="13"/>
    <x v="0"/>
    <x v="1"/>
    <n v="557.639247372"/>
  </r>
  <r>
    <x v="0"/>
    <x v="10"/>
    <x v="3"/>
    <x v="13"/>
    <x v="0"/>
    <x v="1"/>
    <n v="3.5340270999999999E-2"/>
  </r>
  <r>
    <x v="0"/>
    <x v="10"/>
    <x v="0"/>
    <x v="14"/>
    <x v="0"/>
    <x v="0"/>
    <n v="181.033489774"/>
  </r>
  <r>
    <x v="0"/>
    <x v="10"/>
    <x v="1"/>
    <x v="14"/>
    <x v="0"/>
    <x v="1"/>
    <n v="4.4415656999999997E-2"/>
  </r>
  <r>
    <x v="0"/>
    <x v="10"/>
    <x v="2"/>
    <x v="14"/>
    <x v="0"/>
    <x v="1"/>
    <n v="151.094527957"/>
  </r>
  <r>
    <x v="0"/>
    <x v="10"/>
    <x v="3"/>
    <x v="14"/>
    <x v="0"/>
    <x v="1"/>
    <n v="5.7098885000000002E-2"/>
  </r>
  <r>
    <x v="0"/>
    <x v="10"/>
    <x v="0"/>
    <x v="15"/>
    <x v="0"/>
    <x v="0"/>
    <n v="196.21058299500001"/>
  </r>
  <r>
    <x v="0"/>
    <x v="10"/>
    <x v="1"/>
    <x v="15"/>
    <x v="0"/>
    <x v="1"/>
    <n v="4.7542058999999998E-2"/>
  </r>
  <r>
    <x v="0"/>
    <x v="10"/>
    <x v="2"/>
    <x v="15"/>
    <x v="0"/>
    <x v="1"/>
    <n v="162.10687456700001"/>
  </r>
  <r>
    <x v="0"/>
    <x v="10"/>
    <x v="3"/>
    <x v="15"/>
    <x v="0"/>
    <x v="1"/>
    <n v="6.2262484999999999E-2"/>
  </r>
  <r>
    <x v="0"/>
    <x v="10"/>
    <x v="0"/>
    <x v="16"/>
    <x v="0"/>
    <x v="0"/>
    <n v="125.99728729100001"/>
  </r>
  <r>
    <x v="0"/>
    <x v="10"/>
    <x v="1"/>
    <x v="16"/>
    <x v="0"/>
    <x v="1"/>
    <n v="4.8182911000000002E-2"/>
  </r>
  <r>
    <x v="0"/>
    <x v="10"/>
    <x v="2"/>
    <x v="16"/>
    <x v="0"/>
    <x v="1"/>
    <n v="102.963848985"/>
  </r>
  <r>
    <x v="0"/>
    <x v="10"/>
    <x v="3"/>
    <x v="16"/>
    <x v="0"/>
    <x v="1"/>
    <n v="6.1479772000000002E-2"/>
  </r>
  <r>
    <x v="0"/>
    <x v="10"/>
    <x v="0"/>
    <x v="17"/>
    <x v="0"/>
    <x v="0"/>
    <n v="295.56018645299997"/>
  </r>
  <r>
    <x v="0"/>
    <x v="10"/>
    <x v="1"/>
    <x v="17"/>
    <x v="0"/>
    <x v="1"/>
    <n v="4.8665512000000001E-2"/>
  </r>
  <r>
    <x v="0"/>
    <x v="10"/>
    <x v="2"/>
    <x v="17"/>
    <x v="0"/>
    <x v="1"/>
    <n v="247.183606174"/>
  </r>
  <r>
    <x v="0"/>
    <x v="10"/>
    <x v="3"/>
    <x v="17"/>
    <x v="0"/>
    <x v="1"/>
    <n v="5.9549451000000003E-2"/>
  </r>
  <r>
    <x v="0"/>
    <x v="10"/>
    <x v="0"/>
    <x v="18"/>
    <x v="0"/>
    <x v="0"/>
    <n v="253.61113166800001"/>
  </r>
  <r>
    <x v="0"/>
    <x v="10"/>
    <x v="1"/>
    <x v="18"/>
    <x v="0"/>
    <x v="1"/>
    <n v="4.4169077000000001E-2"/>
  </r>
  <r>
    <x v="0"/>
    <x v="10"/>
    <x v="2"/>
    <x v="18"/>
    <x v="0"/>
    <x v="1"/>
    <n v="217.593220417"/>
  </r>
  <r>
    <x v="0"/>
    <x v="10"/>
    <x v="3"/>
    <x v="18"/>
    <x v="0"/>
    <x v="1"/>
    <n v="4.9218720000000001E-2"/>
  </r>
  <r>
    <x v="0"/>
    <x v="10"/>
    <x v="0"/>
    <x v="19"/>
    <x v="0"/>
    <x v="0"/>
    <n v="295.33528139800001"/>
  </r>
  <r>
    <x v="0"/>
    <x v="10"/>
    <x v="1"/>
    <x v="19"/>
    <x v="0"/>
    <x v="1"/>
    <n v="4.8197821000000002E-2"/>
  </r>
  <r>
    <x v="0"/>
    <x v="10"/>
    <x v="2"/>
    <x v="19"/>
    <x v="0"/>
    <x v="1"/>
    <n v="250.33701371500001"/>
  </r>
  <r>
    <x v="0"/>
    <x v="10"/>
    <x v="3"/>
    <x v="19"/>
    <x v="0"/>
    <x v="1"/>
    <n v="6.7256968E-2"/>
  </r>
  <r>
    <x v="0"/>
    <x v="10"/>
    <x v="0"/>
    <x v="20"/>
    <x v="0"/>
    <x v="0"/>
    <n v="38.097342990000001"/>
  </r>
  <r>
    <x v="0"/>
    <x v="10"/>
    <x v="1"/>
    <x v="20"/>
    <x v="0"/>
    <x v="1"/>
    <n v="4.7030931999999998E-2"/>
  </r>
  <r>
    <x v="0"/>
    <x v="10"/>
    <x v="2"/>
    <x v="20"/>
    <x v="0"/>
    <x v="1"/>
    <n v="30.544457647000002"/>
  </r>
  <r>
    <x v="0"/>
    <x v="10"/>
    <x v="3"/>
    <x v="20"/>
    <x v="0"/>
    <x v="1"/>
    <n v="5.5781226000000003E-2"/>
  </r>
  <r>
    <x v="0"/>
    <x v="10"/>
    <x v="0"/>
    <x v="21"/>
    <x v="0"/>
    <x v="0"/>
    <n v="16.233562752000001"/>
  </r>
  <r>
    <x v="0"/>
    <x v="10"/>
    <x v="1"/>
    <x v="21"/>
    <x v="0"/>
    <x v="1"/>
    <n v="5.4138648999999997E-2"/>
  </r>
  <r>
    <x v="0"/>
    <x v="10"/>
    <x v="2"/>
    <x v="21"/>
    <x v="0"/>
    <x v="1"/>
    <n v="13.295686204000001"/>
  </r>
  <r>
    <x v="0"/>
    <x v="10"/>
    <x v="3"/>
    <x v="21"/>
    <x v="0"/>
    <x v="1"/>
    <n v="6.4276048000000002E-2"/>
  </r>
  <r>
    <x v="0"/>
    <x v="10"/>
    <x v="0"/>
    <x v="22"/>
    <x v="0"/>
    <x v="0"/>
    <n v="72.969211896999994"/>
  </r>
  <r>
    <x v="0"/>
    <x v="10"/>
    <x v="1"/>
    <x v="22"/>
    <x v="0"/>
    <x v="1"/>
    <n v="1.1100046000000001E-2"/>
  </r>
  <r>
    <x v="0"/>
    <x v="10"/>
    <x v="2"/>
    <x v="22"/>
    <x v="0"/>
    <x v="1"/>
    <n v="17.535754273999999"/>
  </r>
  <r>
    <x v="0"/>
    <x v="10"/>
    <x v="3"/>
    <x v="22"/>
    <x v="0"/>
    <x v="1"/>
    <n v="2.3121000000000001E-3"/>
  </r>
  <r>
    <x v="0"/>
    <x v="10"/>
    <x v="0"/>
    <x v="23"/>
    <x v="0"/>
    <x v="0"/>
    <n v="7.1254307140000002"/>
  </r>
  <r>
    <x v="0"/>
    <x v="10"/>
    <x v="1"/>
    <x v="23"/>
    <x v="0"/>
    <x v="1"/>
    <n v="5.4518784000000001E-2"/>
  </r>
  <r>
    <x v="0"/>
    <x v="10"/>
    <x v="2"/>
    <x v="23"/>
    <x v="0"/>
    <x v="1"/>
    <n v="5.8760142039999996"/>
  </r>
  <r>
    <x v="0"/>
    <x v="10"/>
    <x v="3"/>
    <x v="23"/>
    <x v="0"/>
    <x v="1"/>
    <n v="9.9678278999999995E-2"/>
  </r>
  <r>
    <x v="0"/>
    <x v="10"/>
    <x v="0"/>
    <x v="24"/>
    <x v="0"/>
    <x v="0"/>
    <n v="376.48898948700003"/>
  </r>
  <r>
    <x v="0"/>
    <x v="10"/>
    <x v="1"/>
    <x v="24"/>
    <x v="0"/>
    <x v="1"/>
    <n v="4.1913633999999998E-2"/>
  </r>
  <r>
    <x v="0"/>
    <x v="10"/>
    <x v="2"/>
    <x v="24"/>
    <x v="0"/>
    <x v="1"/>
    <n v="295.27098971200002"/>
  </r>
  <r>
    <x v="0"/>
    <x v="10"/>
    <x v="3"/>
    <x v="24"/>
    <x v="0"/>
    <x v="1"/>
    <n v="3.1763292999999998E-2"/>
  </r>
  <r>
    <x v="0"/>
    <x v="10"/>
    <x v="0"/>
    <x v="25"/>
    <x v="0"/>
    <x v="0"/>
    <n v="20.386464468"/>
  </r>
  <r>
    <x v="0"/>
    <x v="10"/>
    <x v="1"/>
    <x v="25"/>
    <x v="0"/>
    <x v="1"/>
    <n v="3.5687967000000001E-2"/>
  </r>
  <r>
    <x v="0"/>
    <x v="10"/>
    <x v="2"/>
    <x v="25"/>
    <x v="0"/>
    <x v="1"/>
    <n v="16.426594122000001"/>
  </r>
  <r>
    <x v="0"/>
    <x v="10"/>
    <x v="3"/>
    <x v="25"/>
    <x v="0"/>
    <x v="1"/>
    <n v="2.8600642999999999E-2"/>
  </r>
  <r>
    <x v="0"/>
    <x v="10"/>
    <x v="0"/>
    <x v="26"/>
    <x v="0"/>
    <x v="0"/>
    <n v="9.0629395850000005"/>
  </r>
  <r>
    <x v="0"/>
    <x v="10"/>
    <x v="1"/>
    <x v="26"/>
    <x v="0"/>
    <x v="1"/>
    <n v="5.3182675999999998E-2"/>
  </r>
  <r>
    <x v="0"/>
    <x v="10"/>
    <x v="2"/>
    <x v="26"/>
    <x v="0"/>
    <x v="1"/>
    <n v="5.3657559160000003"/>
  </r>
  <r>
    <x v="0"/>
    <x v="10"/>
    <x v="3"/>
    <x v="26"/>
    <x v="0"/>
    <x v="1"/>
    <n v="6.1780572999999998E-2"/>
  </r>
  <r>
    <x v="0"/>
    <x v="10"/>
    <x v="0"/>
    <x v="27"/>
    <x v="0"/>
    <x v="0"/>
    <n v="490.93452912100003"/>
  </r>
  <r>
    <x v="0"/>
    <x v="10"/>
    <x v="1"/>
    <x v="27"/>
    <x v="0"/>
    <x v="1"/>
    <n v="5.4820130000000002E-2"/>
  </r>
  <r>
    <x v="0"/>
    <x v="10"/>
    <x v="2"/>
    <x v="27"/>
    <x v="0"/>
    <x v="1"/>
    <n v="378.71944958400002"/>
  </r>
  <r>
    <x v="0"/>
    <x v="10"/>
    <x v="3"/>
    <x v="27"/>
    <x v="0"/>
    <x v="1"/>
    <n v="8.4858172999999995E-2"/>
  </r>
  <r>
    <x v="0"/>
    <x v="10"/>
    <x v="0"/>
    <x v="28"/>
    <x v="0"/>
    <x v="0"/>
    <n v="553.95058000500001"/>
  </r>
  <r>
    <x v="0"/>
    <x v="10"/>
    <x v="1"/>
    <x v="28"/>
    <x v="0"/>
    <x v="1"/>
    <n v="4.4339157999999997E-2"/>
  </r>
  <r>
    <x v="0"/>
    <x v="10"/>
    <x v="2"/>
    <x v="28"/>
    <x v="0"/>
    <x v="1"/>
    <n v="296.58526842399999"/>
  </r>
  <r>
    <x v="0"/>
    <x v="10"/>
    <x v="3"/>
    <x v="28"/>
    <x v="0"/>
    <x v="1"/>
    <n v="4.4753788000000003E-2"/>
  </r>
  <r>
    <x v="0"/>
    <x v="10"/>
    <x v="0"/>
    <x v="29"/>
    <x v="0"/>
    <x v="0"/>
    <n v="484.00212051599999"/>
  </r>
  <r>
    <x v="0"/>
    <x v="10"/>
    <x v="1"/>
    <x v="29"/>
    <x v="0"/>
    <x v="1"/>
    <n v="4.8313802000000003E-2"/>
  </r>
  <r>
    <x v="0"/>
    <x v="10"/>
    <x v="2"/>
    <x v="29"/>
    <x v="0"/>
    <x v="1"/>
    <n v="310.650836949"/>
  </r>
  <r>
    <x v="0"/>
    <x v="10"/>
    <x v="3"/>
    <x v="29"/>
    <x v="0"/>
    <x v="1"/>
    <n v="5.2570219000000001E-2"/>
  </r>
  <r>
    <x v="0"/>
    <x v="10"/>
    <x v="0"/>
    <x v="30"/>
    <x v="0"/>
    <x v="0"/>
    <n v="114.669061986"/>
  </r>
  <r>
    <x v="0"/>
    <x v="10"/>
    <x v="1"/>
    <x v="30"/>
    <x v="0"/>
    <x v="1"/>
    <n v="7.5447647000000007E-2"/>
  </r>
  <r>
    <x v="0"/>
    <x v="10"/>
    <x v="2"/>
    <x v="30"/>
    <x v="0"/>
    <x v="1"/>
    <n v="72.023421056999993"/>
  </r>
  <r>
    <x v="0"/>
    <x v="10"/>
    <x v="3"/>
    <x v="30"/>
    <x v="0"/>
    <x v="1"/>
    <n v="8.9170599000000003E-2"/>
  </r>
  <r>
    <x v="0"/>
    <x v="10"/>
    <x v="0"/>
    <x v="31"/>
    <x v="0"/>
    <x v="0"/>
    <n v="181.020335942"/>
  </r>
  <r>
    <x v="0"/>
    <x v="10"/>
    <x v="1"/>
    <x v="31"/>
    <x v="0"/>
    <x v="1"/>
    <n v="3.7618960999999999E-2"/>
  </r>
  <r>
    <x v="0"/>
    <x v="10"/>
    <x v="2"/>
    <x v="31"/>
    <x v="0"/>
    <x v="1"/>
    <n v="99.534785764999995"/>
  </r>
  <r>
    <x v="0"/>
    <x v="10"/>
    <x v="3"/>
    <x v="31"/>
    <x v="0"/>
    <x v="1"/>
    <n v="2.9483282E-2"/>
  </r>
  <r>
    <x v="0"/>
    <x v="10"/>
    <x v="0"/>
    <x v="32"/>
    <x v="0"/>
    <x v="0"/>
    <n v="577.87841846799995"/>
  </r>
  <r>
    <x v="0"/>
    <x v="10"/>
    <x v="1"/>
    <x v="32"/>
    <x v="0"/>
    <x v="1"/>
    <n v="3.9275190000000001E-2"/>
  </r>
  <r>
    <x v="0"/>
    <x v="10"/>
    <x v="2"/>
    <x v="32"/>
    <x v="0"/>
    <x v="1"/>
    <n v="271.80936949800002"/>
  </r>
  <r>
    <x v="0"/>
    <x v="10"/>
    <x v="3"/>
    <x v="32"/>
    <x v="0"/>
    <x v="1"/>
    <n v="3.3071715000000002E-2"/>
  </r>
  <r>
    <x v="0"/>
    <x v="10"/>
    <x v="0"/>
    <x v="33"/>
    <x v="0"/>
    <x v="0"/>
    <n v="555.94919216000005"/>
  </r>
  <r>
    <x v="0"/>
    <x v="10"/>
    <x v="1"/>
    <x v="33"/>
    <x v="0"/>
    <x v="1"/>
    <n v="2.2992360999999999E-2"/>
  </r>
  <r>
    <x v="0"/>
    <x v="10"/>
    <x v="2"/>
    <x v="33"/>
    <x v="0"/>
    <x v="1"/>
    <n v="214.19987415400001"/>
  </r>
  <r>
    <x v="0"/>
    <x v="10"/>
    <x v="3"/>
    <x v="33"/>
    <x v="0"/>
    <x v="1"/>
    <n v="1.0503518E-2"/>
  </r>
  <r>
    <x v="0"/>
    <x v="10"/>
    <x v="0"/>
    <x v="34"/>
    <x v="0"/>
    <x v="0"/>
    <n v="285.18201525799998"/>
  </r>
  <r>
    <x v="0"/>
    <x v="10"/>
    <x v="1"/>
    <x v="34"/>
    <x v="0"/>
    <x v="1"/>
    <n v="5.2180342999999997E-2"/>
  </r>
  <r>
    <x v="0"/>
    <x v="10"/>
    <x v="2"/>
    <x v="34"/>
    <x v="0"/>
    <x v="1"/>
    <n v="201.57937241600001"/>
  </r>
  <r>
    <x v="0"/>
    <x v="10"/>
    <x v="3"/>
    <x v="34"/>
    <x v="0"/>
    <x v="1"/>
    <n v="6.0021119999999997E-2"/>
  </r>
  <r>
    <x v="0"/>
    <x v="10"/>
    <x v="0"/>
    <x v="35"/>
    <x v="0"/>
    <x v="0"/>
    <n v="223.89617435299999"/>
  </r>
  <r>
    <x v="0"/>
    <x v="10"/>
    <x v="1"/>
    <x v="35"/>
    <x v="0"/>
    <x v="1"/>
    <n v="5.4500393000000001E-2"/>
  </r>
  <r>
    <x v="0"/>
    <x v="10"/>
    <x v="2"/>
    <x v="35"/>
    <x v="0"/>
    <x v="1"/>
    <n v="146.99581265699999"/>
  </r>
  <r>
    <x v="0"/>
    <x v="10"/>
    <x v="3"/>
    <x v="35"/>
    <x v="0"/>
    <x v="1"/>
    <n v="6.4732234E-2"/>
  </r>
  <r>
    <x v="0"/>
    <x v="10"/>
    <x v="0"/>
    <x v="36"/>
    <x v="0"/>
    <x v="0"/>
    <n v="72.676298954000004"/>
  </r>
  <r>
    <x v="0"/>
    <x v="10"/>
    <x v="1"/>
    <x v="36"/>
    <x v="0"/>
    <x v="1"/>
    <n v="5.9755324999999998E-2"/>
  </r>
  <r>
    <x v="0"/>
    <x v="10"/>
    <x v="2"/>
    <x v="36"/>
    <x v="0"/>
    <x v="1"/>
    <n v="42.931601428"/>
  </r>
  <r>
    <x v="0"/>
    <x v="10"/>
    <x v="3"/>
    <x v="36"/>
    <x v="0"/>
    <x v="1"/>
    <n v="6.7257051999999998E-2"/>
  </r>
  <r>
    <x v="0"/>
    <x v="10"/>
    <x v="0"/>
    <x v="37"/>
    <x v="0"/>
    <x v="0"/>
    <n v="81.543598618000004"/>
  </r>
  <r>
    <x v="0"/>
    <x v="10"/>
    <x v="1"/>
    <x v="37"/>
    <x v="0"/>
    <x v="1"/>
    <n v="6.7430937999999996E-2"/>
  </r>
  <r>
    <x v="0"/>
    <x v="10"/>
    <x v="2"/>
    <x v="37"/>
    <x v="0"/>
    <x v="1"/>
    <n v="42.856058722999997"/>
  </r>
  <r>
    <x v="0"/>
    <x v="10"/>
    <x v="3"/>
    <x v="37"/>
    <x v="0"/>
    <x v="1"/>
    <n v="8.9672380999999995E-2"/>
  </r>
  <r>
    <x v="0"/>
    <x v="10"/>
    <x v="0"/>
    <x v="38"/>
    <x v="0"/>
    <x v="0"/>
    <n v="244.71741734099999"/>
  </r>
  <r>
    <x v="0"/>
    <x v="10"/>
    <x v="1"/>
    <x v="38"/>
    <x v="0"/>
    <x v="1"/>
    <n v="9.5119097E-2"/>
  </r>
  <r>
    <x v="0"/>
    <x v="10"/>
    <x v="2"/>
    <x v="38"/>
    <x v="0"/>
    <x v="1"/>
    <n v="66.090614251999995"/>
  </r>
  <r>
    <x v="0"/>
    <x v="10"/>
    <x v="3"/>
    <x v="38"/>
    <x v="0"/>
    <x v="1"/>
    <n v="0.11061908500000001"/>
  </r>
  <r>
    <x v="0"/>
    <x v="10"/>
    <x v="0"/>
    <x v="39"/>
    <x v="0"/>
    <x v="0"/>
    <n v="129.55234162599999"/>
  </r>
  <r>
    <x v="0"/>
    <x v="10"/>
    <x v="1"/>
    <x v="39"/>
    <x v="0"/>
    <x v="1"/>
    <n v="7.3290299000000003E-2"/>
  </r>
  <r>
    <x v="0"/>
    <x v="10"/>
    <x v="2"/>
    <x v="39"/>
    <x v="0"/>
    <x v="1"/>
    <n v="74.147258432000001"/>
  </r>
  <r>
    <x v="0"/>
    <x v="10"/>
    <x v="3"/>
    <x v="39"/>
    <x v="0"/>
    <x v="1"/>
    <n v="0.10744944100000001"/>
  </r>
  <r>
    <x v="0"/>
    <x v="10"/>
    <x v="0"/>
    <x v="40"/>
    <x v="0"/>
    <x v="0"/>
    <n v="50.381484993000001"/>
  </r>
  <r>
    <x v="0"/>
    <x v="10"/>
    <x v="1"/>
    <x v="40"/>
    <x v="0"/>
    <x v="1"/>
    <n v="5.9811098E-2"/>
  </r>
  <r>
    <x v="0"/>
    <x v="10"/>
    <x v="2"/>
    <x v="40"/>
    <x v="0"/>
    <x v="1"/>
    <n v="27.002305778"/>
  </r>
  <r>
    <x v="0"/>
    <x v="10"/>
    <x v="3"/>
    <x v="40"/>
    <x v="0"/>
    <x v="1"/>
    <n v="6.6432455000000001E-2"/>
  </r>
  <r>
    <x v="0"/>
    <x v="10"/>
    <x v="0"/>
    <x v="41"/>
    <x v="0"/>
    <x v="0"/>
    <n v="549.72894613899996"/>
  </r>
  <r>
    <x v="0"/>
    <x v="10"/>
    <x v="1"/>
    <x v="41"/>
    <x v="0"/>
    <x v="1"/>
    <n v="8.8360224000000001E-2"/>
  </r>
  <r>
    <x v="0"/>
    <x v="10"/>
    <x v="2"/>
    <x v="41"/>
    <x v="0"/>
    <x v="1"/>
    <n v="221.22229042800001"/>
  </r>
  <r>
    <x v="0"/>
    <x v="10"/>
    <x v="3"/>
    <x v="41"/>
    <x v="0"/>
    <x v="1"/>
    <n v="0.112025866"/>
  </r>
  <r>
    <x v="0"/>
    <x v="10"/>
    <x v="4"/>
    <x v="0"/>
    <x v="1"/>
    <x v="0"/>
    <n v="218.496327893"/>
  </r>
  <r>
    <x v="0"/>
    <x v="10"/>
    <x v="5"/>
    <x v="0"/>
    <x v="1"/>
    <x v="1"/>
    <n v="3.8782999999999998E-5"/>
  </r>
  <r>
    <x v="0"/>
    <x v="10"/>
    <x v="6"/>
    <x v="0"/>
    <x v="1"/>
    <x v="1"/>
    <n v="0.50348828599999995"/>
  </r>
  <r>
    <x v="0"/>
    <x v="10"/>
    <x v="4"/>
    <x v="1"/>
    <x v="1"/>
    <x v="0"/>
    <n v="318.90690836700003"/>
  </r>
  <r>
    <x v="0"/>
    <x v="10"/>
    <x v="5"/>
    <x v="1"/>
    <x v="1"/>
    <x v="1"/>
    <n v="4.5160000000000001E-5"/>
  </r>
  <r>
    <x v="0"/>
    <x v="10"/>
    <x v="6"/>
    <x v="1"/>
    <x v="1"/>
    <x v="1"/>
    <n v="0.50348828599999995"/>
  </r>
  <r>
    <x v="0"/>
    <x v="10"/>
    <x v="4"/>
    <x v="2"/>
    <x v="1"/>
    <x v="0"/>
    <n v="490.19608629499999"/>
  </r>
  <r>
    <x v="0"/>
    <x v="10"/>
    <x v="5"/>
    <x v="2"/>
    <x v="1"/>
    <x v="1"/>
    <n v="1.08337E-4"/>
  </r>
  <r>
    <x v="0"/>
    <x v="10"/>
    <x v="6"/>
    <x v="2"/>
    <x v="1"/>
    <x v="1"/>
    <n v="0.50348828599999995"/>
  </r>
  <r>
    <x v="0"/>
    <x v="10"/>
    <x v="4"/>
    <x v="3"/>
    <x v="1"/>
    <x v="0"/>
    <n v="185.74009445799999"/>
  </r>
  <r>
    <x v="0"/>
    <x v="10"/>
    <x v="5"/>
    <x v="3"/>
    <x v="1"/>
    <x v="1"/>
    <n v="3.9399E-5"/>
  </r>
  <r>
    <x v="0"/>
    <x v="10"/>
    <x v="6"/>
    <x v="3"/>
    <x v="1"/>
    <x v="1"/>
    <n v="0.50348828599999995"/>
  </r>
  <r>
    <x v="0"/>
    <x v="10"/>
    <x v="4"/>
    <x v="4"/>
    <x v="1"/>
    <x v="0"/>
    <n v="83.719770139000005"/>
  </r>
  <r>
    <x v="0"/>
    <x v="10"/>
    <x v="5"/>
    <x v="4"/>
    <x v="1"/>
    <x v="1"/>
    <n v="3.9422999999999998E-5"/>
  </r>
  <r>
    <x v="0"/>
    <x v="10"/>
    <x v="6"/>
    <x v="4"/>
    <x v="1"/>
    <x v="1"/>
    <n v="0.50348828599999995"/>
  </r>
  <r>
    <x v="0"/>
    <x v="10"/>
    <x v="4"/>
    <x v="5"/>
    <x v="1"/>
    <x v="0"/>
    <n v="640.60341063999999"/>
  </r>
  <r>
    <x v="0"/>
    <x v="10"/>
    <x v="5"/>
    <x v="5"/>
    <x v="1"/>
    <x v="1"/>
    <n v="2.0259E-5"/>
  </r>
  <r>
    <x v="0"/>
    <x v="10"/>
    <x v="6"/>
    <x v="5"/>
    <x v="1"/>
    <x v="1"/>
    <n v="0.50348828599999995"/>
  </r>
  <r>
    <x v="0"/>
    <x v="10"/>
    <x v="4"/>
    <x v="6"/>
    <x v="1"/>
    <x v="0"/>
    <n v="187.13969688399999"/>
  </r>
  <r>
    <x v="0"/>
    <x v="10"/>
    <x v="5"/>
    <x v="6"/>
    <x v="1"/>
    <x v="1"/>
    <n v="1.3511E-5"/>
  </r>
  <r>
    <x v="0"/>
    <x v="10"/>
    <x v="6"/>
    <x v="6"/>
    <x v="1"/>
    <x v="1"/>
    <n v="0.50348828599999995"/>
  </r>
  <r>
    <x v="0"/>
    <x v="10"/>
    <x v="4"/>
    <x v="7"/>
    <x v="1"/>
    <x v="0"/>
    <n v="134.672092316"/>
  </r>
  <r>
    <x v="0"/>
    <x v="10"/>
    <x v="5"/>
    <x v="7"/>
    <x v="1"/>
    <x v="1"/>
    <n v="1.043E-5"/>
  </r>
  <r>
    <x v="0"/>
    <x v="10"/>
    <x v="6"/>
    <x v="7"/>
    <x v="1"/>
    <x v="1"/>
    <n v="0.50348828599999995"/>
  </r>
  <r>
    <x v="0"/>
    <x v="10"/>
    <x v="4"/>
    <x v="8"/>
    <x v="1"/>
    <x v="0"/>
    <n v="106.610019044"/>
  </r>
  <r>
    <x v="0"/>
    <x v="10"/>
    <x v="5"/>
    <x v="8"/>
    <x v="1"/>
    <x v="1"/>
    <n v="1.1413999999999999E-5"/>
  </r>
  <r>
    <x v="0"/>
    <x v="10"/>
    <x v="6"/>
    <x v="8"/>
    <x v="1"/>
    <x v="1"/>
    <n v="0.50348828599999995"/>
  </r>
  <r>
    <x v="0"/>
    <x v="10"/>
    <x v="4"/>
    <x v="9"/>
    <x v="1"/>
    <x v="0"/>
    <n v="223.109572023"/>
  </r>
  <r>
    <x v="0"/>
    <x v="10"/>
    <x v="5"/>
    <x v="9"/>
    <x v="1"/>
    <x v="1"/>
    <n v="2.8257000000000001E-5"/>
  </r>
  <r>
    <x v="0"/>
    <x v="10"/>
    <x v="6"/>
    <x v="9"/>
    <x v="1"/>
    <x v="1"/>
    <n v="0.50348828599999995"/>
  </r>
  <r>
    <x v="0"/>
    <x v="10"/>
    <x v="4"/>
    <x v="10"/>
    <x v="1"/>
    <x v="0"/>
    <n v="167.575427244"/>
  </r>
  <r>
    <x v="0"/>
    <x v="10"/>
    <x v="5"/>
    <x v="10"/>
    <x v="1"/>
    <x v="1"/>
    <n v="2.9782999999999999E-5"/>
  </r>
  <r>
    <x v="0"/>
    <x v="10"/>
    <x v="6"/>
    <x v="10"/>
    <x v="1"/>
    <x v="1"/>
    <n v="0.50348828599999995"/>
  </r>
  <r>
    <x v="0"/>
    <x v="10"/>
    <x v="4"/>
    <x v="11"/>
    <x v="1"/>
    <x v="0"/>
    <n v="924.81337031199996"/>
  </r>
  <r>
    <x v="0"/>
    <x v="10"/>
    <x v="5"/>
    <x v="11"/>
    <x v="1"/>
    <x v="1"/>
    <n v="2.1863000000000001E-5"/>
  </r>
  <r>
    <x v="0"/>
    <x v="10"/>
    <x v="6"/>
    <x v="11"/>
    <x v="1"/>
    <x v="1"/>
    <n v="0.50348828599999995"/>
  </r>
  <r>
    <x v="0"/>
    <x v="10"/>
    <x v="4"/>
    <x v="12"/>
    <x v="1"/>
    <x v="0"/>
    <n v="320.67728392100003"/>
  </r>
  <r>
    <x v="0"/>
    <x v="10"/>
    <x v="5"/>
    <x v="12"/>
    <x v="1"/>
    <x v="1"/>
    <n v="1.31E-5"/>
  </r>
  <r>
    <x v="0"/>
    <x v="10"/>
    <x v="6"/>
    <x v="12"/>
    <x v="1"/>
    <x v="1"/>
    <n v="0.50348828599999995"/>
  </r>
  <r>
    <x v="0"/>
    <x v="10"/>
    <x v="4"/>
    <x v="13"/>
    <x v="1"/>
    <x v="0"/>
    <n v="756.02182026599996"/>
  </r>
  <r>
    <x v="0"/>
    <x v="10"/>
    <x v="5"/>
    <x v="13"/>
    <x v="1"/>
    <x v="1"/>
    <n v="1.4603999999999999E-5"/>
  </r>
  <r>
    <x v="0"/>
    <x v="10"/>
    <x v="6"/>
    <x v="13"/>
    <x v="1"/>
    <x v="1"/>
    <n v="0.50348828599999995"/>
  </r>
  <r>
    <x v="0"/>
    <x v="10"/>
    <x v="4"/>
    <x v="14"/>
    <x v="1"/>
    <x v="0"/>
    <n v="186.640355664"/>
  </r>
  <r>
    <x v="0"/>
    <x v="10"/>
    <x v="5"/>
    <x v="14"/>
    <x v="1"/>
    <x v="1"/>
    <n v="1.6093E-5"/>
  </r>
  <r>
    <x v="0"/>
    <x v="10"/>
    <x v="6"/>
    <x v="14"/>
    <x v="1"/>
    <x v="1"/>
    <n v="0.50348828599999995"/>
  </r>
  <r>
    <x v="0"/>
    <x v="10"/>
    <x v="4"/>
    <x v="15"/>
    <x v="1"/>
    <x v="0"/>
    <n v="216.86163751399999"/>
  </r>
  <r>
    <x v="0"/>
    <x v="10"/>
    <x v="5"/>
    <x v="15"/>
    <x v="1"/>
    <x v="1"/>
    <n v="1.1827999999999999E-5"/>
  </r>
  <r>
    <x v="0"/>
    <x v="10"/>
    <x v="6"/>
    <x v="15"/>
    <x v="1"/>
    <x v="1"/>
    <n v="0.50348828599999995"/>
  </r>
  <r>
    <x v="0"/>
    <x v="10"/>
    <x v="4"/>
    <x v="16"/>
    <x v="1"/>
    <x v="0"/>
    <n v="157.69165609999999"/>
  </r>
  <r>
    <x v="0"/>
    <x v="10"/>
    <x v="5"/>
    <x v="16"/>
    <x v="1"/>
    <x v="1"/>
    <n v="9.1160000000000005E-6"/>
  </r>
  <r>
    <x v="0"/>
    <x v="10"/>
    <x v="6"/>
    <x v="16"/>
    <x v="1"/>
    <x v="1"/>
    <n v="0.50348828599999995"/>
  </r>
  <r>
    <x v="0"/>
    <x v="10"/>
    <x v="4"/>
    <x v="17"/>
    <x v="1"/>
    <x v="0"/>
    <n v="321.06705090700001"/>
  </r>
  <r>
    <x v="0"/>
    <x v="10"/>
    <x v="5"/>
    <x v="17"/>
    <x v="1"/>
    <x v="1"/>
    <n v="1.1263E-5"/>
  </r>
  <r>
    <x v="0"/>
    <x v="10"/>
    <x v="6"/>
    <x v="17"/>
    <x v="1"/>
    <x v="1"/>
    <n v="0.50348828599999995"/>
  </r>
  <r>
    <x v="0"/>
    <x v="10"/>
    <x v="4"/>
    <x v="18"/>
    <x v="1"/>
    <x v="0"/>
    <n v="257.553610875"/>
  </r>
  <r>
    <x v="0"/>
    <x v="10"/>
    <x v="5"/>
    <x v="18"/>
    <x v="1"/>
    <x v="1"/>
    <n v="1.2543E-5"/>
  </r>
  <r>
    <x v="0"/>
    <x v="10"/>
    <x v="6"/>
    <x v="18"/>
    <x v="1"/>
    <x v="1"/>
    <n v="0.50348828599999995"/>
  </r>
  <r>
    <x v="0"/>
    <x v="10"/>
    <x v="4"/>
    <x v="19"/>
    <x v="1"/>
    <x v="0"/>
    <n v="269.43579951300001"/>
  </r>
  <r>
    <x v="0"/>
    <x v="10"/>
    <x v="5"/>
    <x v="19"/>
    <x v="1"/>
    <x v="1"/>
    <n v="1.1790000000000001E-5"/>
  </r>
  <r>
    <x v="0"/>
    <x v="10"/>
    <x v="6"/>
    <x v="19"/>
    <x v="1"/>
    <x v="1"/>
    <n v="0.50348828599999995"/>
  </r>
  <r>
    <x v="0"/>
    <x v="10"/>
    <x v="4"/>
    <x v="20"/>
    <x v="1"/>
    <x v="0"/>
    <n v="43.426089298999997"/>
  </r>
  <r>
    <x v="0"/>
    <x v="10"/>
    <x v="5"/>
    <x v="20"/>
    <x v="1"/>
    <x v="1"/>
    <n v="2.3535000000000001E-5"/>
  </r>
  <r>
    <x v="0"/>
    <x v="10"/>
    <x v="6"/>
    <x v="20"/>
    <x v="1"/>
    <x v="1"/>
    <n v="0.50348828599999995"/>
  </r>
  <r>
    <x v="0"/>
    <x v="10"/>
    <x v="4"/>
    <x v="21"/>
    <x v="1"/>
    <x v="0"/>
    <n v="15.667816191"/>
  </r>
  <r>
    <x v="0"/>
    <x v="10"/>
    <x v="5"/>
    <x v="21"/>
    <x v="1"/>
    <x v="1"/>
    <n v="2.181E-5"/>
  </r>
  <r>
    <x v="0"/>
    <x v="10"/>
    <x v="6"/>
    <x v="21"/>
    <x v="1"/>
    <x v="1"/>
    <n v="0.50348828599999995"/>
  </r>
  <r>
    <x v="0"/>
    <x v="10"/>
    <x v="4"/>
    <x v="22"/>
    <x v="1"/>
    <x v="0"/>
    <n v="272.24197991300002"/>
  </r>
  <r>
    <x v="0"/>
    <x v="10"/>
    <x v="5"/>
    <x v="22"/>
    <x v="1"/>
    <x v="1"/>
    <n v="2.9505999999999998E-5"/>
  </r>
  <r>
    <x v="0"/>
    <x v="10"/>
    <x v="6"/>
    <x v="22"/>
    <x v="1"/>
    <x v="1"/>
    <n v="0.50348828599999995"/>
  </r>
  <r>
    <x v="0"/>
    <x v="10"/>
    <x v="4"/>
    <x v="23"/>
    <x v="1"/>
    <x v="0"/>
    <n v="3.119629572"/>
  </r>
  <r>
    <x v="0"/>
    <x v="10"/>
    <x v="5"/>
    <x v="23"/>
    <x v="1"/>
    <x v="1"/>
    <n v="3.4709999999999998E-5"/>
  </r>
  <r>
    <x v="0"/>
    <x v="10"/>
    <x v="6"/>
    <x v="23"/>
    <x v="1"/>
    <x v="1"/>
    <n v="0.50348828599999995"/>
  </r>
  <r>
    <x v="0"/>
    <x v="10"/>
    <x v="4"/>
    <x v="24"/>
    <x v="1"/>
    <x v="0"/>
    <n v="565.78602597400004"/>
  </r>
  <r>
    <x v="0"/>
    <x v="10"/>
    <x v="5"/>
    <x v="24"/>
    <x v="1"/>
    <x v="1"/>
    <n v="2.232E-5"/>
  </r>
  <r>
    <x v="0"/>
    <x v="10"/>
    <x v="6"/>
    <x v="24"/>
    <x v="1"/>
    <x v="1"/>
    <n v="0.50348828599999995"/>
  </r>
  <r>
    <x v="0"/>
    <x v="10"/>
    <x v="4"/>
    <x v="25"/>
    <x v="1"/>
    <x v="0"/>
    <n v="30.505478209"/>
  </r>
  <r>
    <x v="0"/>
    <x v="10"/>
    <x v="5"/>
    <x v="25"/>
    <x v="1"/>
    <x v="1"/>
    <n v="1.5671E-5"/>
  </r>
  <r>
    <x v="0"/>
    <x v="10"/>
    <x v="6"/>
    <x v="25"/>
    <x v="1"/>
    <x v="1"/>
    <n v="0.50348828599999995"/>
  </r>
  <r>
    <x v="0"/>
    <x v="10"/>
    <x v="4"/>
    <x v="26"/>
    <x v="1"/>
    <x v="0"/>
    <n v="22.243324765000001"/>
  </r>
  <r>
    <x v="0"/>
    <x v="10"/>
    <x v="5"/>
    <x v="26"/>
    <x v="1"/>
    <x v="1"/>
    <n v="1.5111E-5"/>
  </r>
  <r>
    <x v="0"/>
    <x v="10"/>
    <x v="6"/>
    <x v="26"/>
    <x v="1"/>
    <x v="1"/>
    <n v="0.50348828599999995"/>
  </r>
  <r>
    <x v="0"/>
    <x v="10"/>
    <x v="4"/>
    <x v="27"/>
    <x v="1"/>
    <x v="0"/>
    <n v="559.92552177100004"/>
  </r>
  <r>
    <x v="0"/>
    <x v="10"/>
    <x v="5"/>
    <x v="27"/>
    <x v="1"/>
    <x v="1"/>
    <n v="8.2050000000000002E-6"/>
  </r>
  <r>
    <x v="0"/>
    <x v="10"/>
    <x v="6"/>
    <x v="27"/>
    <x v="1"/>
    <x v="1"/>
    <n v="0.50348828599999995"/>
  </r>
  <r>
    <x v="0"/>
    <x v="10"/>
    <x v="4"/>
    <x v="28"/>
    <x v="1"/>
    <x v="0"/>
    <n v="1599.2023534800001"/>
  </r>
  <r>
    <x v="0"/>
    <x v="10"/>
    <x v="5"/>
    <x v="28"/>
    <x v="1"/>
    <x v="1"/>
    <n v="2.5582E-5"/>
  </r>
  <r>
    <x v="0"/>
    <x v="10"/>
    <x v="6"/>
    <x v="28"/>
    <x v="1"/>
    <x v="1"/>
    <n v="0.50348828599999995"/>
  </r>
  <r>
    <x v="0"/>
    <x v="10"/>
    <x v="4"/>
    <x v="29"/>
    <x v="1"/>
    <x v="0"/>
    <n v="982.58799378900005"/>
  </r>
  <r>
    <x v="0"/>
    <x v="10"/>
    <x v="5"/>
    <x v="29"/>
    <x v="1"/>
    <x v="1"/>
    <n v="2.8286999999999999E-5"/>
  </r>
  <r>
    <x v="0"/>
    <x v="10"/>
    <x v="6"/>
    <x v="29"/>
    <x v="1"/>
    <x v="1"/>
    <n v="0.50348828599999995"/>
  </r>
  <r>
    <x v="0"/>
    <x v="10"/>
    <x v="4"/>
    <x v="30"/>
    <x v="1"/>
    <x v="0"/>
    <n v="167.77098316999999"/>
  </r>
  <r>
    <x v="0"/>
    <x v="10"/>
    <x v="5"/>
    <x v="30"/>
    <x v="1"/>
    <x v="1"/>
    <n v="1.5184000000000001E-5"/>
  </r>
  <r>
    <x v="0"/>
    <x v="10"/>
    <x v="6"/>
    <x v="30"/>
    <x v="1"/>
    <x v="1"/>
    <n v="0.50348828599999995"/>
  </r>
  <r>
    <x v="0"/>
    <x v="10"/>
    <x v="4"/>
    <x v="31"/>
    <x v="1"/>
    <x v="0"/>
    <n v="596.02513288299997"/>
  </r>
  <r>
    <x v="0"/>
    <x v="10"/>
    <x v="5"/>
    <x v="31"/>
    <x v="1"/>
    <x v="1"/>
    <n v="1.9055E-5"/>
  </r>
  <r>
    <x v="0"/>
    <x v="10"/>
    <x v="6"/>
    <x v="31"/>
    <x v="1"/>
    <x v="1"/>
    <n v="0.50348828599999995"/>
  </r>
  <r>
    <x v="0"/>
    <x v="10"/>
    <x v="4"/>
    <x v="32"/>
    <x v="1"/>
    <x v="0"/>
    <n v="1896.726580411"/>
  </r>
  <r>
    <x v="0"/>
    <x v="10"/>
    <x v="5"/>
    <x v="32"/>
    <x v="1"/>
    <x v="1"/>
    <n v="3.4903000000000001E-5"/>
  </r>
  <r>
    <x v="0"/>
    <x v="10"/>
    <x v="6"/>
    <x v="32"/>
    <x v="1"/>
    <x v="1"/>
    <n v="0.50348828599999995"/>
  </r>
  <r>
    <x v="0"/>
    <x v="10"/>
    <x v="4"/>
    <x v="33"/>
    <x v="1"/>
    <x v="0"/>
    <n v="2076.5594441610001"/>
  </r>
  <r>
    <x v="0"/>
    <x v="10"/>
    <x v="5"/>
    <x v="33"/>
    <x v="1"/>
    <x v="1"/>
    <n v="3.6343000000000001E-5"/>
  </r>
  <r>
    <x v="0"/>
    <x v="10"/>
    <x v="6"/>
    <x v="33"/>
    <x v="1"/>
    <x v="1"/>
    <n v="0.50348828599999995"/>
  </r>
  <r>
    <x v="0"/>
    <x v="10"/>
    <x v="4"/>
    <x v="34"/>
    <x v="1"/>
    <x v="0"/>
    <n v="421.57412261500002"/>
  </r>
  <r>
    <x v="0"/>
    <x v="10"/>
    <x v="5"/>
    <x v="34"/>
    <x v="1"/>
    <x v="1"/>
    <n v="3.3340999999999998E-5"/>
  </r>
  <r>
    <x v="0"/>
    <x v="10"/>
    <x v="6"/>
    <x v="34"/>
    <x v="1"/>
    <x v="1"/>
    <n v="0.50348828599999995"/>
  </r>
  <r>
    <x v="0"/>
    <x v="10"/>
    <x v="4"/>
    <x v="35"/>
    <x v="1"/>
    <x v="0"/>
    <n v="351.35568647299999"/>
  </r>
  <r>
    <x v="0"/>
    <x v="10"/>
    <x v="5"/>
    <x v="35"/>
    <x v="1"/>
    <x v="1"/>
    <n v="3.9811000000000002E-5"/>
  </r>
  <r>
    <x v="0"/>
    <x v="10"/>
    <x v="6"/>
    <x v="35"/>
    <x v="1"/>
    <x v="1"/>
    <n v="0.50348828599999995"/>
  </r>
  <r>
    <x v="0"/>
    <x v="10"/>
    <x v="4"/>
    <x v="36"/>
    <x v="1"/>
    <x v="0"/>
    <n v="116.071937092"/>
  </r>
  <r>
    <x v="0"/>
    <x v="10"/>
    <x v="5"/>
    <x v="36"/>
    <x v="1"/>
    <x v="1"/>
    <n v="6.6402000000000006E-5"/>
  </r>
  <r>
    <x v="0"/>
    <x v="10"/>
    <x v="6"/>
    <x v="36"/>
    <x v="1"/>
    <x v="1"/>
    <n v="0.50348828599999995"/>
  </r>
  <r>
    <x v="0"/>
    <x v="10"/>
    <x v="4"/>
    <x v="37"/>
    <x v="1"/>
    <x v="0"/>
    <n v="146.91321613100001"/>
  </r>
  <r>
    <x v="0"/>
    <x v="10"/>
    <x v="5"/>
    <x v="37"/>
    <x v="1"/>
    <x v="1"/>
    <n v="1.6787E-5"/>
  </r>
  <r>
    <x v="0"/>
    <x v="10"/>
    <x v="6"/>
    <x v="37"/>
    <x v="1"/>
    <x v="1"/>
    <n v="0.50348828599999995"/>
  </r>
  <r>
    <x v="0"/>
    <x v="10"/>
    <x v="4"/>
    <x v="38"/>
    <x v="1"/>
    <x v="0"/>
    <n v="258.27411249300002"/>
  </r>
  <r>
    <x v="0"/>
    <x v="10"/>
    <x v="5"/>
    <x v="38"/>
    <x v="1"/>
    <x v="1"/>
    <n v="7.2849000000000007E-5"/>
  </r>
  <r>
    <x v="0"/>
    <x v="10"/>
    <x v="6"/>
    <x v="38"/>
    <x v="1"/>
    <x v="1"/>
    <n v="0.50348828599999995"/>
  </r>
  <r>
    <x v="0"/>
    <x v="10"/>
    <x v="4"/>
    <x v="39"/>
    <x v="1"/>
    <x v="0"/>
    <n v="117.445345532"/>
  </r>
  <r>
    <x v="0"/>
    <x v="10"/>
    <x v="5"/>
    <x v="39"/>
    <x v="1"/>
    <x v="1"/>
    <n v="2.5225E-5"/>
  </r>
  <r>
    <x v="0"/>
    <x v="10"/>
    <x v="6"/>
    <x v="39"/>
    <x v="1"/>
    <x v="1"/>
    <n v="0.50348828599999995"/>
  </r>
  <r>
    <x v="0"/>
    <x v="10"/>
    <x v="4"/>
    <x v="40"/>
    <x v="1"/>
    <x v="0"/>
    <n v="115.257940387"/>
  </r>
  <r>
    <x v="0"/>
    <x v="10"/>
    <x v="5"/>
    <x v="40"/>
    <x v="1"/>
    <x v="1"/>
    <n v="2.6891999999999999E-5"/>
  </r>
  <r>
    <x v="0"/>
    <x v="10"/>
    <x v="6"/>
    <x v="40"/>
    <x v="1"/>
    <x v="1"/>
    <n v="0.50348828599999995"/>
  </r>
  <r>
    <x v="0"/>
    <x v="10"/>
    <x v="4"/>
    <x v="41"/>
    <x v="1"/>
    <x v="0"/>
    <n v="376.82985277699999"/>
  </r>
  <r>
    <x v="0"/>
    <x v="10"/>
    <x v="5"/>
    <x v="41"/>
    <x v="1"/>
    <x v="1"/>
    <n v="1.4770500000000001E-4"/>
  </r>
  <r>
    <x v="0"/>
    <x v="10"/>
    <x v="6"/>
    <x v="41"/>
    <x v="1"/>
    <x v="1"/>
    <n v="0.50348828599999995"/>
  </r>
  <r>
    <x v="0"/>
    <x v="10"/>
    <x v="7"/>
    <x v="0"/>
    <x v="2"/>
    <x v="2"/>
    <n v="394.881827241"/>
  </r>
  <r>
    <x v="0"/>
    <x v="10"/>
    <x v="7"/>
    <x v="1"/>
    <x v="2"/>
    <x v="2"/>
    <n v="45.711359842999997"/>
  </r>
  <r>
    <x v="0"/>
    <x v="10"/>
    <x v="7"/>
    <x v="2"/>
    <x v="2"/>
    <x v="2"/>
    <n v="19.822125687"/>
  </r>
  <r>
    <x v="0"/>
    <x v="10"/>
    <x v="7"/>
    <x v="3"/>
    <x v="2"/>
    <x v="2"/>
    <n v="15.557151432"/>
  </r>
  <r>
    <x v="0"/>
    <x v="10"/>
    <x v="7"/>
    <x v="4"/>
    <x v="2"/>
    <x v="2"/>
    <n v="9.1314826510000007"/>
  </r>
  <r>
    <x v="0"/>
    <x v="10"/>
    <x v="7"/>
    <x v="5"/>
    <x v="2"/>
    <x v="2"/>
    <n v="33.459775510999997"/>
  </r>
  <r>
    <x v="0"/>
    <x v="10"/>
    <x v="7"/>
    <x v="6"/>
    <x v="2"/>
    <x v="2"/>
    <n v="13.802856217"/>
  </r>
  <r>
    <x v="0"/>
    <x v="10"/>
    <x v="7"/>
    <x v="7"/>
    <x v="2"/>
    <x v="2"/>
    <n v="12.587802393"/>
  </r>
  <r>
    <x v="0"/>
    <x v="10"/>
    <x v="7"/>
    <x v="8"/>
    <x v="2"/>
    <x v="2"/>
    <n v="7.0325448850000001"/>
  </r>
  <r>
    <x v="0"/>
    <x v="10"/>
    <x v="7"/>
    <x v="9"/>
    <x v="2"/>
    <x v="2"/>
    <n v="20.738011577999998"/>
  </r>
  <r>
    <x v="0"/>
    <x v="10"/>
    <x v="7"/>
    <x v="10"/>
    <x v="2"/>
    <x v="2"/>
    <n v="9.5679888359999996"/>
  </r>
  <r>
    <x v="0"/>
    <x v="10"/>
    <x v="7"/>
    <x v="11"/>
    <x v="2"/>
    <x v="2"/>
    <n v="43.384975447000002"/>
  </r>
  <r>
    <x v="0"/>
    <x v="10"/>
    <x v="7"/>
    <x v="12"/>
    <x v="2"/>
    <x v="2"/>
    <n v="19.188394725999999"/>
  </r>
  <r>
    <x v="0"/>
    <x v="10"/>
    <x v="7"/>
    <x v="13"/>
    <x v="2"/>
    <x v="2"/>
    <n v="26.954408078"/>
  </r>
  <r>
    <x v="0"/>
    <x v="10"/>
    <x v="7"/>
    <x v="14"/>
    <x v="2"/>
    <x v="2"/>
    <n v="12.944579482"/>
  </r>
  <r>
    <x v="0"/>
    <x v="10"/>
    <x v="7"/>
    <x v="15"/>
    <x v="2"/>
    <x v="2"/>
    <n v="16.042909104"/>
  </r>
  <r>
    <x v="0"/>
    <x v="10"/>
    <x v="7"/>
    <x v="16"/>
    <x v="2"/>
    <x v="2"/>
    <n v="10.705590372"/>
  </r>
  <r>
    <x v="0"/>
    <x v="10"/>
    <x v="7"/>
    <x v="17"/>
    <x v="2"/>
    <x v="2"/>
    <n v="21.795903891999998"/>
  </r>
  <r>
    <x v="0"/>
    <x v="10"/>
    <x v="7"/>
    <x v="18"/>
    <x v="2"/>
    <x v="2"/>
    <n v="13.484926398000001"/>
  </r>
  <r>
    <x v="0"/>
    <x v="10"/>
    <x v="7"/>
    <x v="19"/>
    <x v="2"/>
    <x v="2"/>
    <n v="22.811193891999999"/>
  </r>
  <r>
    <x v="0"/>
    <x v="10"/>
    <x v="7"/>
    <x v="20"/>
    <x v="2"/>
    <x v="2"/>
    <n v="3.1904291859999998"/>
  </r>
  <r>
    <x v="0"/>
    <x v="10"/>
    <x v="7"/>
    <x v="21"/>
    <x v="2"/>
    <x v="2"/>
    <n v="1.424352007"/>
  </r>
  <r>
    <x v="0"/>
    <x v="10"/>
    <x v="7"/>
    <x v="22"/>
    <x v="2"/>
    <x v="2"/>
    <n v="0.98547316500000004"/>
  </r>
  <r>
    <x v="0"/>
    <x v="10"/>
    <x v="7"/>
    <x v="23"/>
    <x v="2"/>
    <x v="2"/>
    <n v="0.925466397"/>
  </r>
  <r>
    <x v="0"/>
    <x v="10"/>
    <x v="7"/>
    <x v="24"/>
    <x v="2"/>
    <x v="2"/>
    <n v="19.810908497"/>
  </r>
  <r>
    <x v="0"/>
    <x v="10"/>
    <x v="7"/>
    <x v="25"/>
    <x v="2"/>
    <x v="2"/>
    <n v="0.87282457400000002"/>
  </r>
  <r>
    <x v="0"/>
    <x v="10"/>
    <x v="7"/>
    <x v="26"/>
    <x v="2"/>
    <x v="2"/>
    <n v="1.7257248329999999"/>
  </r>
  <r>
    <x v="0"/>
    <x v="10"/>
    <x v="7"/>
    <x v="27"/>
    <x v="2"/>
    <x v="2"/>
    <n v="71.229227527999996"/>
  </r>
  <r>
    <x v="0"/>
    <x v="10"/>
    <x v="7"/>
    <x v="28"/>
    <x v="2"/>
    <x v="2"/>
    <n v="87.710714168999999"/>
  </r>
  <r>
    <x v="0"/>
    <x v="10"/>
    <x v="7"/>
    <x v="29"/>
    <x v="2"/>
    <x v="2"/>
    <n v="69.094455488999998"/>
  </r>
  <r>
    <x v="0"/>
    <x v="10"/>
    <x v="7"/>
    <x v="30"/>
    <x v="2"/>
    <x v="2"/>
    <n v="28.387153783999999"/>
  </r>
  <r>
    <x v="0"/>
    <x v="10"/>
    <x v="7"/>
    <x v="31"/>
    <x v="2"/>
    <x v="2"/>
    <n v="18.490261705000002"/>
  </r>
  <r>
    <x v="0"/>
    <x v="10"/>
    <x v="7"/>
    <x v="32"/>
    <x v="2"/>
    <x v="2"/>
    <n v="77.514665374000003"/>
  </r>
  <r>
    <x v="0"/>
    <x v="10"/>
    <x v="7"/>
    <x v="33"/>
    <x v="2"/>
    <x v="2"/>
    <n v="27.882227559"/>
  </r>
  <r>
    <x v="0"/>
    <x v="10"/>
    <x v="7"/>
    <x v="34"/>
    <x v="2"/>
    <x v="2"/>
    <n v="37.895776073999997"/>
  </r>
  <r>
    <x v="0"/>
    <x v="10"/>
    <x v="7"/>
    <x v="35"/>
    <x v="2"/>
    <x v="2"/>
    <n v="37.500675131999998"/>
  </r>
  <r>
    <x v="0"/>
    <x v="10"/>
    <x v="7"/>
    <x v="36"/>
    <x v="2"/>
    <x v="2"/>
    <n v="15.035631626000001"/>
  </r>
  <r>
    <x v="0"/>
    <x v="10"/>
    <x v="7"/>
    <x v="37"/>
    <x v="2"/>
    <x v="2"/>
    <n v="25.89076764"/>
  </r>
  <r>
    <x v="0"/>
    <x v="10"/>
    <x v="7"/>
    <x v="38"/>
    <x v="2"/>
    <x v="2"/>
    <n v="146.191151074"/>
  </r>
  <r>
    <x v="0"/>
    <x v="10"/>
    <x v="7"/>
    <x v="39"/>
    <x v="2"/>
    <x v="2"/>
    <n v="44.119627913999999"/>
  </r>
  <r>
    <x v="0"/>
    <x v="10"/>
    <x v="7"/>
    <x v="40"/>
    <x v="2"/>
    <x v="2"/>
    <n v="11.699992932000001"/>
  </r>
  <r>
    <x v="0"/>
    <x v="10"/>
    <x v="7"/>
    <x v="41"/>
    <x v="2"/>
    <x v="2"/>
    <n v="271.97326100100003"/>
  </r>
  <r>
    <x v="0"/>
    <x v="10"/>
    <x v="8"/>
    <x v="0"/>
    <x v="2"/>
    <x v="3"/>
    <n v="6.8928319000000002E-2"/>
  </r>
  <r>
    <x v="0"/>
    <x v="10"/>
    <x v="8"/>
    <x v="1"/>
    <x v="2"/>
    <x v="3"/>
    <n v="6.8928319000000002E-2"/>
  </r>
  <r>
    <x v="0"/>
    <x v="10"/>
    <x v="8"/>
    <x v="2"/>
    <x v="2"/>
    <x v="3"/>
    <n v="6.8928319000000002E-2"/>
  </r>
  <r>
    <x v="0"/>
    <x v="10"/>
    <x v="8"/>
    <x v="3"/>
    <x v="2"/>
    <x v="3"/>
    <n v="6.8928319000000002E-2"/>
  </r>
  <r>
    <x v="0"/>
    <x v="10"/>
    <x v="8"/>
    <x v="4"/>
    <x v="2"/>
    <x v="3"/>
    <n v="6.8928319000000002E-2"/>
  </r>
  <r>
    <x v="0"/>
    <x v="10"/>
    <x v="8"/>
    <x v="5"/>
    <x v="2"/>
    <x v="3"/>
    <n v="6.8928319000000002E-2"/>
  </r>
  <r>
    <x v="0"/>
    <x v="10"/>
    <x v="8"/>
    <x v="6"/>
    <x v="2"/>
    <x v="3"/>
    <n v="6.8928319000000002E-2"/>
  </r>
  <r>
    <x v="0"/>
    <x v="10"/>
    <x v="8"/>
    <x v="7"/>
    <x v="2"/>
    <x v="3"/>
    <n v="6.8928319000000002E-2"/>
  </r>
  <r>
    <x v="0"/>
    <x v="10"/>
    <x v="8"/>
    <x v="8"/>
    <x v="2"/>
    <x v="3"/>
    <n v="6.8928319000000002E-2"/>
  </r>
  <r>
    <x v="0"/>
    <x v="10"/>
    <x v="8"/>
    <x v="9"/>
    <x v="2"/>
    <x v="3"/>
    <n v="6.8928319000000002E-2"/>
  </r>
  <r>
    <x v="0"/>
    <x v="10"/>
    <x v="8"/>
    <x v="10"/>
    <x v="2"/>
    <x v="3"/>
    <n v="6.8928319000000002E-2"/>
  </r>
  <r>
    <x v="0"/>
    <x v="10"/>
    <x v="8"/>
    <x v="11"/>
    <x v="2"/>
    <x v="3"/>
    <n v="6.8928319000000002E-2"/>
  </r>
  <r>
    <x v="0"/>
    <x v="10"/>
    <x v="8"/>
    <x v="12"/>
    <x v="2"/>
    <x v="3"/>
    <n v="6.8928319000000002E-2"/>
  </r>
  <r>
    <x v="0"/>
    <x v="10"/>
    <x v="8"/>
    <x v="13"/>
    <x v="2"/>
    <x v="3"/>
    <n v="6.8928319000000002E-2"/>
  </r>
  <r>
    <x v="0"/>
    <x v="10"/>
    <x v="8"/>
    <x v="14"/>
    <x v="2"/>
    <x v="3"/>
    <n v="6.8928319000000002E-2"/>
  </r>
  <r>
    <x v="0"/>
    <x v="10"/>
    <x v="8"/>
    <x v="15"/>
    <x v="2"/>
    <x v="3"/>
    <n v="6.8928319000000002E-2"/>
  </r>
  <r>
    <x v="0"/>
    <x v="10"/>
    <x v="8"/>
    <x v="16"/>
    <x v="2"/>
    <x v="3"/>
    <n v="6.8928319000000002E-2"/>
  </r>
  <r>
    <x v="0"/>
    <x v="10"/>
    <x v="8"/>
    <x v="17"/>
    <x v="2"/>
    <x v="3"/>
    <n v="6.8928319000000002E-2"/>
  </r>
  <r>
    <x v="0"/>
    <x v="10"/>
    <x v="8"/>
    <x v="18"/>
    <x v="2"/>
    <x v="3"/>
    <n v="6.8928319000000002E-2"/>
  </r>
  <r>
    <x v="0"/>
    <x v="10"/>
    <x v="8"/>
    <x v="19"/>
    <x v="2"/>
    <x v="3"/>
    <n v="6.8928319000000002E-2"/>
  </r>
  <r>
    <x v="0"/>
    <x v="10"/>
    <x v="8"/>
    <x v="20"/>
    <x v="2"/>
    <x v="3"/>
    <n v="6.8928319000000002E-2"/>
  </r>
  <r>
    <x v="0"/>
    <x v="10"/>
    <x v="8"/>
    <x v="21"/>
    <x v="2"/>
    <x v="3"/>
    <n v="6.8928319000000002E-2"/>
  </r>
  <r>
    <x v="0"/>
    <x v="10"/>
    <x v="8"/>
    <x v="22"/>
    <x v="2"/>
    <x v="3"/>
    <n v="6.8928319000000002E-2"/>
  </r>
  <r>
    <x v="0"/>
    <x v="10"/>
    <x v="8"/>
    <x v="23"/>
    <x v="2"/>
    <x v="3"/>
    <n v="6.8928319000000002E-2"/>
  </r>
  <r>
    <x v="0"/>
    <x v="10"/>
    <x v="8"/>
    <x v="24"/>
    <x v="2"/>
    <x v="3"/>
    <n v="6.8928319000000002E-2"/>
  </r>
  <r>
    <x v="0"/>
    <x v="10"/>
    <x v="8"/>
    <x v="25"/>
    <x v="2"/>
    <x v="3"/>
    <n v="6.8928319000000002E-2"/>
  </r>
  <r>
    <x v="0"/>
    <x v="10"/>
    <x v="8"/>
    <x v="26"/>
    <x v="2"/>
    <x v="3"/>
    <n v="6.8928319000000002E-2"/>
  </r>
  <r>
    <x v="0"/>
    <x v="10"/>
    <x v="8"/>
    <x v="27"/>
    <x v="2"/>
    <x v="3"/>
    <n v="6.8928319000000002E-2"/>
  </r>
  <r>
    <x v="0"/>
    <x v="10"/>
    <x v="8"/>
    <x v="28"/>
    <x v="2"/>
    <x v="3"/>
    <n v="6.8928319000000002E-2"/>
  </r>
  <r>
    <x v="0"/>
    <x v="10"/>
    <x v="8"/>
    <x v="29"/>
    <x v="2"/>
    <x v="3"/>
    <n v="6.8928319000000002E-2"/>
  </r>
  <r>
    <x v="0"/>
    <x v="10"/>
    <x v="8"/>
    <x v="30"/>
    <x v="2"/>
    <x v="3"/>
    <n v="6.8928319000000002E-2"/>
  </r>
  <r>
    <x v="0"/>
    <x v="10"/>
    <x v="8"/>
    <x v="31"/>
    <x v="2"/>
    <x v="3"/>
    <n v="6.8928319000000002E-2"/>
  </r>
  <r>
    <x v="0"/>
    <x v="10"/>
    <x v="8"/>
    <x v="32"/>
    <x v="2"/>
    <x v="3"/>
    <n v="6.8928319000000002E-2"/>
  </r>
  <r>
    <x v="0"/>
    <x v="10"/>
    <x v="8"/>
    <x v="33"/>
    <x v="2"/>
    <x v="3"/>
    <n v="6.8928319000000002E-2"/>
  </r>
  <r>
    <x v="0"/>
    <x v="10"/>
    <x v="8"/>
    <x v="34"/>
    <x v="2"/>
    <x v="3"/>
    <n v="6.8928319000000002E-2"/>
  </r>
  <r>
    <x v="0"/>
    <x v="10"/>
    <x v="8"/>
    <x v="35"/>
    <x v="2"/>
    <x v="3"/>
    <n v="6.8928319000000002E-2"/>
  </r>
  <r>
    <x v="0"/>
    <x v="10"/>
    <x v="8"/>
    <x v="36"/>
    <x v="2"/>
    <x v="3"/>
    <n v="6.8928319000000002E-2"/>
  </r>
  <r>
    <x v="0"/>
    <x v="10"/>
    <x v="8"/>
    <x v="37"/>
    <x v="2"/>
    <x v="3"/>
    <n v="6.8928319000000002E-2"/>
  </r>
  <r>
    <x v="0"/>
    <x v="10"/>
    <x v="8"/>
    <x v="38"/>
    <x v="2"/>
    <x v="3"/>
    <n v="6.8928319000000002E-2"/>
  </r>
  <r>
    <x v="0"/>
    <x v="10"/>
    <x v="8"/>
    <x v="39"/>
    <x v="2"/>
    <x v="3"/>
    <n v="6.8928319000000002E-2"/>
  </r>
  <r>
    <x v="0"/>
    <x v="10"/>
    <x v="8"/>
    <x v="40"/>
    <x v="2"/>
    <x v="3"/>
    <n v="6.8928319000000002E-2"/>
  </r>
  <r>
    <x v="0"/>
    <x v="10"/>
    <x v="8"/>
    <x v="41"/>
    <x v="2"/>
    <x v="3"/>
    <n v="6.8928319000000002E-2"/>
  </r>
  <r>
    <x v="0"/>
    <x v="10"/>
    <x v="7"/>
    <x v="0"/>
    <x v="3"/>
    <x v="2"/>
    <n v="396.71965151299997"/>
  </r>
  <r>
    <x v="0"/>
    <x v="10"/>
    <x v="7"/>
    <x v="1"/>
    <x v="3"/>
    <x v="2"/>
    <n v="43.936782151999999"/>
  </r>
  <r>
    <x v="0"/>
    <x v="10"/>
    <x v="7"/>
    <x v="2"/>
    <x v="3"/>
    <x v="2"/>
    <n v="17.828802132"/>
  </r>
  <r>
    <x v="0"/>
    <x v="10"/>
    <x v="7"/>
    <x v="3"/>
    <x v="3"/>
    <x v="2"/>
    <n v="14.662884476"/>
  </r>
  <r>
    <x v="0"/>
    <x v="10"/>
    <x v="7"/>
    <x v="4"/>
    <x v="3"/>
    <x v="2"/>
    <n v="8.6997417390000003"/>
  </r>
  <r>
    <x v="0"/>
    <x v="10"/>
    <x v="7"/>
    <x v="5"/>
    <x v="3"/>
    <x v="2"/>
    <n v="31.098060599"/>
  </r>
  <r>
    <x v="0"/>
    <x v="10"/>
    <x v="7"/>
    <x v="6"/>
    <x v="3"/>
    <x v="2"/>
    <n v="13.083050055999999"/>
  </r>
  <r>
    <x v="0"/>
    <x v="10"/>
    <x v="7"/>
    <x v="7"/>
    <x v="3"/>
    <x v="2"/>
    <n v="12.070385677999999"/>
  </r>
  <r>
    <x v="0"/>
    <x v="10"/>
    <x v="7"/>
    <x v="8"/>
    <x v="3"/>
    <x v="2"/>
    <n v="6.6464930549999997"/>
  </r>
  <r>
    <x v="0"/>
    <x v="10"/>
    <x v="7"/>
    <x v="9"/>
    <x v="3"/>
    <x v="2"/>
    <n v="19.696339481999999"/>
  </r>
  <r>
    <x v="0"/>
    <x v="10"/>
    <x v="7"/>
    <x v="10"/>
    <x v="3"/>
    <x v="2"/>
    <n v="8.8907019989999991"/>
  </r>
  <r>
    <x v="0"/>
    <x v="10"/>
    <x v="7"/>
    <x v="11"/>
    <x v="3"/>
    <x v="2"/>
    <n v="40.079176423"/>
  </r>
  <r>
    <x v="0"/>
    <x v="10"/>
    <x v="7"/>
    <x v="12"/>
    <x v="3"/>
    <x v="2"/>
    <n v="18.032859999999999"/>
  </r>
  <r>
    <x v="0"/>
    <x v="10"/>
    <x v="7"/>
    <x v="13"/>
    <x v="3"/>
    <x v="2"/>
    <n v="24.682301454000001"/>
  </r>
  <r>
    <x v="0"/>
    <x v="10"/>
    <x v="7"/>
    <x v="14"/>
    <x v="3"/>
    <x v="2"/>
    <n v="12.216134762999999"/>
  </r>
  <r>
    <x v="0"/>
    <x v="10"/>
    <x v="7"/>
    <x v="15"/>
    <x v="3"/>
    <x v="2"/>
    <n v="15.228441841"/>
  </r>
  <r>
    <x v="0"/>
    <x v="10"/>
    <x v="7"/>
    <x v="16"/>
    <x v="3"/>
    <x v="2"/>
    <n v="10.153255912000001"/>
  </r>
  <r>
    <x v="0"/>
    <x v="10"/>
    <x v="7"/>
    <x v="17"/>
    <x v="3"/>
    <x v="2"/>
    <n v="20.626959452000001"/>
  </r>
  <r>
    <x v="0"/>
    <x v="10"/>
    <x v="7"/>
    <x v="18"/>
    <x v="3"/>
    <x v="2"/>
    <n v="12.603250057"/>
  </r>
  <r>
    <x v="0"/>
    <x v="10"/>
    <x v="7"/>
    <x v="19"/>
    <x v="3"/>
    <x v="2"/>
    <n v="21.768792834999999"/>
  </r>
  <r>
    <x v="0"/>
    <x v="10"/>
    <x v="7"/>
    <x v="20"/>
    <x v="3"/>
    <x v="2"/>
    <n v="3.0063057230000001"/>
  </r>
  <r>
    <x v="0"/>
    <x v="10"/>
    <x v="7"/>
    <x v="21"/>
    <x v="3"/>
    <x v="2"/>
    <n v="1.3550263600000001"/>
  </r>
  <r>
    <x v="0"/>
    <x v="10"/>
    <x v="7"/>
    <x v="22"/>
    <x v="3"/>
    <x v="2"/>
    <n v="0.78329284300000002"/>
  </r>
  <r>
    <x v="0"/>
    <x v="10"/>
    <x v="7"/>
    <x v="23"/>
    <x v="3"/>
    <x v="2"/>
    <n v="0.90980883300000004"/>
  </r>
  <r>
    <x v="0"/>
    <x v="10"/>
    <x v="7"/>
    <x v="24"/>
    <x v="3"/>
    <x v="2"/>
    <n v="18.02782182"/>
  </r>
  <r>
    <x v="0"/>
    <x v="10"/>
    <x v="7"/>
    <x v="25"/>
    <x v="3"/>
    <x v="2"/>
    <n v="0.78939076699999999"/>
  </r>
  <r>
    <x v="0"/>
    <x v="10"/>
    <x v="7"/>
    <x v="26"/>
    <x v="3"/>
    <x v="2"/>
    <n v="1.6372609659999999"/>
  </r>
  <r>
    <x v="0"/>
    <x v="10"/>
    <x v="7"/>
    <x v="27"/>
    <x v="3"/>
    <x v="2"/>
    <n v="69.136151100000006"/>
  </r>
  <r>
    <x v="0"/>
    <x v="10"/>
    <x v="7"/>
    <x v="28"/>
    <x v="3"/>
    <x v="2"/>
    <n v="81.48908376"/>
  </r>
  <r>
    <x v="0"/>
    <x v="10"/>
    <x v="7"/>
    <x v="29"/>
    <x v="3"/>
    <x v="2"/>
    <n v="64.855627163999998"/>
  </r>
  <r>
    <x v="0"/>
    <x v="10"/>
    <x v="7"/>
    <x v="30"/>
    <x v="3"/>
    <x v="2"/>
    <n v="27.658758568"/>
  </r>
  <r>
    <x v="0"/>
    <x v="10"/>
    <x v="7"/>
    <x v="31"/>
    <x v="3"/>
    <x v="2"/>
    <n v="16.752712678999998"/>
  </r>
  <r>
    <x v="0"/>
    <x v="10"/>
    <x v="7"/>
    <x v="32"/>
    <x v="3"/>
    <x v="2"/>
    <n v="70.711646771999995"/>
  </r>
  <r>
    <x v="0"/>
    <x v="10"/>
    <x v="7"/>
    <x v="33"/>
    <x v="3"/>
    <x v="2"/>
    <n v="23.888654850999998"/>
  </r>
  <r>
    <x v="0"/>
    <x v="10"/>
    <x v="7"/>
    <x v="34"/>
    <x v="3"/>
    <x v="2"/>
    <n v="35.884552038000002"/>
  </r>
  <r>
    <x v="0"/>
    <x v="10"/>
    <x v="7"/>
    <x v="35"/>
    <x v="3"/>
    <x v="2"/>
    <n v="35.694149654"/>
  </r>
  <r>
    <x v="0"/>
    <x v="10"/>
    <x v="7"/>
    <x v="36"/>
    <x v="3"/>
    <x v="2"/>
    <n v="14.349947886000001"/>
  </r>
  <r>
    <x v="0"/>
    <x v="10"/>
    <x v="7"/>
    <x v="37"/>
    <x v="3"/>
    <x v="2"/>
    <n v="25.237517200999999"/>
  </r>
  <r>
    <x v="0"/>
    <x v="10"/>
    <x v="7"/>
    <x v="38"/>
    <x v="3"/>
    <x v="2"/>
    <n v="144.99205911600001"/>
  </r>
  <r>
    <x v="0"/>
    <x v="10"/>
    <x v="7"/>
    <x v="39"/>
    <x v="3"/>
    <x v="2"/>
    <n v="43.647476509999997"/>
  </r>
  <r>
    <x v="0"/>
    <x v="10"/>
    <x v="7"/>
    <x v="40"/>
    <x v="3"/>
    <x v="2"/>
    <n v="11.156095244999999"/>
  </r>
  <r>
    <x v="0"/>
    <x v="10"/>
    <x v="7"/>
    <x v="41"/>
    <x v="3"/>
    <x v="2"/>
    <n v="270.04333051399999"/>
  </r>
  <r>
    <x v="0"/>
    <x v="10"/>
    <x v="8"/>
    <x v="0"/>
    <x v="3"/>
    <x v="3"/>
    <n v="6.6651982999999998E-2"/>
  </r>
  <r>
    <x v="0"/>
    <x v="10"/>
    <x v="8"/>
    <x v="1"/>
    <x v="3"/>
    <x v="3"/>
    <n v="6.6651982999999998E-2"/>
  </r>
  <r>
    <x v="0"/>
    <x v="10"/>
    <x v="8"/>
    <x v="2"/>
    <x v="3"/>
    <x v="3"/>
    <n v="6.6651982999999998E-2"/>
  </r>
  <r>
    <x v="0"/>
    <x v="10"/>
    <x v="8"/>
    <x v="3"/>
    <x v="3"/>
    <x v="3"/>
    <n v="6.6651982999999998E-2"/>
  </r>
  <r>
    <x v="0"/>
    <x v="10"/>
    <x v="8"/>
    <x v="4"/>
    <x v="3"/>
    <x v="3"/>
    <n v="6.6651982999999998E-2"/>
  </r>
  <r>
    <x v="0"/>
    <x v="10"/>
    <x v="8"/>
    <x v="5"/>
    <x v="3"/>
    <x v="3"/>
    <n v="6.6651982999999998E-2"/>
  </r>
  <r>
    <x v="0"/>
    <x v="10"/>
    <x v="8"/>
    <x v="6"/>
    <x v="3"/>
    <x v="3"/>
    <n v="6.6651982999999998E-2"/>
  </r>
  <r>
    <x v="0"/>
    <x v="10"/>
    <x v="8"/>
    <x v="7"/>
    <x v="3"/>
    <x v="3"/>
    <n v="6.6651982999999998E-2"/>
  </r>
  <r>
    <x v="0"/>
    <x v="10"/>
    <x v="8"/>
    <x v="8"/>
    <x v="3"/>
    <x v="3"/>
    <n v="6.6651982999999998E-2"/>
  </r>
  <r>
    <x v="0"/>
    <x v="10"/>
    <x v="8"/>
    <x v="9"/>
    <x v="3"/>
    <x v="3"/>
    <n v="6.6651982999999998E-2"/>
  </r>
  <r>
    <x v="0"/>
    <x v="10"/>
    <x v="8"/>
    <x v="10"/>
    <x v="3"/>
    <x v="3"/>
    <n v="6.6651982999999998E-2"/>
  </r>
  <r>
    <x v="0"/>
    <x v="10"/>
    <x v="8"/>
    <x v="11"/>
    <x v="3"/>
    <x v="3"/>
    <n v="6.6651982999999998E-2"/>
  </r>
  <r>
    <x v="0"/>
    <x v="10"/>
    <x v="8"/>
    <x v="12"/>
    <x v="3"/>
    <x v="3"/>
    <n v="6.6651982999999998E-2"/>
  </r>
  <r>
    <x v="0"/>
    <x v="10"/>
    <x v="8"/>
    <x v="13"/>
    <x v="3"/>
    <x v="3"/>
    <n v="6.6651982999999998E-2"/>
  </r>
  <r>
    <x v="0"/>
    <x v="10"/>
    <x v="8"/>
    <x v="14"/>
    <x v="3"/>
    <x v="3"/>
    <n v="6.6651982999999998E-2"/>
  </r>
  <r>
    <x v="0"/>
    <x v="10"/>
    <x v="8"/>
    <x v="15"/>
    <x v="3"/>
    <x v="3"/>
    <n v="6.6651982999999998E-2"/>
  </r>
  <r>
    <x v="0"/>
    <x v="10"/>
    <x v="8"/>
    <x v="16"/>
    <x v="3"/>
    <x v="3"/>
    <n v="6.6651982999999998E-2"/>
  </r>
  <r>
    <x v="0"/>
    <x v="10"/>
    <x v="8"/>
    <x v="17"/>
    <x v="3"/>
    <x v="3"/>
    <n v="6.6651982999999998E-2"/>
  </r>
  <r>
    <x v="0"/>
    <x v="10"/>
    <x v="8"/>
    <x v="18"/>
    <x v="3"/>
    <x v="3"/>
    <n v="6.6651982999999998E-2"/>
  </r>
  <r>
    <x v="0"/>
    <x v="10"/>
    <x v="8"/>
    <x v="19"/>
    <x v="3"/>
    <x v="3"/>
    <n v="6.6651982999999998E-2"/>
  </r>
  <r>
    <x v="0"/>
    <x v="10"/>
    <x v="8"/>
    <x v="20"/>
    <x v="3"/>
    <x v="3"/>
    <n v="6.6651982999999998E-2"/>
  </r>
  <r>
    <x v="0"/>
    <x v="10"/>
    <x v="8"/>
    <x v="21"/>
    <x v="3"/>
    <x v="3"/>
    <n v="6.6651982999999998E-2"/>
  </r>
  <r>
    <x v="0"/>
    <x v="10"/>
    <x v="8"/>
    <x v="22"/>
    <x v="3"/>
    <x v="3"/>
    <n v="6.6651982999999998E-2"/>
  </r>
  <r>
    <x v="0"/>
    <x v="10"/>
    <x v="8"/>
    <x v="23"/>
    <x v="3"/>
    <x v="3"/>
    <n v="6.6651982999999998E-2"/>
  </r>
  <r>
    <x v="0"/>
    <x v="10"/>
    <x v="8"/>
    <x v="24"/>
    <x v="3"/>
    <x v="3"/>
    <n v="6.6651982999999998E-2"/>
  </r>
  <r>
    <x v="0"/>
    <x v="10"/>
    <x v="8"/>
    <x v="25"/>
    <x v="3"/>
    <x v="3"/>
    <n v="6.6651982999999998E-2"/>
  </r>
  <r>
    <x v="0"/>
    <x v="10"/>
    <x v="8"/>
    <x v="26"/>
    <x v="3"/>
    <x v="3"/>
    <n v="6.6651982999999998E-2"/>
  </r>
  <r>
    <x v="0"/>
    <x v="10"/>
    <x v="8"/>
    <x v="27"/>
    <x v="3"/>
    <x v="3"/>
    <n v="6.6651982999999998E-2"/>
  </r>
  <r>
    <x v="0"/>
    <x v="10"/>
    <x v="8"/>
    <x v="28"/>
    <x v="3"/>
    <x v="3"/>
    <n v="6.6651982999999998E-2"/>
  </r>
  <r>
    <x v="0"/>
    <x v="10"/>
    <x v="8"/>
    <x v="29"/>
    <x v="3"/>
    <x v="3"/>
    <n v="6.6651982999999998E-2"/>
  </r>
  <r>
    <x v="0"/>
    <x v="10"/>
    <x v="8"/>
    <x v="30"/>
    <x v="3"/>
    <x v="3"/>
    <n v="6.6651982999999998E-2"/>
  </r>
  <r>
    <x v="0"/>
    <x v="10"/>
    <x v="8"/>
    <x v="31"/>
    <x v="3"/>
    <x v="3"/>
    <n v="6.6651982999999998E-2"/>
  </r>
  <r>
    <x v="0"/>
    <x v="10"/>
    <x v="8"/>
    <x v="32"/>
    <x v="3"/>
    <x v="3"/>
    <n v="6.6651982999999998E-2"/>
  </r>
  <r>
    <x v="0"/>
    <x v="10"/>
    <x v="8"/>
    <x v="33"/>
    <x v="3"/>
    <x v="3"/>
    <n v="6.6651982999999998E-2"/>
  </r>
  <r>
    <x v="0"/>
    <x v="10"/>
    <x v="8"/>
    <x v="34"/>
    <x v="3"/>
    <x v="3"/>
    <n v="6.6651982999999998E-2"/>
  </r>
  <r>
    <x v="0"/>
    <x v="10"/>
    <x v="8"/>
    <x v="35"/>
    <x v="3"/>
    <x v="3"/>
    <n v="6.6651982999999998E-2"/>
  </r>
  <r>
    <x v="0"/>
    <x v="10"/>
    <x v="8"/>
    <x v="36"/>
    <x v="3"/>
    <x v="3"/>
    <n v="6.6651982999999998E-2"/>
  </r>
  <r>
    <x v="0"/>
    <x v="10"/>
    <x v="8"/>
    <x v="37"/>
    <x v="3"/>
    <x v="3"/>
    <n v="6.6651982999999998E-2"/>
  </r>
  <r>
    <x v="0"/>
    <x v="10"/>
    <x v="8"/>
    <x v="38"/>
    <x v="3"/>
    <x v="3"/>
    <n v="6.6651982999999998E-2"/>
  </r>
  <r>
    <x v="0"/>
    <x v="10"/>
    <x v="8"/>
    <x v="39"/>
    <x v="3"/>
    <x v="3"/>
    <n v="6.6651982999999998E-2"/>
  </r>
  <r>
    <x v="0"/>
    <x v="10"/>
    <x v="8"/>
    <x v="40"/>
    <x v="3"/>
    <x v="3"/>
    <n v="6.6651982999999998E-2"/>
  </r>
  <r>
    <x v="0"/>
    <x v="10"/>
    <x v="8"/>
    <x v="41"/>
    <x v="3"/>
    <x v="3"/>
    <n v="6.6651982999999998E-2"/>
  </r>
  <r>
    <x v="0"/>
    <x v="10"/>
    <x v="9"/>
    <x v="42"/>
    <x v="4"/>
    <x v="4"/>
    <n v="75.600406169999999"/>
  </r>
  <r>
    <x v="0"/>
    <x v="10"/>
    <x v="9"/>
    <x v="42"/>
    <x v="5"/>
    <x v="4"/>
    <n v="1.09056263"/>
  </r>
  <r>
    <x v="0"/>
    <x v="10"/>
    <x v="9"/>
    <x v="42"/>
    <x v="6"/>
    <x v="4"/>
    <n v="0"/>
  </r>
  <r>
    <x v="0"/>
    <x v="10"/>
    <x v="9"/>
    <x v="42"/>
    <x v="7"/>
    <x v="4"/>
    <n v="0"/>
  </r>
  <r>
    <x v="0"/>
    <x v="10"/>
    <x v="9"/>
    <x v="42"/>
    <x v="8"/>
    <x v="4"/>
    <n v="0"/>
  </r>
  <r>
    <x v="0"/>
    <x v="10"/>
    <x v="9"/>
    <x v="42"/>
    <x v="9"/>
    <x v="4"/>
    <n v="83.469289880999995"/>
  </r>
  <r>
    <x v="0"/>
    <x v="10"/>
    <x v="9"/>
    <x v="42"/>
    <x v="10"/>
    <x v="4"/>
    <n v="2.3421006379999998"/>
  </r>
  <r>
    <x v="0"/>
    <x v="10"/>
    <x v="9"/>
    <x v="42"/>
    <x v="11"/>
    <x v="4"/>
    <n v="14.286000189999999"/>
  </r>
  <r>
    <x v="0"/>
    <x v="10"/>
    <x v="9"/>
    <x v="42"/>
    <x v="12"/>
    <x v="4"/>
    <n v="2.022312313"/>
  </r>
  <r>
    <x v="0"/>
    <x v="10"/>
    <x v="9"/>
    <x v="42"/>
    <x v="13"/>
    <x v="4"/>
    <n v="3.2496488339999998"/>
  </r>
  <r>
    <x v="0"/>
    <x v="10"/>
    <x v="9"/>
    <x v="42"/>
    <x v="14"/>
    <x v="4"/>
    <n v="2.582264517"/>
  </r>
  <r>
    <x v="0"/>
    <x v="10"/>
    <x v="9"/>
    <x v="42"/>
    <x v="15"/>
    <x v="4"/>
    <n v="11.377834557"/>
  </r>
  <r>
    <x v="0"/>
    <x v="10"/>
    <x v="9"/>
    <x v="42"/>
    <x v="16"/>
    <x v="4"/>
    <n v="1.527381366"/>
  </r>
  <r>
    <x v="0"/>
    <x v="10"/>
    <x v="9"/>
    <x v="42"/>
    <x v="17"/>
    <x v="4"/>
    <n v="0"/>
  </r>
  <r>
    <x v="0"/>
    <x v="10"/>
    <x v="9"/>
    <x v="42"/>
    <x v="18"/>
    <x v="4"/>
    <n v="0.939982769"/>
  </r>
  <r>
    <x v="0"/>
    <x v="10"/>
    <x v="9"/>
    <x v="42"/>
    <x v="19"/>
    <x v="4"/>
    <n v="0.49165060599999999"/>
  </r>
  <r>
    <x v="0"/>
    <x v="10"/>
    <x v="9"/>
    <x v="42"/>
    <x v="20"/>
    <x v="4"/>
    <n v="0.125403547"/>
  </r>
  <r>
    <x v="0"/>
    <x v="10"/>
    <x v="9"/>
    <x v="42"/>
    <x v="21"/>
    <x v="4"/>
    <n v="8.4825638310000002"/>
  </r>
  <r>
    <x v="0"/>
    <x v="10"/>
    <x v="9"/>
    <x v="42"/>
    <x v="22"/>
    <x v="4"/>
    <n v="9.0380478620000009"/>
  </r>
  <r>
    <x v="0"/>
    <x v="10"/>
    <x v="9"/>
    <x v="42"/>
    <x v="23"/>
    <x v="4"/>
    <n v="8.5060784379999994"/>
  </r>
  <r>
    <x v="0"/>
    <x v="10"/>
    <x v="9"/>
    <x v="42"/>
    <x v="24"/>
    <x v="4"/>
    <n v="0.60878407000000001"/>
  </r>
  <r>
    <x v="0"/>
    <x v="10"/>
    <x v="9"/>
    <x v="42"/>
    <x v="25"/>
    <x v="4"/>
    <n v="0.62949055600000003"/>
  </r>
  <r>
    <x v="0"/>
    <x v="10"/>
    <x v="9"/>
    <x v="42"/>
    <x v="26"/>
    <x v="4"/>
    <n v="0"/>
  </r>
  <r>
    <x v="0"/>
    <x v="10"/>
    <x v="9"/>
    <x v="42"/>
    <x v="27"/>
    <x v="4"/>
    <n v="0"/>
  </r>
  <r>
    <x v="0"/>
    <x v="10"/>
    <x v="9"/>
    <x v="42"/>
    <x v="28"/>
    <x v="4"/>
    <n v="8.0192799150000003"/>
  </r>
  <r>
    <x v="0"/>
    <x v="10"/>
    <x v="9"/>
    <x v="42"/>
    <x v="29"/>
    <x v="4"/>
    <n v="1.114478847"/>
  </r>
  <r>
    <x v="0"/>
    <x v="10"/>
    <x v="9"/>
    <x v="42"/>
    <x v="30"/>
    <x v="4"/>
    <n v="0.44924419599999998"/>
  </r>
  <r>
    <x v="0"/>
    <x v="10"/>
    <x v="9"/>
    <x v="42"/>
    <x v="31"/>
    <x v="4"/>
    <n v="0"/>
  </r>
  <r>
    <x v="0"/>
    <x v="10"/>
    <x v="9"/>
    <x v="42"/>
    <x v="32"/>
    <x v="4"/>
    <n v="33.290216041000001"/>
  </r>
  <r>
    <x v="0"/>
    <x v="10"/>
    <x v="9"/>
    <x v="42"/>
    <x v="33"/>
    <x v="4"/>
    <n v="10.892567550000001"/>
  </r>
  <r>
    <x v="0"/>
    <x v="10"/>
    <x v="9"/>
    <x v="42"/>
    <x v="34"/>
    <x v="4"/>
    <n v="5.6178362000000003E-2"/>
  </r>
  <r>
    <x v="0"/>
    <x v="10"/>
    <x v="9"/>
    <x v="42"/>
    <x v="35"/>
    <x v="4"/>
    <n v="16.803840836999999"/>
  </r>
  <r>
    <x v="0"/>
    <x v="10"/>
    <x v="9"/>
    <x v="42"/>
    <x v="36"/>
    <x v="4"/>
    <n v="21.720913572000001"/>
  </r>
  <r>
    <x v="0"/>
    <x v="10"/>
    <x v="9"/>
    <x v="42"/>
    <x v="37"/>
    <x v="4"/>
    <n v="158.19961165199999"/>
  </r>
  <r>
    <x v="0"/>
    <x v="10"/>
    <x v="9"/>
    <x v="42"/>
    <x v="38"/>
    <x v="4"/>
    <n v="0.39721541100000002"/>
  </r>
  <r>
    <x v="0"/>
    <x v="10"/>
    <x v="9"/>
    <x v="42"/>
    <x v="39"/>
    <x v="4"/>
    <n v="0.17072420499999999"/>
  </r>
  <r>
    <x v="0"/>
    <x v="10"/>
    <x v="9"/>
    <x v="42"/>
    <x v="40"/>
    <x v="4"/>
    <n v="0.20772709"/>
  </r>
  <r>
    <x v="0"/>
    <x v="10"/>
    <x v="9"/>
    <x v="42"/>
    <x v="41"/>
    <x v="4"/>
    <n v="1.7798734700000001"/>
  </r>
  <r>
    <x v="0"/>
    <x v="10"/>
    <x v="9"/>
    <x v="42"/>
    <x v="42"/>
    <x v="4"/>
    <n v="-6.1371867800000004"/>
  </r>
  <r>
    <x v="0"/>
    <x v="10"/>
    <x v="9"/>
    <x v="42"/>
    <x v="43"/>
    <x v="4"/>
    <n v="-2.7713085739999999"/>
  </r>
  <r>
    <x v="0"/>
    <x v="10"/>
    <x v="9"/>
    <x v="42"/>
    <x v="44"/>
    <x v="4"/>
    <n v="1.7905637649999999"/>
  </r>
  <r>
    <x v="0"/>
    <x v="10"/>
    <x v="9"/>
    <x v="42"/>
    <x v="45"/>
    <x v="4"/>
    <n v="-0.14023787800000001"/>
  </r>
  <r>
    <x v="0"/>
    <x v="10"/>
    <x v="10"/>
    <x v="42"/>
    <x v="0"/>
    <x v="4"/>
    <n v="0.52351935999999999"/>
  </r>
  <r>
    <x v="0"/>
    <x v="10"/>
    <x v="11"/>
    <x v="42"/>
    <x v="0"/>
    <x v="4"/>
    <n v="12.806585908000001"/>
  </r>
  <r>
    <x v="0"/>
    <x v="10"/>
    <x v="9"/>
    <x v="43"/>
    <x v="4"/>
    <x v="4"/>
    <n v="137.00330259099999"/>
  </r>
  <r>
    <x v="0"/>
    <x v="10"/>
    <x v="9"/>
    <x v="43"/>
    <x v="5"/>
    <x v="4"/>
    <n v="0.70212487000000001"/>
  </r>
  <r>
    <x v="0"/>
    <x v="10"/>
    <x v="9"/>
    <x v="43"/>
    <x v="6"/>
    <x v="4"/>
    <n v="0"/>
  </r>
  <r>
    <x v="0"/>
    <x v="10"/>
    <x v="9"/>
    <x v="43"/>
    <x v="7"/>
    <x v="4"/>
    <n v="0"/>
  </r>
  <r>
    <x v="0"/>
    <x v="10"/>
    <x v="9"/>
    <x v="43"/>
    <x v="8"/>
    <x v="4"/>
    <n v="0"/>
  </r>
  <r>
    <x v="0"/>
    <x v="10"/>
    <x v="9"/>
    <x v="43"/>
    <x v="9"/>
    <x v="4"/>
    <n v="309.976100809"/>
  </r>
  <r>
    <x v="0"/>
    <x v="10"/>
    <x v="9"/>
    <x v="43"/>
    <x v="10"/>
    <x v="4"/>
    <n v="2.8817756829999999"/>
  </r>
  <r>
    <x v="0"/>
    <x v="10"/>
    <x v="9"/>
    <x v="43"/>
    <x v="11"/>
    <x v="4"/>
    <n v="58.597433121000002"/>
  </r>
  <r>
    <x v="0"/>
    <x v="10"/>
    <x v="9"/>
    <x v="43"/>
    <x v="12"/>
    <x v="4"/>
    <n v="5.3112911929999997"/>
  </r>
  <r>
    <x v="0"/>
    <x v="10"/>
    <x v="9"/>
    <x v="43"/>
    <x v="13"/>
    <x v="4"/>
    <n v="10.017537618"/>
  </r>
  <r>
    <x v="0"/>
    <x v="10"/>
    <x v="9"/>
    <x v="43"/>
    <x v="14"/>
    <x v="4"/>
    <n v="19.674014076999999"/>
  </r>
  <r>
    <x v="0"/>
    <x v="10"/>
    <x v="9"/>
    <x v="43"/>
    <x v="15"/>
    <x v="4"/>
    <n v="39.651748429000001"/>
  </r>
  <r>
    <x v="0"/>
    <x v="10"/>
    <x v="9"/>
    <x v="43"/>
    <x v="16"/>
    <x v="4"/>
    <n v="2.6148780120000001"/>
  </r>
  <r>
    <x v="0"/>
    <x v="10"/>
    <x v="9"/>
    <x v="43"/>
    <x v="17"/>
    <x v="4"/>
    <n v="0"/>
  </r>
  <r>
    <x v="0"/>
    <x v="10"/>
    <x v="9"/>
    <x v="43"/>
    <x v="18"/>
    <x v="4"/>
    <n v="3.0977637649999998"/>
  </r>
  <r>
    <x v="0"/>
    <x v="10"/>
    <x v="9"/>
    <x v="43"/>
    <x v="19"/>
    <x v="4"/>
    <n v="0.83299899300000002"/>
  </r>
  <r>
    <x v="0"/>
    <x v="10"/>
    <x v="9"/>
    <x v="43"/>
    <x v="20"/>
    <x v="4"/>
    <n v="0.82665246699999995"/>
  </r>
  <r>
    <x v="0"/>
    <x v="10"/>
    <x v="9"/>
    <x v="43"/>
    <x v="21"/>
    <x v="4"/>
    <n v="47.889582552999997"/>
  </r>
  <r>
    <x v="0"/>
    <x v="10"/>
    <x v="9"/>
    <x v="43"/>
    <x v="22"/>
    <x v="4"/>
    <n v="20.831158518999999"/>
  </r>
  <r>
    <x v="0"/>
    <x v="10"/>
    <x v="9"/>
    <x v="43"/>
    <x v="23"/>
    <x v="4"/>
    <n v="23.073994251999999"/>
  </r>
  <r>
    <x v="0"/>
    <x v="10"/>
    <x v="9"/>
    <x v="43"/>
    <x v="24"/>
    <x v="4"/>
    <n v="1.110535182"/>
  </r>
  <r>
    <x v="0"/>
    <x v="10"/>
    <x v="9"/>
    <x v="43"/>
    <x v="25"/>
    <x v="4"/>
    <n v="1.035210762"/>
  </r>
  <r>
    <x v="0"/>
    <x v="10"/>
    <x v="9"/>
    <x v="43"/>
    <x v="26"/>
    <x v="4"/>
    <n v="0"/>
  </r>
  <r>
    <x v="0"/>
    <x v="10"/>
    <x v="9"/>
    <x v="43"/>
    <x v="27"/>
    <x v="4"/>
    <n v="0"/>
  </r>
  <r>
    <x v="0"/>
    <x v="10"/>
    <x v="9"/>
    <x v="43"/>
    <x v="28"/>
    <x v="4"/>
    <n v="9.5880327849999993"/>
  </r>
  <r>
    <x v="0"/>
    <x v="10"/>
    <x v="9"/>
    <x v="43"/>
    <x v="29"/>
    <x v="4"/>
    <n v="8.5346580660000004"/>
  </r>
  <r>
    <x v="0"/>
    <x v="10"/>
    <x v="9"/>
    <x v="43"/>
    <x v="30"/>
    <x v="4"/>
    <n v="-0.28006065099999999"/>
  </r>
  <r>
    <x v="0"/>
    <x v="10"/>
    <x v="9"/>
    <x v="43"/>
    <x v="31"/>
    <x v="4"/>
    <n v="0"/>
  </r>
  <r>
    <x v="0"/>
    <x v="10"/>
    <x v="9"/>
    <x v="43"/>
    <x v="32"/>
    <x v="4"/>
    <n v="43.206790286"/>
  </r>
  <r>
    <x v="0"/>
    <x v="10"/>
    <x v="9"/>
    <x v="43"/>
    <x v="33"/>
    <x v="4"/>
    <n v="11.728994398999999"/>
  </r>
  <r>
    <x v="0"/>
    <x v="10"/>
    <x v="9"/>
    <x v="43"/>
    <x v="34"/>
    <x v="4"/>
    <n v="-23.913247070000001"/>
  </r>
  <r>
    <x v="0"/>
    <x v="10"/>
    <x v="9"/>
    <x v="43"/>
    <x v="35"/>
    <x v="4"/>
    <n v="28.986376776"/>
  </r>
  <r>
    <x v="0"/>
    <x v="10"/>
    <x v="9"/>
    <x v="43"/>
    <x v="36"/>
    <x v="4"/>
    <n v="55.410287893000003"/>
  </r>
  <r>
    <x v="0"/>
    <x v="10"/>
    <x v="9"/>
    <x v="43"/>
    <x v="37"/>
    <x v="4"/>
    <n v="288.40596304500002"/>
  </r>
  <r>
    <x v="0"/>
    <x v="10"/>
    <x v="9"/>
    <x v="43"/>
    <x v="38"/>
    <x v="4"/>
    <n v="0.61747347100000005"/>
  </r>
  <r>
    <x v="0"/>
    <x v="10"/>
    <x v="9"/>
    <x v="43"/>
    <x v="39"/>
    <x v="4"/>
    <n v="-0.16200668100000001"/>
  </r>
  <r>
    <x v="0"/>
    <x v="10"/>
    <x v="9"/>
    <x v="43"/>
    <x v="40"/>
    <x v="4"/>
    <n v="-1.0883022840000001"/>
  </r>
  <r>
    <x v="0"/>
    <x v="10"/>
    <x v="9"/>
    <x v="43"/>
    <x v="41"/>
    <x v="4"/>
    <n v="-15.275768619000001"/>
  </r>
  <r>
    <x v="0"/>
    <x v="10"/>
    <x v="9"/>
    <x v="43"/>
    <x v="42"/>
    <x v="4"/>
    <n v="-32.364624329000002"/>
  </r>
  <r>
    <x v="0"/>
    <x v="10"/>
    <x v="9"/>
    <x v="43"/>
    <x v="43"/>
    <x v="4"/>
    <n v="-30.366188486999999"/>
  </r>
  <r>
    <x v="0"/>
    <x v="10"/>
    <x v="9"/>
    <x v="43"/>
    <x v="44"/>
    <x v="4"/>
    <n v="-1.9637508290000001"/>
  </r>
  <r>
    <x v="0"/>
    <x v="10"/>
    <x v="9"/>
    <x v="43"/>
    <x v="45"/>
    <x v="4"/>
    <n v="-2.0661966779999998"/>
  </r>
  <r>
    <x v="0"/>
    <x v="10"/>
    <x v="10"/>
    <x v="43"/>
    <x v="0"/>
    <x v="4"/>
    <n v="1.4711341309999999"/>
  </r>
  <r>
    <x v="0"/>
    <x v="10"/>
    <x v="11"/>
    <x v="43"/>
    <x v="0"/>
    <x v="4"/>
    <n v="38.498829798999999"/>
  </r>
  <r>
    <x v="0"/>
    <x v="10"/>
    <x v="12"/>
    <x v="0"/>
    <x v="0"/>
    <x v="0"/>
    <n v="708.48856571700003"/>
  </r>
  <r>
    <x v="0"/>
    <x v="10"/>
    <x v="13"/>
    <x v="0"/>
    <x v="0"/>
    <x v="0"/>
    <n v="311.10693683900001"/>
  </r>
  <r>
    <x v="0"/>
    <x v="10"/>
    <x v="14"/>
    <x v="0"/>
    <x v="0"/>
    <x v="0"/>
    <n v="0.91595560799999998"/>
  </r>
  <r>
    <x v="0"/>
    <x v="10"/>
    <x v="15"/>
    <x v="0"/>
    <x v="0"/>
    <x v="1"/>
    <n v="9.3791289E-2"/>
  </r>
  <r>
    <x v="0"/>
    <x v="10"/>
    <x v="16"/>
    <x v="0"/>
    <x v="0"/>
    <x v="1"/>
    <n v="0.100490703"/>
  </r>
  <r>
    <x v="0"/>
    <x v="10"/>
    <x v="12"/>
    <x v="1"/>
    <x v="0"/>
    <x v="0"/>
    <n v="223.66223177200001"/>
  </r>
  <r>
    <x v="0"/>
    <x v="10"/>
    <x v="13"/>
    <x v="1"/>
    <x v="0"/>
    <x v="0"/>
    <n v="37.993300265999999"/>
  </r>
  <r>
    <x v="0"/>
    <x v="10"/>
    <x v="14"/>
    <x v="1"/>
    <x v="0"/>
    <x v="0"/>
    <n v="0.29982933699999997"/>
  </r>
  <r>
    <x v="0"/>
    <x v="10"/>
    <x v="15"/>
    <x v="1"/>
    <x v="0"/>
    <x v="1"/>
    <n v="5.3489136999999999E-2"/>
  </r>
  <r>
    <x v="0"/>
    <x v="10"/>
    <x v="16"/>
    <x v="1"/>
    <x v="0"/>
    <x v="1"/>
    <n v="5.4692251999999997E-2"/>
  </r>
  <r>
    <x v="0"/>
    <x v="10"/>
    <x v="12"/>
    <x v="2"/>
    <x v="0"/>
    <x v="0"/>
    <n v="283.16146778699999"/>
  </r>
  <r>
    <x v="0"/>
    <x v="10"/>
    <x v="13"/>
    <x v="2"/>
    <x v="0"/>
    <x v="0"/>
    <n v="98.943640079999994"/>
  </r>
  <r>
    <x v="0"/>
    <x v="10"/>
    <x v="14"/>
    <x v="2"/>
    <x v="0"/>
    <x v="0"/>
    <n v="2.3139648749999999"/>
  </r>
  <r>
    <x v="0"/>
    <x v="10"/>
    <x v="15"/>
    <x v="2"/>
    <x v="0"/>
    <x v="1"/>
    <n v="3.2914367999999999E-2"/>
  </r>
  <r>
    <x v="0"/>
    <x v="10"/>
    <x v="16"/>
    <x v="2"/>
    <x v="0"/>
    <x v="1"/>
    <n v="3.0696582E-2"/>
  </r>
  <r>
    <x v="0"/>
    <x v="10"/>
    <x v="12"/>
    <x v="3"/>
    <x v="0"/>
    <x v="0"/>
    <n v="128.954291786"/>
  </r>
  <r>
    <x v="0"/>
    <x v="10"/>
    <x v="13"/>
    <x v="3"/>
    <x v="0"/>
    <x v="0"/>
    <n v="81.051118810999995"/>
  </r>
  <r>
    <x v="0"/>
    <x v="10"/>
    <x v="14"/>
    <x v="3"/>
    <x v="0"/>
    <x v="0"/>
    <n v="0.29326973699999997"/>
  </r>
  <r>
    <x v="0"/>
    <x v="10"/>
    <x v="15"/>
    <x v="3"/>
    <x v="0"/>
    <x v="1"/>
    <n v="4.1560685E-2"/>
  </r>
  <r>
    <x v="0"/>
    <x v="10"/>
    <x v="16"/>
    <x v="3"/>
    <x v="0"/>
    <x v="1"/>
    <n v="4.2703006000000002E-2"/>
  </r>
  <r>
    <x v="0"/>
    <x v="10"/>
    <x v="12"/>
    <x v="4"/>
    <x v="0"/>
    <x v="0"/>
    <n v="59.297975153000003"/>
  </r>
  <r>
    <x v="0"/>
    <x v="10"/>
    <x v="13"/>
    <x v="4"/>
    <x v="0"/>
    <x v="0"/>
    <n v="6.852868634"/>
  </r>
  <r>
    <x v="0"/>
    <x v="10"/>
    <x v="14"/>
    <x v="4"/>
    <x v="0"/>
    <x v="0"/>
    <n v="0.48463667999999999"/>
  </r>
  <r>
    <x v="0"/>
    <x v="10"/>
    <x v="15"/>
    <x v="4"/>
    <x v="0"/>
    <x v="1"/>
    <n v="4.8586105999999997E-2"/>
  </r>
  <r>
    <x v="0"/>
    <x v="10"/>
    <x v="16"/>
    <x v="4"/>
    <x v="0"/>
    <x v="1"/>
    <n v="4.9169558000000002E-2"/>
  </r>
  <r>
    <x v="0"/>
    <x v="10"/>
    <x v="12"/>
    <x v="5"/>
    <x v="0"/>
    <x v="0"/>
    <n v="571.21351085599997"/>
  </r>
  <r>
    <x v="0"/>
    <x v="10"/>
    <x v="13"/>
    <x v="5"/>
    <x v="0"/>
    <x v="0"/>
    <n v="158.83426093599999"/>
  </r>
  <r>
    <x v="0"/>
    <x v="10"/>
    <x v="14"/>
    <x v="5"/>
    <x v="0"/>
    <x v="0"/>
    <n v="4.8530859209999999"/>
  </r>
  <r>
    <x v="0"/>
    <x v="10"/>
    <x v="15"/>
    <x v="5"/>
    <x v="0"/>
    <x v="1"/>
    <n v="7.0454143999999996E-2"/>
  </r>
  <r>
    <x v="0"/>
    <x v="10"/>
    <x v="16"/>
    <x v="5"/>
    <x v="0"/>
    <x v="1"/>
    <n v="7.3142655000000001E-2"/>
  </r>
  <r>
    <x v="0"/>
    <x v="10"/>
    <x v="12"/>
    <x v="6"/>
    <x v="0"/>
    <x v="0"/>
    <n v="174.93088143700001"/>
  </r>
  <r>
    <x v="0"/>
    <x v="10"/>
    <x v="13"/>
    <x v="6"/>
    <x v="0"/>
    <x v="0"/>
    <n v="24.274657213000001"/>
  </r>
  <r>
    <x v="0"/>
    <x v="10"/>
    <x v="14"/>
    <x v="6"/>
    <x v="0"/>
    <x v="0"/>
    <n v="8.9667025969999994"/>
  </r>
  <r>
    <x v="0"/>
    <x v="10"/>
    <x v="15"/>
    <x v="6"/>
    <x v="0"/>
    <x v="1"/>
    <n v="6.3922146999999999E-2"/>
  </r>
  <r>
    <x v="0"/>
    <x v="10"/>
    <x v="16"/>
    <x v="6"/>
    <x v="0"/>
    <x v="1"/>
    <n v="6.5082544000000006E-2"/>
  </r>
  <r>
    <x v="0"/>
    <x v="10"/>
    <x v="12"/>
    <x v="7"/>
    <x v="0"/>
    <x v="0"/>
    <n v="97.034276832000003"/>
  </r>
  <r>
    <x v="0"/>
    <x v="10"/>
    <x v="13"/>
    <x v="7"/>
    <x v="0"/>
    <x v="0"/>
    <n v="39.055350060999999"/>
  </r>
  <r>
    <x v="0"/>
    <x v="10"/>
    <x v="14"/>
    <x v="7"/>
    <x v="0"/>
    <x v="0"/>
    <n v="18.656502131"/>
  </r>
  <r>
    <x v="0"/>
    <x v="10"/>
    <x v="15"/>
    <x v="7"/>
    <x v="0"/>
    <x v="1"/>
    <n v="6.5698820000000005E-2"/>
  </r>
  <r>
    <x v="0"/>
    <x v="10"/>
    <x v="16"/>
    <x v="7"/>
    <x v="0"/>
    <x v="1"/>
    <n v="6.9153121999999997E-2"/>
  </r>
  <r>
    <x v="0"/>
    <x v="10"/>
    <x v="12"/>
    <x v="8"/>
    <x v="0"/>
    <x v="0"/>
    <n v="78.452698298000001"/>
  </r>
  <r>
    <x v="0"/>
    <x v="10"/>
    <x v="13"/>
    <x v="8"/>
    <x v="0"/>
    <x v="0"/>
    <n v="10.804737485"/>
  </r>
  <r>
    <x v="0"/>
    <x v="10"/>
    <x v="14"/>
    <x v="8"/>
    <x v="0"/>
    <x v="0"/>
    <n v="7.1845297080000003"/>
  </r>
  <r>
    <x v="0"/>
    <x v="10"/>
    <x v="15"/>
    <x v="8"/>
    <x v="0"/>
    <x v="1"/>
    <n v="5.943317E-2"/>
  </r>
  <r>
    <x v="0"/>
    <x v="10"/>
    <x v="16"/>
    <x v="8"/>
    <x v="0"/>
    <x v="1"/>
    <n v="6.0472657999999999E-2"/>
  </r>
  <r>
    <x v="0"/>
    <x v="10"/>
    <x v="12"/>
    <x v="9"/>
    <x v="0"/>
    <x v="0"/>
    <n v="202.830494445"/>
  </r>
  <r>
    <x v="0"/>
    <x v="10"/>
    <x v="13"/>
    <x v="9"/>
    <x v="0"/>
    <x v="0"/>
    <n v="37.271124751999999"/>
  </r>
  <r>
    <x v="0"/>
    <x v="10"/>
    <x v="14"/>
    <x v="9"/>
    <x v="0"/>
    <x v="0"/>
    <n v="16.795167167999999"/>
  </r>
  <r>
    <x v="0"/>
    <x v="10"/>
    <x v="15"/>
    <x v="9"/>
    <x v="0"/>
    <x v="1"/>
    <n v="5.2399164999999998E-2"/>
  </r>
  <r>
    <x v="0"/>
    <x v="10"/>
    <x v="16"/>
    <x v="9"/>
    <x v="0"/>
    <x v="1"/>
    <n v="5.3448688000000001E-2"/>
  </r>
  <r>
    <x v="0"/>
    <x v="10"/>
    <x v="12"/>
    <x v="10"/>
    <x v="0"/>
    <x v="0"/>
    <n v="333.12976891099999"/>
  </r>
  <r>
    <x v="0"/>
    <x v="10"/>
    <x v="13"/>
    <x v="10"/>
    <x v="0"/>
    <x v="0"/>
    <n v="35.233554675000001"/>
  </r>
  <r>
    <x v="0"/>
    <x v="10"/>
    <x v="14"/>
    <x v="10"/>
    <x v="0"/>
    <x v="0"/>
    <n v="6.56255101"/>
  </r>
  <r>
    <x v="0"/>
    <x v="10"/>
    <x v="15"/>
    <x v="10"/>
    <x v="0"/>
    <x v="1"/>
    <n v="3.6913026000000002E-2"/>
  </r>
  <r>
    <x v="0"/>
    <x v="10"/>
    <x v="16"/>
    <x v="10"/>
    <x v="0"/>
    <x v="1"/>
    <n v="3.6791190000000001E-2"/>
  </r>
  <r>
    <x v="0"/>
    <x v="10"/>
    <x v="12"/>
    <x v="11"/>
    <x v="0"/>
    <x v="0"/>
    <n v="850.83891913100001"/>
  </r>
  <r>
    <x v="0"/>
    <x v="10"/>
    <x v="13"/>
    <x v="11"/>
    <x v="0"/>
    <x v="0"/>
    <n v="200.681068767"/>
  </r>
  <r>
    <x v="0"/>
    <x v="10"/>
    <x v="14"/>
    <x v="11"/>
    <x v="0"/>
    <x v="0"/>
    <n v="35.988306928999997"/>
  </r>
  <r>
    <x v="0"/>
    <x v="10"/>
    <x v="15"/>
    <x v="11"/>
    <x v="0"/>
    <x v="1"/>
    <n v="4.5236461999999998E-2"/>
  </r>
  <r>
    <x v="0"/>
    <x v="10"/>
    <x v="16"/>
    <x v="11"/>
    <x v="0"/>
    <x v="1"/>
    <n v="4.5972331999999998E-2"/>
  </r>
  <r>
    <x v="0"/>
    <x v="10"/>
    <x v="12"/>
    <x v="12"/>
    <x v="0"/>
    <x v="0"/>
    <n v="234.67937712700001"/>
  </r>
  <r>
    <x v="0"/>
    <x v="10"/>
    <x v="13"/>
    <x v="12"/>
    <x v="0"/>
    <x v="0"/>
    <n v="8.0837181480000009"/>
  </r>
  <r>
    <x v="0"/>
    <x v="10"/>
    <x v="14"/>
    <x v="12"/>
    <x v="0"/>
    <x v="0"/>
    <n v="8.1250987620000004"/>
  </r>
  <r>
    <x v="0"/>
    <x v="10"/>
    <x v="15"/>
    <x v="12"/>
    <x v="0"/>
    <x v="1"/>
    <n v="4.6366881999999998E-2"/>
  </r>
  <r>
    <x v="0"/>
    <x v="10"/>
    <x v="16"/>
    <x v="12"/>
    <x v="0"/>
    <x v="1"/>
    <n v="4.6491722999999999E-2"/>
  </r>
  <r>
    <x v="0"/>
    <x v="10"/>
    <x v="12"/>
    <x v="13"/>
    <x v="0"/>
    <x v="0"/>
    <n v="652.76084205200004"/>
  </r>
  <r>
    <x v="0"/>
    <x v="10"/>
    <x v="13"/>
    <x v="13"/>
    <x v="0"/>
    <x v="0"/>
    <n v="79.240138556000005"/>
  </r>
  <r>
    <x v="0"/>
    <x v="10"/>
    <x v="14"/>
    <x v="13"/>
    <x v="0"/>
    <x v="0"/>
    <n v="20.411324937"/>
  </r>
  <r>
    <x v="0"/>
    <x v="10"/>
    <x v="15"/>
    <x v="13"/>
    <x v="0"/>
    <x v="1"/>
    <n v="3.7758903000000003E-2"/>
  </r>
  <r>
    <x v="0"/>
    <x v="10"/>
    <x v="16"/>
    <x v="13"/>
    <x v="0"/>
    <x v="1"/>
    <n v="3.7682466999999997E-2"/>
  </r>
  <r>
    <x v="0"/>
    <x v="10"/>
    <x v="12"/>
    <x v="14"/>
    <x v="0"/>
    <x v="0"/>
    <n v="165.82131525"/>
  </r>
  <r>
    <x v="0"/>
    <x v="10"/>
    <x v="13"/>
    <x v="14"/>
    <x v="0"/>
    <x v="0"/>
    <n v="10.600609786"/>
  </r>
  <r>
    <x v="0"/>
    <x v="10"/>
    <x v="14"/>
    <x v="14"/>
    <x v="0"/>
    <x v="0"/>
    <n v="14.928436337000001"/>
  </r>
  <r>
    <x v="0"/>
    <x v="10"/>
    <x v="15"/>
    <x v="14"/>
    <x v="0"/>
    <x v="1"/>
    <n v="4.4222058000000002E-2"/>
  </r>
  <r>
    <x v="0"/>
    <x v="10"/>
    <x v="16"/>
    <x v="14"/>
    <x v="0"/>
    <x v="1"/>
    <n v="4.4391172E-2"/>
  </r>
  <r>
    <x v="0"/>
    <x v="10"/>
    <x v="12"/>
    <x v="15"/>
    <x v="0"/>
    <x v="0"/>
    <n v="171.17885734999999"/>
  </r>
  <r>
    <x v="0"/>
    <x v="10"/>
    <x v="13"/>
    <x v="15"/>
    <x v="0"/>
    <x v="0"/>
    <n v="68.383408540000005"/>
  </r>
  <r>
    <x v="0"/>
    <x v="10"/>
    <x v="14"/>
    <x v="15"/>
    <x v="0"/>
    <x v="0"/>
    <n v="21.091291458000001"/>
  </r>
  <r>
    <x v="0"/>
    <x v="10"/>
    <x v="15"/>
    <x v="15"/>
    <x v="0"/>
    <x v="1"/>
    <n v="4.6973135999999999E-2"/>
  </r>
  <r>
    <x v="0"/>
    <x v="10"/>
    <x v="16"/>
    <x v="15"/>
    <x v="0"/>
    <x v="1"/>
    <n v="4.8501717999999999E-2"/>
  </r>
  <r>
    <x v="0"/>
    <x v="10"/>
    <x v="12"/>
    <x v="16"/>
    <x v="0"/>
    <x v="0"/>
    <n v="108.74874775000001"/>
  </r>
  <r>
    <x v="0"/>
    <x v="10"/>
    <x v="13"/>
    <x v="16"/>
    <x v="0"/>
    <x v="0"/>
    <n v="58.592319246000002"/>
  </r>
  <r>
    <x v="0"/>
    <x v="10"/>
    <x v="14"/>
    <x v="16"/>
    <x v="0"/>
    <x v="0"/>
    <n v="9.8986733129999998"/>
  </r>
  <r>
    <x v="0"/>
    <x v="10"/>
    <x v="15"/>
    <x v="16"/>
    <x v="0"/>
    <x v="1"/>
    <n v="4.8864643999999999E-2"/>
  </r>
  <r>
    <x v="0"/>
    <x v="10"/>
    <x v="16"/>
    <x v="16"/>
    <x v="0"/>
    <x v="1"/>
    <n v="5.1273871999999998E-2"/>
  </r>
  <r>
    <x v="0"/>
    <x v="10"/>
    <x v="12"/>
    <x v="17"/>
    <x v="0"/>
    <x v="0"/>
    <n v="266.77491840300002"/>
  </r>
  <r>
    <x v="0"/>
    <x v="10"/>
    <x v="13"/>
    <x v="17"/>
    <x v="0"/>
    <x v="0"/>
    <n v="97.867876718000005"/>
  </r>
  <r>
    <x v="0"/>
    <x v="10"/>
    <x v="14"/>
    <x v="17"/>
    <x v="0"/>
    <x v="0"/>
    <n v="16.373309279000001"/>
  </r>
  <r>
    <x v="0"/>
    <x v="10"/>
    <x v="15"/>
    <x v="17"/>
    <x v="0"/>
    <x v="1"/>
    <n v="4.920807E-2"/>
  </r>
  <r>
    <x v="0"/>
    <x v="10"/>
    <x v="16"/>
    <x v="17"/>
    <x v="0"/>
    <x v="1"/>
    <n v="5.0884274E-2"/>
  </r>
  <r>
    <x v="0"/>
    <x v="10"/>
    <x v="12"/>
    <x v="18"/>
    <x v="0"/>
    <x v="0"/>
    <n v="210.85273202400001"/>
  </r>
  <r>
    <x v="0"/>
    <x v="10"/>
    <x v="13"/>
    <x v="18"/>
    <x v="0"/>
    <x v="0"/>
    <n v="53.252324717"/>
  </r>
  <r>
    <x v="0"/>
    <x v="10"/>
    <x v="14"/>
    <x v="18"/>
    <x v="0"/>
    <x v="0"/>
    <n v="36.288272993"/>
  </r>
  <r>
    <x v="0"/>
    <x v="10"/>
    <x v="15"/>
    <x v="18"/>
    <x v="0"/>
    <x v="1"/>
    <n v="4.4505329000000003E-2"/>
  </r>
  <r>
    <x v="0"/>
    <x v="10"/>
    <x v="16"/>
    <x v="18"/>
    <x v="0"/>
    <x v="1"/>
    <n v="4.5199896000000003E-2"/>
  </r>
  <r>
    <x v="0"/>
    <x v="10"/>
    <x v="12"/>
    <x v="19"/>
    <x v="0"/>
    <x v="0"/>
    <n v="199.84340893800001"/>
  </r>
  <r>
    <x v="0"/>
    <x v="10"/>
    <x v="13"/>
    <x v="19"/>
    <x v="0"/>
    <x v="0"/>
    <n v="280.90576239299997"/>
  </r>
  <r>
    <x v="0"/>
    <x v="10"/>
    <x v="14"/>
    <x v="19"/>
    <x v="0"/>
    <x v="0"/>
    <n v="92.410305742999995"/>
  </r>
  <r>
    <x v="0"/>
    <x v="10"/>
    <x v="15"/>
    <x v="19"/>
    <x v="0"/>
    <x v="1"/>
    <n v="4.4514990999999997E-2"/>
  </r>
  <r>
    <x v="0"/>
    <x v="10"/>
    <x v="16"/>
    <x v="19"/>
    <x v="0"/>
    <x v="1"/>
    <n v="4.8498336000000003E-2"/>
  </r>
  <r>
    <x v="0"/>
    <x v="10"/>
    <x v="12"/>
    <x v="20"/>
    <x v="0"/>
    <x v="0"/>
    <n v="31.732649635000001"/>
  </r>
  <r>
    <x v="0"/>
    <x v="10"/>
    <x v="13"/>
    <x v="20"/>
    <x v="0"/>
    <x v="0"/>
    <n v="39.422552281000002"/>
  </r>
  <r>
    <x v="0"/>
    <x v="10"/>
    <x v="14"/>
    <x v="20"/>
    <x v="0"/>
    <x v="0"/>
    <n v="7.2331035610000001"/>
  </r>
  <r>
    <x v="0"/>
    <x v="10"/>
    <x v="15"/>
    <x v="20"/>
    <x v="0"/>
    <x v="1"/>
    <n v="4.3098072000000001E-2"/>
  </r>
  <r>
    <x v="0"/>
    <x v="10"/>
    <x v="16"/>
    <x v="20"/>
    <x v="0"/>
    <x v="1"/>
    <n v="4.6064325000000003E-2"/>
  </r>
  <r>
    <x v="0"/>
    <x v="10"/>
    <x v="12"/>
    <x v="21"/>
    <x v="0"/>
    <x v="0"/>
    <n v="14.583174122999999"/>
  </r>
  <r>
    <x v="0"/>
    <x v="10"/>
    <x v="13"/>
    <x v="21"/>
    <x v="0"/>
    <x v="0"/>
    <n v="0.92642372399999995"/>
  </r>
  <r>
    <x v="0"/>
    <x v="10"/>
    <x v="14"/>
    <x v="21"/>
    <x v="0"/>
    <x v="0"/>
    <n v="1.2986545629999999"/>
  </r>
  <r>
    <x v="0"/>
    <x v="10"/>
    <x v="15"/>
    <x v="21"/>
    <x v="0"/>
    <x v="1"/>
    <n v="5.5403962000000001E-2"/>
  </r>
  <r>
    <x v="0"/>
    <x v="10"/>
    <x v="16"/>
    <x v="21"/>
    <x v="0"/>
    <x v="1"/>
    <n v="5.5814978000000001E-2"/>
  </r>
  <r>
    <x v="0"/>
    <x v="10"/>
    <x v="12"/>
    <x v="22"/>
    <x v="0"/>
    <x v="0"/>
    <n v="78.170881910999995"/>
  </r>
  <r>
    <x v="0"/>
    <x v="10"/>
    <x v="13"/>
    <x v="22"/>
    <x v="0"/>
    <x v="0"/>
    <n v="1.3272280430000001"/>
  </r>
  <r>
    <x v="0"/>
    <x v="10"/>
    <x v="14"/>
    <x v="22"/>
    <x v="0"/>
    <x v="0"/>
    <n v="4.5185027169999996"/>
  </r>
  <r>
    <x v="0"/>
    <x v="10"/>
    <x v="15"/>
    <x v="22"/>
    <x v="0"/>
    <x v="1"/>
    <n v="1.105533E-2"/>
  </r>
  <r>
    <x v="0"/>
    <x v="10"/>
    <x v="16"/>
    <x v="22"/>
    <x v="0"/>
    <x v="1"/>
    <n v="9.3464930000000009E-3"/>
  </r>
  <r>
    <x v="0"/>
    <x v="10"/>
    <x v="12"/>
    <x v="23"/>
    <x v="0"/>
    <x v="0"/>
    <n v="7.3158189719999998"/>
  </r>
  <r>
    <x v="0"/>
    <x v="10"/>
    <x v="13"/>
    <x v="23"/>
    <x v="0"/>
    <x v="0"/>
    <n v="0"/>
  </r>
  <r>
    <x v="0"/>
    <x v="10"/>
    <x v="14"/>
    <x v="23"/>
    <x v="0"/>
    <x v="0"/>
    <n v="0"/>
  </r>
  <r>
    <x v="0"/>
    <x v="10"/>
    <x v="15"/>
    <x v="23"/>
    <x v="0"/>
    <x v="1"/>
    <n v="5.3099977E-2"/>
  </r>
  <r>
    <x v="0"/>
    <x v="10"/>
    <x v="16"/>
    <x v="23"/>
    <x v="0"/>
    <x v="1"/>
    <n v="5.3099977E-2"/>
  </r>
  <r>
    <x v="0"/>
    <x v="10"/>
    <x v="12"/>
    <x v="24"/>
    <x v="0"/>
    <x v="0"/>
    <n v="384.45137985700001"/>
  </r>
  <r>
    <x v="0"/>
    <x v="10"/>
    <x v="13"/>
    <x v="24"/>
    <x v="0"/>
    <x v="0"/>
    <n v="0.30529774100000001"/>
  </r>
  <r>
    <x v="0"/>
    <x v="10"/>
    <x v="14"/>
    <x v="24"/>
    <x v="0"/>
    <x v="0"/>
    <n v="0.35100923299999998"/>
  </r>
  <r>
    <x v="0"/>
    <x v="10"/>
    <x v="15"/>
    <x v="24"/>
    <x v="0"/>
    <x v="1"/>
    <n v="4.1006198000000001E-2"/>
  </r>
  <r>
    <x v="0"/>
    <x v="10"/>
    <x v="16"/>
    <x v="24"/>
    <x v="0"/>
    <x v="1"/>
    <n v="4.1007136E-2"/>
  </r>
  <r>
    <x v="0"/>
    <x v="10"/>
    <x v="12"/>
    <x v="25"/>
    <x v="0"/>
    <x v="0"/>
    <n v="19.763718791999999"/>
  </r>
  <r>
    <x v="0"/>
    <x v="10"/>
    <x v="13"/>
    <x v="25"/>
    <x v="0"/>
    <x v="0"/>
    <n v="1.7599999999999999E-7"/>
  </r>
  <r>
    <x v="0"/>
    <x v="10"/>
    <x v="14"/>
    <x v="25"/>
    <x v="0"/>
    <x v="0"/>
    <n v="0"/>
  </r>
  <r>
    <x v="0"/>
    <x v="10"/>
    <x v="15"/>
    <x v="25"/>
    <x v="0"/>
    <x v="1"/>
    <n v="3.6812479000000002E-2"/>
  </r>
  <r>
    <x v="0"/>
    <x v="10"/>
    <x v="16"/>
    <x v="25"/>
    <x v="0"/>
    <x v="1"/>
    <n v="3.6812479000000002E-2"/>
  </r>
  <r>
    <x v="0"/>
    <x v="10"/>
    <x v="12"/>
    <x v="26"/>
    <x v="0"/>
    <x v="0"/>
    <n v="9.0984135649999995"/>
  </r>
  <r>
    <x v="0"/>
    <x v="10"/>
    <x v="13"/>
    <x v="26"/>
    <x v="0"/>
    <x v="0"/>
    <n v="0"/>
  </r>
  <r>
    <x v="0"/>
    <x v="10"/>
    <x v="14"/>
    <x v="26"/>
    <x v="0"/>
    <x v="0"/>
    <n v="0"/>
  </r>
  <r>
    <x v="0"/>
    <x v="10"/>
    <x v="15"/>
    <x v="26"/>
    <x v="0"/>
    <x v="1"/>
    <n v="5.2975320999999999E-2"/>
  </r>
  <r>
    <x v="0"/>
    <x v="10"/>
    <x v="16"/>
    <x v="26"/>
    <x v="0"/>
    <x v="1"/>
    <n v="5.2975320999999999E-2"/>
  </r>
  <r>
    <x v="0"/>
    <x v="10"/>
    <x v="12"/>
    <x v="27"/>
    <x v="0"/>
    <x v="0"/>
    <n v="443.14069783799999"/>
  </r>
  <r>
    <x v="0"/>
    <x v="10"/>
    <x v="13"/>
    <x v="27"/>
    <x v="0"/>
    <x v="0"/>
    <n v="5.0674532799999996"/>
  </r>
  <r>
    <x v="0"/>
    <x v="10"/>
    <x v="14"/>
    <x v="27"/>
    <x v="0"/>
    <x v="0"/>
    <n v="1.582860647"/>
  </r>
  <r>
    <x v="0"/>
    <x v="10"/>
    <x v="15"/>
    <x v="27"/>
    <x v="0"/>
    <x v="1"/>
    <n v="6.0445236999999999E-2"/>
  </r>
  <r>
    <x v="0"/>
    <x v="10"/>
    <x v="16"/>
    <x v="27"/>
    <x v="0"/>
    <x v="1"/>
    <n v="6.0536703999999997E-2"/>
  </r>
  <r>
    <x v="0"/>
    <x v="10"/>
    <x v="12"/>
    <x v="28"/>
    <x v="0"/>
    <x v="0"/>
    <n v="511.67569032699998"/>
  </r>
  <r>
    <x v="0"/>
    <x v="10"/>
    <x v="13"/>
    <x v="28"/>
    <x v="0"/>
    <x v="0"/>
    <n v="0"/>
  </r>
  <r>
    <x v="0"/>
    <x v="10"/>
    <x v="14"/>
    <x v="28"/>
    <x v="0"/>
    <x v="0"/>
    <n v="63.959442537999998"/>
  </r>
  <r>
    <x v="0"/>
    <x v="10"/>
    <x v="15"/>
    <x v="28"/>
    <x v="0"/>
    <x v="1"/>
    <n v="4.2564749999999998E-2"/>
  </r>
  <r>
    <x v="0"/>
    <x v="10"/>
    <x v="16"/>
    <x v="28"/>
    <x v="0"/>
    <x v="1"/>
    <n v="4.2564749999999998E-2"/>
  </r>
  <r>
    <x v="0"/>
    <x v="10"/>
    <x v="12"/>
    <x v="29"/>
    <x v="0"/>
    <x v="0"/>
    <n v="471.11912233499999"/>
  </r>
  <r>
    <x v="0"/>
    <x v="10"/>
    <x v="13"/>
    <x v="29"/>
    <x v="0"/>
    <x v="0"/>
    <n v="57.021903162999998"/>
  </r>
  <r>
    <x v="0"/>
    <x v="10"/>
    <x v="14"/>
    <x v="29"/>
    <x v="0"/>
    <x v="0"/>
    <n v="22.037963466000001"/>
  </r>
  <r>
    <x v="0"/>
    <x v="10"/>
    <x v="15"/>
    <x v="29"/>
    <x v="0"/>
    <x v="1"/>
    <n v="4.6997569000000003E-2"/>
  </r>
  <r>
    <x v="0"/>
    <x v="10"/>
    <x v="16"/>
    <x v="29"/>
    <x v="0"/>
    <x v="1"/>
    <n v="4.7502983999999998E-2"/>
  </r>
  <r>
    <x v="0"/>
    <x v="10"/>
    <x v="12"/>
    <x v="30"/>
    <x v="0"/>
    <x v="0"/>
    <n v="112.66213385899999"/>
  </r>
  <r>
    <x v="0"/>
    <x v="10"/>
    <x v="13"/>
    <x v="30"/>
    <x v="0"/>
    <x v="0"/>
    <n v="35.803760719000003"/>
  </r>
  <r>
    <x v="0"/>
    <x v="10"/>
    <x v="14"/>
    <x v="30"/>
    <x v="0"/>
    <x v="0"/>
    <n v="0.854335497"/>
  </r>
  <r>
    <x v="0"/>
    <x v="10"/>
    <x v="15"/>
    <x v="30"/>
    <x v="0"/>
    <x v="1"/>
    <n v="7.2801818000000004E-2"/>
  </r>
  <r>
    <x v="0"/>
    <x v="10"/>
    <x v="16"/>
    <x v="30"/>
    <x v="0"/>
    <x v="1"/>
    <n v="7.6315264999999993E-2"/>
  </r>
  <r>
    <x v="0"/>
    <x v="10"/>
    <x v="12"/>
    <x v="31"/>
    <x v="0"/>
    <x v="0"/>
    <n v="172.77339075200001"/>
  </r>
  <r>
    <x v="0"/>
    <x v="10"/>
    <x v="13"/>
    <x v="31"/>
    <x v="0"/>
    <x v="0"/>
    <n v="8.0712022950000009"/>
  </r>
  <r>
    <x v="0"/>
    <x v="10"/>
    <x v="14"/>
    <x v="31"/>
    <x v="0"/>
    <x v="0"/>
    <n v="6.0490039969999998"/>
  </r>
  <r>
    <x v="0"/>
    <x v="10"/>
    <x v="15"/>
    <x v="31"/>
    <x v="0"/>
    <x v="1"/>
    <n v="3.8040747E-2"/>
  </r>
  <r>
    <x v="0"/>
    <x v="10"/>
    <x v="16"/>
    <x v="31"/>
    <x v="0"/>
    <x v="1"/>
    <n v="3.8015779E-2"/>
  </r>
  <r>
    <x v="0"/>
    <x v="10"/>
    <x v="12"/>
    <x v="32"/>
    <x v="0"/>
    <x v="0"/>
    <n v="606.120886477"/>
  </r>
  <r>
    <x v="0"/>
    <x v="10"/>
    <x v="13"/>
    <x v="32"/>
    <x v="0"/>
    <x v="0"/>
    <n v="4.5341978919999999"/>
  </r>
  <r>
    <x v="0"/>
    <x v="10"/>
    <x v="14"/>
    <x v="32"/>
    <x v="0"/>
    <x v="0"/>
    <n v="2.8784014039999999"/>
  </r>
  <r>
    <x v="0"/>
    <x v="10"/>
    <x v="15"/>
    <x v="32"/>
    <x v="0"/>
    <x v="1"/>
    <n v="3.7267689999999999E-2"/>
  </r>
  <r>
    <x v="0"/>
    <x v="10"/>
    <x v="16"/>
    <x v="32"/>
    <x v="0"/>
    <x v="1"/>
    <n v="3.7258976999999999E-2"/>
  </r>
  <r>
    <x v="0"/>
    <x v="10"/>
    <x v="12"/>
    <x v="33"/>
    <x v="0"/>
    <x v="0"/>
    <n v="558.19168721799997"/>
  </r>
  <r>
    <x v="0"/>
    <x v="10"/>
    <x v="13"/>
    <x v="33"/>
    <x v="0"/>
    <x v="0"/>
    <n v="0"/>
  </r>
  <r>
    <x v="0"/>
    <x v="10"/>
    <x v="14"/>
    <x v="33"/>
    <x v="0"/>
    <x v="0"/>
    <n v="0"/>
  </r>
  <r>
    <x v="0"/>
    <x v="10"/>
    <x v="15"/>
    <x v="33"/>
    <x v="0"/>
    <x v="1"/>
    <n v="2.2899994E-2"/>
  </r>
  <r>
    <x v="0"/>
    <x v="10"/>
    <x v="16"/>
    <x v="33"/>
    <x v="0"/>
    <x v="1"/>
    <n v="2.2899994E-2"/>
  </r>
  <r>
    <x v="0"/>
    <x v="10"/>
    <x v="12"/>
    <x v="34"/>
    <x v="0"/>
    <x v="0"/>
    <n v="278.27772381699998"/>
  </r>
  <r>
    <x v="0"/>
    <x v="10"/>
    <x v="13"/>
    <x v="34"/>
    <x v="0"/>
    <x v="0"/>
    <n v="59.710726645999998"/>
  </r>
  <r>
    <x v="0"/>
    <x v="10"/>
    <x v="14"/>
    <x v="34"/>
    <x v="0"/>
    <x v="0"/>
    <n v="14.156652006"/>
  </r>
  <r>
    <x v="0"/>
    <x v="10"/>
    <x v="15"/>
    <x v="34"/>
    <x v="0"/>
    <x v="1"/>
    <n v="4.9954838000000001E-2"/>
  </r>
  <r>
    <x v="0"/>
    <x v="10"/>
    <x v="16"/>
    <x v="34"/>
    <x v="0"/>
    <x v="1"/>
    <n v="5.1072583999999997E-2"/>
  </r>
  <r>
    <x v="0"/>
    <x v="10"/>
    <x v="12"/>
    <x v="35"/>
    <x v="0"/>
    <x v="0"/>
    <n v="225.27029109899999"/>
  </r>
  <r>
    <x v="0"/>
    <x v="10"/>
    <x v="13"/>
    <x v="35"/>
    <x v="0"/>
    <x v="0"/>
    <n v="6.2137489390000002"/>
  </r>
  <r>
    <x v="0"/>
    <x v="10"/>
    <x v="14"/>
    <x v="35"/>
    <x v="0"/>
    <x v="0"/>
    <n v="8.7195576999999996E-2"/>
  </r>
  <r>
    <x v="0"/>
    <x v="10"/>
    <x v="15"/>
    <x v="35"/>
    <x v="0"/>
    <x v="1"/>
    <n v="5.3965364000000002E-2"/>
  </r>
  <r>
    <x v="0"/>
    <x v="10"/>
    <x v="16"/>
    <x v="35"/>
    <x v="0"/>
    <x v="1"/>
    <n v="5.4149422000000003E-2"/>
  </r>
  <r>
    <x v="0"/>
    <x v="10"/>
    <x v="12"/>
    <x v="36"/>
    <x v="0"/>
    <x v="0"/>
    <n v="68.898747925999999"/>
  </r>
  <r>
    <x v="0"/>
    <x v="10"/>
    <x v="13"/>
    <x v="36"/>
    <x v="0"/>
    <x v="0"/>
    <n v="12.889519299"/>
  </r>
  <r>
    <x v="0"/>
    <x v="10"/>
    <x v="14"/>
    <x v="36"/>
    <x v="0"/>
    <x v="0"/>
    <n v="0.35221266699999998"/>
  </r>
  <r>
    <x v="0"/>
    <x v="10"/>
    <x v="15"/>
    <x v="36"/>
    <x v="0"/>
    <x v="1"/>
    <n v="6.1134855000000002E-2"/>
  </r>
  <r>
    <x v="0"/>
    <x v="10"/>
    <x v="16"/>
    <x v="36"/>
    <x v="0"/>
    <x v="1"/>
    <n v="6.2783526000000006E-2"/>
  </r>
  <r>
    <x v="0"/>
    <x v="10"/>
    <x v="12"/>
    <x v="37"/>
    <x v="0"/>
    <x v="0"/>
    <n v="81.387539364999995"/>
  </r>
  <r>
    <x v="0"/>
    <x v="10"/>
    <x v="13"/>
    <x v="37"/>
    <x v="0"/>
    <x v="0"/>
    <n v="3.1407971080000001"/>
  </r>
  <r>
    <x v="0"/>
    <x v="10"/>
    <x v="14"/>
    <x v="37"/>
    <x v="0"/>
    <x v="0"/>
    <n v="0.23237169099999999"/>
  </r>
  <r>
    <x v="0"/>
    <x v="10"/>
    <x v="15"/>
    <x v="37"/>
    <x v="0"/>
    <x v="1"/>
    <n v="6.6969730000000005E-2"/>
  </r>
  <r>
    <x v="0"/>
    <x v="10"/>
    <x v="16"/>
    <x v="37"/>
    <x v="0"/>
    <x v="1"/>
    <n v="6.7393315999999995E-2"/>
  </r>
  <r>
    <x v="0"/>
    <x v="10"/>
    <x v="12"/>
    <x v="38"/>
    <x v="0"/>
    <x v="0"/>
    <n v="236.215029566"/>
  </r>
  <r>
    <x v="0"/>
    <x v="10"/>
    <x v="13"/>
    <x v="38"/>
    <x v="0"/>
    <x v="0"/>
    <n v="13.690198936"/>
  </r>
  <r>
    <x v="0"/>
    <x v="10"/>
    <x v="14"/>
    <x v="38"/>
    <x v="0"/>
    <x v="0"/>
    <n v="7.7316752000000002E-2"/>
  </r>
  <r>
    <x v="0"/>
    <x v="10"/>
    <x v="15"/>
    <x v="38"/>
    <x v="0"/>
    <x v="1"/>
    <n v="9.7462633000000007E-2"/>
  </r>
  <r>
    <x v="0"/>
    <x v="10"/>
    <x v="16"/>
    <x v="38"/>
    <x v="0"/>
    <x v="1"/>
    <n v="9.8521947999999998E-2"/>
  </r>
  <r>
    <x v="0"/>
    <x v="10"/>
    <x v="12"/>
    <x v="39"/>
    <x v="0"/>
    <x v="0"/>
    <n v="118.8474384"/>
  </r>
  <r>
    <x v="0"/>
    <x v="10"/>
    <x v="13"/>
    <x v="39"/>
    <x v="0"/>
    <x v="0"/>
    <n v="5.0763868179999996"/>
  </r>
  <r>
    <x v="0"/>
    <x v="10"/>
    <x v="14"/>
    <x v="39"/>
    <x v="0"/>
    <x v="0"/>
    <n v="7.5165140000000005E-2"/>
  </r>
  <r>
    <x v="0"/>
    <x v="10"/>
    <x v="15"/>
    <x v="39"/>
    <x v="0"/>
    <x v="1"/>
    <n v="7.9316838000000001E-2"/>
  </r>
  <r>
    <x v="0"/>
    <x v="10"/>
    <x v="16"/>
    <x v="39"/>
    <x v="0"/>
    <x v="1"/>
    <n v="7.9853981000000004E-2"/>
  </r>
  <r>
    <x v="0"/>
    <x v="10"/>
    <x v="12"/>
    <x v="40"/>
    <x v="0"/>
    <x v="0"/>
    <n v="48.342501372999997"/>
  </r>
  <r>
    <x v="0"/>
    <x v="10"/>
    <x v="13"/>
    <x v="40"/>
    <x v="0"/>
    <x v="0"/>
    <n v="32.604208518999997"/>
  </r>
  <r>
    <x v="0"/>
    <x v="10"/>
    <x v="14"/>
    <x v="40"/>
    <x v="0"/>
    <x v="0"/>
    <n v="1.600818903"/>
  </r>
  <r>
    <x v="0"/>
    <x v="10"/>
    <x v="15"/>
    <x v="40"/>
    <x v="0"/>
    <x v="1"/>
    <n v="5.5531761999999998E-2"/>
  </r>
  <r>
    <x v="0"/>
    <x v="10"/>
    <x v="16"/>
    <x v="40"/>
    <x v="0"/>
    <x v="1"/>
    <n v="6.0608600999999998E-2"/>
  </r>
  <r>
    <x v="0"/>
    <x v="10"/>
    <x v="12"/>
    <x v="41"/>
    <x v="0"/>
    <x v="0"/>
    <n v="517.17808288200001"/>
  </r>
  <r>
    <x v="0"/>
    <x v="10"/>
    <x v="13"/>
    <x v="41"/>
    <x v="0"/>
    <x v="0"/>
    <n v="11.220284439"/>
  </r>
  <r>
    <x v="0"/>
    <x v="10"/>
    <x v="14"/>
    <x v="41"/>
    <x v="0"/>
    <x v="0"/>
    <n v="0.134446328"/>
  </r>
  <r>
    <x v="0"/>
    <x v="10"/>
    <x v="15"/>
    <x v="41"/>
    <x v="0"/>
    <x v="1"/>
    <n v="9.3556233000000003E-2"/>
  </r>
  <r>
    <x v="0"/>
    <x v="10"/>
    <x v="16"/>
    <x v="41"/>
    <x v="0"/>
    <x v="1"/>
    <n v="9.3906506000000001E-2"/>
  </r>
  <r>
    <x v="0"/>
    <x v="10"/>
    <x v="17"/>
    <x v="0"/>
    <x v="46"/>
    <x v="1"/>
    <n v="71.261611768999998"/>
  </r>
  <r>
    <x v="0"/>
    <x v="10"/>
    <x v="17"/>
    <x v="0"/>
    <x v="47"/>
    <x v="1"/>
    <n v="71.261611768999998"/>
  </r>
  <r>
    <x v="0"/>
    <x v="10"/>
    <x v="17"/>
    <x v="0"/>
    <x v="48"/>
    <x v="1"/>
    <n v="71.261611768999998"/>
  </r>
  <r>
    <x v="0"/>
    <x v="10"/>
    <x v="17"/>
    <x v="0"/>
    <x v="49"/>
    <x v="1"/>
    <n v="0"/>
  </r>
  <r>
    <x v="0"/>
    <x v="10"/>
    <x v="17"/>
    <x v="0"/>
    <x v="50"/>
    <x v="1"/>
    <n v="0"/>
  </r>
  <r>
    <x v="0"/>
    <x v="10"/>
    <x v="17"/>
    <x v="0"/>
    <x v="51"/>
    <x v="1"/>
    <n v="0"/>
  </r>
  <r>
    <x v="0"/>
    <x v="10"/>
    <x v="17"/>
    <x v="0"/>
    <x v="52"/>
    <x v="1"/>
    <n v="0"/>
  </r>
  <r>
    <x v="0"/>
    <x v="10"/>
    <x v="17"/>
    <x v="0"/>
    <x v="53"/>
    <x v="1"/>
    <n v="0"/>
  </r>
  <r>
    <x v="0"/>
    <x v="10"/>
    <x v="17"/>
    <x v="0"/>
    <x v="54"/>
    <x v="1"/>
    <n v="0"/>
  </r>
  <r>
    <x v="0"/>
    <x v="10"/>
    <x v="17"/>
    <x v="0"/>
    <x v="55"/>
    <x v="1"/>
    <n v="0"/>
  </r>
  <r>
    <x v="0"/>
    <x v="10"/>
    <x v="17"/>
    <x v="1"/>
    <x v="46"/>
    <x v="1"/>
    <n v="12.247434242000001"/>
  </r>
  <r>
    <x v="0"/>
    <x v="10"/>
    <x v="17"/>
    <x v="1"/>
    <x v="47"/>
    <x v="1"/>
    <n v="12.247434242000001"/>
  </r>
  <r>
    <x v="0"/>
    <x v="10"/>
    <x v="17"/>
    <x v="1"/>
    <x v="48"/>
    <x v="1"/>
    <n v="12.247434242000001"/>
  </r>
  <r>
    <x v="0"/>
    <x v="10"/>
    <x v="17"/>
    <x v="1"/>
    <x v="49"/>
    <x v="1"/>
    <n v="0"/>
  </r>
  <r>
    <x v="0"/>
    <x v="10"/>
    <x v="17"/>
    <x v="1"/>
    <x v="50"/>
    <x v="1"/>
    <n v="0"/>
  </r>
  <r>
    <x v="0"/>
    <x v="10"/>
    <x v="17"/>
    <x v="1"/>
    <x v="51"/>
    <x v="1"/>
    <n v="0"/>
  </r>
  <r>
    <x v="0"/>
    <x v="10"/>
    <x v="17"/>
    <x v="1"/>
    <x v="52"/>
    <x v="1"/>
    <n v="0"/>
  </r>
  <r>
    <x v="0"/>
    <x v="10"/>
    <x v="17"/>
    <x v="1"/>
    <x v="53"/>
    <x v="1"/>
    <n v="0"/>
  </r>
  <r>
    <x v="0"/>
    <x v="10"/>
    <x v="17"/>
    <x v="1"/>
    <x v="54"/>
    <x v="1"/>
    <n v="0"/>
  </r>
  <r>
    <x v="0"/>
    <x v="10"/>
    <x v="17"/>
    <x v="1"/>
    <x v="55"/>
    <x v="1"/>
    <n v="0"/>
  </r>
  <r>
    <x v="0"/>
    <x v="10"/>
    <x v="17"/>
    <x v="2"/>
    <x v="46"/>
    <x v="1"/>
    <n v="8.771353994"/>
  </r>
  <r>
    <x v="0"/>
    <x v="10"/>
    <x v="17"/>
    <x v="2"/>
    <x v="47"/>
    <x v="1"/>
    <n v="8.771353994"/>
  </r>
  <r>
    <x v="0"/>
    <x v="10"/>
    <x v="17"/>
    <x v="2"/>
    <x v="48"/>
    <x v="1"/>
    <n v="8.771353994"/>
  </r>
  <r>
    <x v="0"/>
    <x v="10"/>
    <x v="17"/>
    <x v="2"/>
    <x v="49"/>
    <x v="1"/>
    <n v="0"/>
  </r>
  <r>
    <x v="0"/>
    <x v="10"/>
    <x v="17"/>
    <x v="2"/>
    <x v="50"/>
    <x v="1"/>
    <n v="0"/>
  </r>
  <r>
    <x v="0"/>
    <x v="10"/>
    <x v="17"/>
    <x v="2"/>
    <x v="51"/>
    <x v="1"/>
    <n v="0"/>
  </r>
  <r>
    <x v="0"/>
    <x v="10"/>
    <x v="17"/>
    <x v="2"/>
    <x v="52"/>
    <x v="1"/>
    <n v="0"/>
  </r>
  <r>
    <x v="0"/>
    <x v="10"/>
    <x v="17"/>
    <x v="2"/>
    <x v="53"/>
    <x v="1"/>
    <n v="0"/>
  </r>
  <r>
    <x v="0"/>
    <x v="10"/>
    <x v="17"/>
    <x v="2"/>
    <x v="54"/>
    <x v="1"/>
    <n v="0"/>
  </r>
  <r>
    <x v="0"/>
    <x v="10"/>
    <x v="17"/>
    <x v="2"/>
    <x v="55"/>
    <x v="1"/>
    <n v="0"/>
  </r>
  <r>
    <x v="0"/>
    <x v="10"/>
    <x v="17"/>
    <x v="3"/>
    <x v="46"/>
    <x v="1"/>
    <n v="5.519718621"/>
  </r>
  <r>
    <x v="0"/>
    <x v="10"/>
    <x v="17"/>
    <x v="3"/>
    <x v="47"/>
    <x v="1"/>
    <n v="5.519718621"/>
  </r>
  <r>
    <x v="0"/>
    <x v="10"/>
    <x v="17"/>
    <x v="3"/>
    <x v="48"/>
    <x v="1"/>
    <n v="5.519718621"/>
  </r>
  <r>
    <x v="0"/>
    <x v="10"/>
    <x v="17"/>
    <x v="3"/>
    <x v="49"/>
    <x v="1"/>
    <n v="0"/>
  </r>
  <r>
    <x v="0"/>
    <x v="10"/>
    <x v="17"/>
    <x v="3"/>
    <x v="50"/>
    <x v="1"/>
    <n v="0"/>
  </r>
  <r>
    <x v="0"/>
    <x v="10"/>
    <x v="17"/>
    <x v="3"/>
    <x v="51"/>
    <x v="1"/>
    <n v="0"/>
  </r>
  <r>
    <x v="0"/>
    <x v="10"/>
    <x v="17"/>
    <x v="3"/>
    <x v="52"/>
    <x v="1"/>
    <n v="0"/>
  </r>
  <r>
    <x v="0"/>
    <x v="10"/>
    <x v="17"/>
    <x v="3"/>
    <x v="53"/>
    <x v="1"/>
    <n v="0"/>
  </r>
  <r>
    <x v="0"/>
    <x v="10"/>
    <x v="17"/>
    <x v="3"/>
    <x v="54"/>
    <x v="1"/>
    <n v="0"/>
  </r>
  <r>
    <x v="0"/>
    <x v="10"/>
    <x v="17"/>
    <x v="3"/>
    <x v="55"/>
    <x v="1"/>
    <n v="0"/>
  </r>
  <r>
    <x v="0"/>
    <x v="10"/>
    <x v="17"/>
    <x v="4"/>
    <x v="46"/>
    <x v="1"/>
    <n v="2.9382684540000001"/>
  </r>
  <r>
    <x v="0"/>
    <x v="10"/>
    <x v="17"/>
    <x v="4"/>
    <x v="47"/>
    <x v="1"/>
    <n v="2.9382684540000001"/>
  </r>
  <r>
    <x v="0"/>
    <x v="10"/>
    <x v="17"/>
    <x v="4"/>
    <x v="48"/>
    <x v="1"/>
    <n v="2.9382684540000001"/>
  </r>
  <r>
    <x v="0"/>
    <x v="10"/>
    <x v="17"/>
    <x v="4"/>
    <x v="49"/>
    <x v="1"/>
    <n v="0"/>
  </r>
  <r>
    <x v="0"/>
    <x v="10"/>
    <x v="17"/>
    <x v="4"/>
    <x v="50"/>
    <x v="1"/>
    <n v="0"/>
  </r>
  <r>
    <x v="0"/>
    <x v="10"/>
    <x v="17"/>
    <x v="4"/>
    <x v="51"/>
    <x v="1"/>
    <n v="0"/>
  </r>
  <r>
    <x v="0"/>
    <x v="10"/>
    <x v="17"/>
    <x v="4"/>
    <x v="52"/>
    <x v="1"/>
    <n v="0"/>
  </r>
  <r>
    <x v="0"/>
    <x v="10"/>
    <x v="17"/>
    <x v="4"/>
    <x v="53"/>
    <x v="1"/>
    <n v="0"/>
  </r>
  <r>
    <x v="0"/>
    <x v="10"/>
    <x v="17"/>
    <x v="4"/>
    <x v="54"/>
    <x v="1"/>
    <n v="0"/>
  </r>
  <r>
    <x v="0"/>
    <x v="10"/>
    <x v="17"/>
    <x v="4"/>
    <x v="55"/>
    <x v="1"/>
    <n v="0"/>
  </r>
  <r>
    <x v="0"/>
    <x v="10"/>
    <x v="17"/>
    <x v="5"/>
    <x v="46"/>
    <x v="1"/>
    <n v="42.061364046000001"/>
  </r>
  <r>
    <x v="0"/>
    <x v="10"/>
    <x v="17"/>
    <x v="5"/>
    <x v="47"/>
    <x v="1"/>
    <n v="42.061364046000001"/>
  </r>
  <r>
    <x v="0"/>
    <x v="10"/>
    <x v="17"/>
    <x v="5"/>
    <x v="48"/>
    <x v="1"/>
    <n v="42.061364046000001"/>
  </r>
  <r>
    <x v="0"/>
    <x v="10"/>
    <x v="17"/>
    <x v="5"/>
    <x v="49"/>
    <x v="1"/>
    <n v="0"/>
  </r>
  <r>
    <x v="0"/>
    <x v="10"/>
    <x v="17"/>
    <x v="5"/>
    <x v="50"/>
    <x v="1"/>
    <n v="0"/>
  </r>
  <r>
    <x v="0"/>
    <x v="10"/>
    <x v="17"/>
    <x v="5"/>
    <x v="51"/>
    <x v="1"/>
    <n v="0"/>
  </r>
  <r>
    <x v="0"/>
    <x v="10"/>
    <x v="17"/>
    <x v="5"/>
    <x v="52"/>
    <x v="1"/>
    <n v="0"/>
  </r>
  <r>
    <x v="0"/>
    <x v="10"/>
    <x v="17"/>
    <x v="5"/>
    <x v="53"/>
    <x v="1"/>
    <n v="0"/>
  </r>
  <r>
    <x v="0"/>
    <x v="10"/>
    <x v="17"/>
    <x v="5"/>
    <x v="54"/>
    <x v="1"/>
    <n v="0"/>
  </r>
  <r>
    <x v="0"/>
    <x v="10"/>
    <x v="17"/>
    <x v="5"/>
    <x v="55"/>
    <x v="1"/>
    <n v="0"/>
  </r>
  <r>
    <x v="0"/>
    <x v="10"/>
    <x v="17"/>
    <x v="6"/>
    <x v="46"/>
    <x v="1"/>
    <n v="11.899357927000001"/>
  </r>
  <r>
    <x v="0"/>
    <x v="10"/>
    <x v="17"/>
    <x v="6"/>
    <x v="47"/>
    <x v="1"/>
    <n v="11.899357927000001"/>
  </r>
  <r>
    <x v="0"/>
    <x v="10"/>
    <x v="17"/>
    <x v="6"/>
    <x v="48"/>
    <x v="1"/>
    <n v="11.899357927000001"/>
  </r>
  <r>
    <x v="0"/>
    <x v="10"/>
    <x v="17"/>
    <x v="6"/>
    <x v="49"/>
    <x v="1"/>
    <n v="0"/>
  </r>
  <r>
    <x v="0"/>
    <x v="10"/>
    <x v="17"/>
    <x v="6"/>
    <x v="50"/>
    <x v="1"/>
    <n v="0"/>
  </r>
  <r>
    <x v="0"/>
    <x v="10"/>
    <x v="17"/>
    <x v="6"/>
    <x v="51"/>
    <x v="1"/>
    <n v="0"/>
  </r>
  <r>
    <x v="0"/>
    <x v="10"/>
    <x v="17"/>
    <x v="6"/>
    <x v="52"/>
    <x v="1"/>
    <n v="0"/>
  </r>
  <r>
    <x v="0"/>
    <x v="10"/>
    <x v="17"/>
    <x v="6"/>
    <x v="53"/>
    <x v="1"/>
    <n v="0"/>
  </r>
  <r>
    <x v="0"/>
    <x v="10"/>
    <x v="17"/>
    <x v="6"/>
    <x v="54"/>
    <x v="1"/>
    <n v="0"/>
  </r>
  <r>
    <x v="0"/>
    <x v="10"/>
    <x v="17"/>
    <x v="6"/>
    <x v="55"/>
    <x v="1"/>
    <n v="0"/>
  </r>
  <r>
    <x v="0"/>
    <x v="10"/>
    <x v="17"/>
    <x v="7"/>
    <x v="46"/>
    <x v="1"/>
    <n v="7.7867942890000004"/>
  </r>
  <r>
    <x v="0"/>
    <x v="10"/>
    <x v="17"/>
    <x v="7"/>
    <x v="47"/>
    <x v="1"/>
    <n v="7.7867942890000004"/>
  </r>
  <r>
    <x v="0"/>
    <x v="10"/>
    <x v="17"/>
    <x v="7"/>
    <x v="48"/>
    <x v="1"/>
    <n v="7.7867942890000004"/>
  </r>
  <r>
    <x v="0"/>
    <x v="10"/>
    <x v="17"/>
    <x v="7"/>
    <x v="49"/>
    <x v="1"/>
    <n v="0"/>
  </r>
  <r>
    <x v="0"/>
    <x v="10"/>
    <x v="17"/>
    <x v="7"/>
    <x v="50"/>
    <x v="1"/>
    <n v="0"/>
  </r>
  <r>
    <x v="0"/>
    <x v="10"/>
    <x v="17"/>
    <x v="7"/>
    <x v="51"/>
    <x v="1"/>
    <n v="0"/>
  </r>
  <r>
    <x v="0"/>
    <x v="10"/>
    <x v="17"/>
    <x v="7"/>
    <x v="52"/>
    <x v="1"/>
    <n v="0"/>
  </r>
  <r>
    <x v="0"/>
    <x v="10"/>
    <x v="17"/>
    <x v="7"/>
    <x v="53"/>
    <x v="1"/>
    <n v="0"/>
  </r>
  <r>
    <x v="0"/>
    <x v="10"/>
    <x v="17"/>
    <x v="7"/>
    <x v="54"/>
    <x v="1"/>
    <n v="0"/>
  </r>
  <r>
    <x v="0"/>
    <x v="10"/>
    <x v="17"/>
    <x v="7"/>
    <x v="55"/>
    <x v="1"/>
    <n v="0"/>
  </r>
  <r>
    <x v="0"/>
    <x v="10"/>
    <x v="17"/>
    <x v="8"/>
    <x v="46"/>
    <x v="1"/>
    <n v="5.1408331120000001"/>
  </r>
  <r>
    <x v="0"/>
    <x v="10"/>
    <x v="17"/>
    <x v="8"/>
    <x v="47"/>
    <x v="1"/>
    <n v="5.1408331120000001"/>
  </r>
  <r>
    <x v="0"/>
    <x v="10"/>
    <x v="17"/>
    <x v="8"/>
    <x v="48"/>
    <x v="1"/>
    <n v="5.1408331120000001"/>
  </r>
  <r>
    <x v="0"/>
    <x v="10"/>
    <x v="17"/>
    <x v="8"/>
    <x v="49"/>
    <x v="1"/>
    <n v="0"/>
  </r>
  <r>
    <x v="0"/>
    <x v="10"/>
    <x v="17"/>
    <x v="8"/>
    <x v="50"/>
    <x v="1"/>
    <n v="0"/>
  </r>
  <r>
    <x v="0"/>
    <x v="10"/>
    <x v="17"/>
    <x v="8"/>
    <x v="51"/>
    <x v="1"/>
    <n v="0"/>
  </r>
  <r>
    <x v="0"/>
    <x v="10"/>
    <x v="17"/>
    <x v="8"/>
    <x v="52"/>
    <x v="1"/>
    <n v="0"/>
  </r>
  <r>
    <x v="0"/>
    <x v="10"/>
    <x v="17"/>
    <x v="8"/>
    <x v="53"/>
    <x v="1"/>
    <n v="0"/>
  </r>
  <r>
    <x v="0"/>
    <x v="10"/>
    <x v="17"/>
    <x v="8"/>
    <x v="54"/>
    <x v="1"/>
    <n v="0"/>
  </r>
  <r>
    <x v="0"/>
    <x v="10"/>
    <x v="17"/>
    <x v="8"/>
    <x v="55"/>
    <x v="1"/>
    <n v="0"/>
  </r>
  <r>
    <x v="0"/>
    <x v="10"/>
    <x v="17"/>
    <x v="9"/>
    <x v="46"/>
    <x v="1"/>
    <n v="11.652928837999999"/>
  </r>
  <r>
    <x v="0"/>
    <x v="10"/>
    <x v="17"/>
    <x v="9"/>
    <x v="47"/>
    <x v="1"/>
    <n v="11.652928837999999"/>
  </r>
  <r>
    <x v="0"/>
    <x v="10"/>
    <x v="17"/>
    <x v="9"/>
    <x v="48"/>
    <x v="1"/>
    <n v="11.652928837999999"/>
  </r>
  <r>
    <x v="0"/>
    <x v="10"/>
    <x v="17"/>
    <x v="9"/>
    <x v="49"/>
    <x v="1"/>
    <n v="0"/>
  </r>
  <r>
    <x v="0"/>
    <x v="10"/>
    <x v="17"/>
    <x v="9"/>
    <x v="50"/>
    <x v="1"/>
    <n v="0"/>
  </r>
  <r>
    <x v="0"/>
    <x v="10"/>
    <x v="17"/>
    <x v="9"/>
    <x v="51"/>
    <x v="1"/>
    <n v="0"/>
  </r>
  <r>
    <x v="0"/>
    <x v="10"/>
    <x v="17"/>
    <x v="9"/>
    <x v="52"/>
    <x v="1"/>
    <n v="0"/>
  </r>
  <r>
    <x v="0"/>
    <x v="10"/>
    <x v="17"/>
    <x v="9"/>
    <x v="53"/>
    <x v="1"/>
    <n v="0"/>
  </r>
  <r>
    <x v="0"/>
    <x v="10"/>
    <x v="17"/>
    <x v="9"/>
    <x v="54"/>
    <x v="1"/>
    <n v="0"/>
  </r>
  <r>
    <x v="0"/>
    <x v="10"/>
    <x v="17"/>
    <x v="9"/>
    <x v="55"/>
    <x v="1"/>
    <n v="0"/>
  </r>
  <r>
    <x v="0"/>
    <x v="10"/>
    <x v="17"/>
    <x v="10"/>
    <x v="46"/>
    <x v="1"/>
    <n v="12.512538230000001"/>
  </r>
  <r>
    <x v="0"/>
    <x v="10"/>
    <x v="17"/>
    <x v="10"/>
    <x v="47"/>
    <x v="1"/>
    <n v="12.512538230000001"/>
  </r>
  <r>
    <x v="0"/>
    <x v="10"/>
    <x v="17"/>
    <x v="10"/>
    <x v="48"/>
    <x v="1"/>
    <n v="12.512538230000001"/>
  </r>
  <r>
    <x v="0"/>
    <x v="10"/>
    <x v="17"/>
    <x v="10"/>
    <x v="49"/>
    <x v="1"/>
    <n v="0"/>
  </r>
  <r>
    <x v="0"/>
    <x v="10"/>
    <x v="17"/>
    <x v="10"/>
    <x v="50"/>
    <x v="1"/>
    <n v="0"/>
  </r>
  <r>
    <x v="0"/>
    <x v="10"/>
    <x v="17"/>
    <x v="10"/>
    <x v="51"/>
    <x v="1"/>
    <n v="0"/>
  </r>
  <r>
    <x v="0"/>
    <x v="10"/>
    <x v="17"/>
    <x v="10"/>
    <x v="52"/>
    <x v="1"/>
    <n v="0"/>
  </r>
  <r>
    <x v="0"/>
    <x v="10"/>
    <x v="17"/>
    <x v="10"/>
    <x v="53"/>
    <x v="1"/>
    <n v="0"/>
  </r>
  <r>
    <x v="0"/>
    <x v="10"/>
    <x v="17"/>
    <x v="10"/>
    <x v="54"/>
    <x v="1"/>
    <n v="0"/>
  </r>
  <r>
    <x v="0"/>
    <x v="10"/>
    <x v="17"/>
    <x v="10"/>
    <x v="55"/>
    <x v="1"/>
    <n v="0"/>
  </r>
  <r>
    <x v="0"/>
    <x v="10"/>
    <x v="17"/>
    <x v="11"/>
    <x v="46"/>
    <x v="1"/>
    <n v="40.744300690999999"/>
  </r>
  <r>
    <x v="0"/>
    <x v="10"/>
    <x v="17"/>
    <x v="11"/>
    <x v="47"/>
    <x v="1"/>
    <n v="40.744300690999999"/>
  </r>
  <r>
    <x v="0"/>
    <x v="10"/>
    <x v="17"/>
    <x v="11"/>
    <x v="48"/>
    <x v="1"/>
    <n v="40.744300690999999"/>
  </r>
  <r>
    <x v="0"/>
    <x v="10"/>
    <x v="17"/>
    <x v="11"/>
    <x v="49"/>
    <x v="1"/>
    <n v="0"/>
  </r>
  <r>
    <x v="0"/>
    <x v="10"/>
    <x v="17"/>
    <x v="11"/>
    <x v="50"/>
    <x v="1"/>
    <n v="0"/>
  </r>
  <r>
    <x v="0"/>
    <x v="10"/>
    <x v="17"/>
    <x v="11"/>
    <x v="51"/>
    <x v="1"/>
    <n v="0"/>
  </r>
  <r>
    <x v="0"/>
    <x v="10"/>
    <x v="17"/>
    <x v="11"/>
    <x v="52"/>
    <x v="1"/>
    <n v="0"/>
  </r>
  <r>
    <x v="0"/>
    <x v="10"/>
    <x v="17"/>
    <x v="11"/>
    <x v="53"/>
    <x v="1"/>
    <n v="0"/>
  </r>
  <r>
    <x v="0"/>
    <x v="10"/>
    <x v="17"/>
    <x v="11"/>
    <x v="54"/>
    <x v="1"/>
    <n v="0"/>
  </r>
  <r>
    <x v="0"/>
    <x v="10"/>
    <x v="17"/>
    <x v="11"/>
    <x v="55"/>
    <x v="1"/>
    <n v="0"/>
  </r>
  <r>
    <x v="0"/>
    <x v="10"/>
    <x v="17"/>
    <x v="12"/>
    <x v="46"/>
    <x v="1"/>
    <n v="11.301102423"/>
  </r>
  <r>
    <x v="0"/>
    <x v="10"/>
    <x v="17"/>
    <x v="12"/>
    <x v="47"/>
    <x v="1"/>
    <n v="11.301102423"/>
  </r>
  <r>
    <x v="0"/>
    <x v="10"/>
    <x v="17"/>
    <x v="12"/>
    <x v="48"/>
    <x v="1"/>
    <n v="11.301102423"/>
  </r>
  <r>
    <x v="0"/>
    <x v="10"/>
    <x v="17"/>
    <x v="12"/>
    <x v="49"/>
    <x v="1"/>
    <n v="0"/>
  </r>
  <r>
    <x v="0"/>
    <x v="10"/>
    <x v="17"/>
    <x v="12"/>
    <x v="50"/>
    <x v="1"/>
    <n v="0"/>
  </r>
  <r>
    <x v="0"/>
    <x v="10"/>
    <x v="17"/>
    <x v="12"/>
    <x v="51"/>
    <x v="1"/>
    <n v="0"/>
  </r>
  <r>
    <x v="0"/>
    <x v="10"/>
    <x v="17"/>
    <x v="12"/>
    <x v="52"/>
    <x v="1"/>
    <n v="0"/>
  </r>
  <r>
    <x v="0"/>
    <x v="10"/>
    <x v="17"/>
    <x v="12"/>
    <x v="53"/>
    <x v="1"/>
    <n v="0"/>
  </r>
  <r>
    <x v="0"/>
    <x v="10"/>
    <x v="17"/>
    <x v="12"/>
    <x v="54"/>
    <x v="1"/>
    <n v="0"/>
  </r>
  <r>
    <x v="0"/>
    <x v="10"/>
    <x v="17"/>
    <x v="12"/>
    <x v="55"/>
    <x v="1"/>
    <n v="0"/>
  </r>
  <r>
    <x v="0"/>
    <x v="10"/>
    <x v="17"/>
    <x v="13"/>
    <x v="46"/>
    <x v="1"/>
    <n v="25.449672601"/>
  </r>
  <r>
    <x v="0"/>
    <x v="10"/>
    <x v="17"/>
    <x v="13"/>
    <x v="47"/>
    <x v="1"/>
    <n v="25.449672601"/>
  </r>
  <r>
    <x v="0"/>
    <x v="10"/>
    <x v="17"/>
    <x v="13"/>
    <x v="48"/>
    <x v="1"/>
    <n v="25.449672601"/>
  </r>
  <r>
    <x v="0"/>
    <x v="10"/>
    <x v="17"/>
    <x v="13"/>
    <x v="49"/>
    <x v="1"/>
    <n v="0"/>
  </r>
  <r>
    <x v="0"/>
    <x v="10"/>
    <x v="17"/>
    <x v="13"/>
    <x v="50"/>
    <x v="1"/>
    <n v="0"/>
  </r>
  <r>
    <x v="0"/>
    <x v="10"/>
    <x v="17"/>
    <x v="13"/>
    <x v="51"/>
    <x v="1"/>
    <n v="0"/>
  </r>
  <r>
    <x v="0"/>
    <x v="10"/>
    <x v="17"/>
    <x v="13"/>
    <x v="52"/>
    <x v="1"/>
    <n v="0"/>
  </r>
  <r>
    <x v="0"/>
    <x v="10"/>
    <x v="17"/>
    <x v="13"/>
    <x v="53"/>
    <x v="1"/>
    <n v="0"/>
  </r>
  <r>
    <x v="0"/>
    <x v="10"/>
    <x v="17"/>
    <x v="13"/>
    <x v="54"/>
    <x v="1"/>
    <n v="0"/>
  </r>
  <r>
    <x v="0"/>
    <x v="10"/>
    <x v="17"/>
    <x v="13"/>
    <x v="55"/>
    <x v="1"/>
    <n v="0"/>
  </r>
  <r>
    <x v="0"/>
    <x v="10"/>
    <x v="17"/>
    <x v="14"/>
    <x v="46"/>
    <x v="1"/>
    <n v="8.0407213800000008"/>
  </r>
  <r>
    <x v="0"/>
    <x v="10"/>
    <x v="17"/>
    <x v="14"/>
    <x v="47"/>
    <x v="1"/>
    <n v="8.0407213800000008"/>
  </r>
  <r>
    <x v="0"/>
    <x v="10"/>
    <x v="17"/>
    <x v="14"/>
    <x v="48"/>
    <x v="1"/>
    <n v="8.0407213800000008"/>
  </r>
  <r>
    <x v="0"/>
    <x v="10"/>
    <x v="17"/>
    <x v="14"/>
    <x v="49"/>
    <x v="1"/>
    <n v="0"/>
  </r>
  <r>
    <x v="0"/>
    <x v="10"/>
    <x v="17"/>
    <x v="14"/>
    <x v="50"/>
    <x v="1"/>
    <n v="0"/>
  </r>
  <r>
    <x v="0"/>
    <x v="10"/>
    <x v="17"/>
    <x v="14"/>
    <x v="51"/>
    <x v="1"/>
    <n v="0"/>
  </r>
  <r>
    <x v="0"/>
    <x v="10"/>
    <x v="17"/>
    <x v="14"/>
    <x v="52"/>
    <x v="1"/>
    <n v="0"/>
  </r>
  <r>
    <x v="0"/>
    <x v="10"/>
    <x v="17"/>
    <x v="14"/>
    <x v="53"/>
    <x v="1"/>
    <n v="0"/>
  </r>
  <r>
    <x v="0"/>
    <x v="10"/>
    <x v="17"/>
    <x v="14"/>
    <x v="54"/>
    <x v="1"/>
    <n v="0"/>
  </r>
  <r>
    <x v="0"/>
    <x v="10"/>
    <x v="17"/>
    <x v="14"/>
    <x v="55"/>
    <x v="1"/>
    <n v="0"/>
  </r>
  <r>
    <x v="0"/>
    <x v="10"/>
    <x v="17"/>
    <x v="15"/>
    <x v="46"/>
    <x v="1"/>
    <n v="9.3282551510000005"/>
  </r>
  <r>
    <x v="0"/>
    <x v="10"/>
    <x v="17"/>
    <x v="15"/>
    <x v="47"/>
    <x v="1"/>
    <n v="9.3282551510000005"/>
  </r>
  <r>
    <x v="0"/>
    <x v="10"/>
    <x v="17"/>
    <x v="15"/>
    <x v="48"/>
    <x v="1"/>
    <n v="9.3282551510000005"/>
  </r>
  <r>
    <x v="0"/>
    <x v="10"/>
    <x v="17"/>
    <x v="15"/>
    <x v="49"/>
    <x v="1"/>
    <n v="0"/>
  </r>
  <r>
    <x v="0"/>
    <x v="10"/>
    <x v="17"/>
    <x v="15"/>
    <x v="50"/>
    <x v="1"/>
    <n v="0"/>
  </r>
  <r>
    <x v="0"/>
    <x v="10"/>
    <x v="17"/>
    <x v="15"/>
    <x v="51"/>
    <x v="1"/>
    <n v="0"/>
  </r>
  <r>
    <x v="0"/>
    <x v="10"/>
    <x v="17"/>
    <x v="15"/>
    <x v="52"/>
    <x v="1"/>
    <n v="0"/>
  </r>
  <r>
    <x v="0"/>
    <x v="10"/>
    <x v="17"/>
    <x v="15"/>
    <x v="53"/>
    <x v="1"/>
    <n v="0"/>
  </r>
  <r>
    <x v="0"/>
    <x v="10"/>
    <x v="17"/>
    <x v="15"/>
    <x v="54"/>
    <x v="1"/>
    <n v="0"/>
  </r>
  <r>
    <x v="0"/>
    <x v="10"/>
    <x v="17"/>
    <x v="15"/>
    <x v="55"/>
    <x v="1"/>
    <n v="0"/>
  </r>
  <r>
    <x v="0"/>
    <x v="10"/>
    <x v="17"/>
    <x v="16"/>
    <x v="46"/>
    <x v="1"/>
    <n v="6.0709161070000004"/>
  </r>
  <r>
    <x v="0"/>
    <x v="10"/>
    <x v="17"/>
    <x v="16"/>
    <x v="47"/>
    <x v="1"/>
    <n v="6.0709161070000004"/>
  </r>
  <r>
    <x v="0"/>
    <x v="10"/>
    <x v="17"/>
    <x v="16"/>
    <x v="48"/>
    <x v="1"/>
    <n v="6.0709161070000004"/>
  </r>
  <r>
    <x v="0"/>
    <x v="10"/>
    <x v="17"/>
    <x v="16"/>
    <x v="49"/>
    <x v="1"/>
    <n v="0"/>
  </r>
  <r>
    <x v="0"/>
    <x v="10"/>
    <x v="17"/>
    <x v="16"/>
    <x v="50"/>
    <x v="1"/>
    <n v="0"/>
  </r>
  <r>
    <x v="0"/>
    <x v="10"/>
    <x v="17"/>
    <x v="16"/>
    <x v="51"/>
    <x v="1"/>
    <n v="0"/>
  </r>
  <r>
    <x v="0"/>
    <x v="10"/>
    <x v="17"/>
    <x v="16"/>
    <x v="52"/>
    <x v="1"/>
    <n v="0"/>
  </r>
  <r>
    <x v="0"/>
    <x v="10"/>
    <x v="17"/>
    <x v="16"/>
    <x v="53"/>
    <x v="1"/>
    <n v="0"/>
  </r>
  <r>
    <x v="0"/>
    <x v="10"/>
    <x v="17"/>
    <x v="16"/>
    <x v="54"/>
    <x v="1"/>
    <n v="0"/>
  </r>
  <r>
    <x v="0"/>
    <x v="10"/>
    <x v="17"/>
    <x v="16"/>
    <x v="55"/>
    <x v="1"/>
    <n v="0"/>
  </r>
  <r>
    <x v="0"/>
    <x v="10"/>
    <x v="17"/>
    <x v="17"/>
    <x v="46"/>
    <x v="1"/>
    <n v="14.383587887999999"/>
  </r>
  <r>
    <x v="0"/>
    <x v="10"/>
    <x v="17"/>
    <x v="17"/>
    <x v="47"/>
    <x v="1"/>
    <n v="14.383587887999999"/>
  </r>
  <r>
    <x v="0"/>
    <x v="10"/>
    <x v="17"/>
    <x v="17"/>
    <x v="48"/>
    <x v="1"/>
    <n v="14.383587887999999"/>
  </r>
  <r>
    <x v="0"/>
    <x v="10"/>
    <x v="17"/>
    <x v="17"/>
    <x v="49"/>
    <x v="1"/>
    <n v="0"/>
  </r>
  <r>
    <x v="0"/>
    <x v="10"/>
    <x v="17"/>
    <x v="17"/>
    <x v="50"/>
    <x v="1"/>
    <n v="0"/>
  </r>
  <r>
    <x v="0"/>
    <x v="10"/>
    <x v="17"/>
    <x v="17"/>
    <x v="51"/>
    <x v="1"/>
    <n v="0"/>
  </r>
  <r>
    <x v="0"/>
    <x v="10"/>
    <x v="17"/>
    <x v="17"/>
    <x v="52"/>
    <x v="1"/>
    <n v="0"/>
  </r>
  <r>
    <x v="0"/>
    <x v="10"/>
    <x v="17"/>
    <x v="17"/>
    <x v="53"/>
    <x v="1"/>
    <n v="0"/>
  </r>
  <r>
    <x v="0"/>
    <x v="10"/>
    <x v="17"/>
    <x v="17"/>
    <x v="54"/>
    <x v="1"/>
    <n v="0"/>
  </r>
  <r>
    <x v="0"/>
    <x v="10"/>
    <x v="17"/>
    <x v="17"/>
    <x v="55"/>
    <x v="1"/>
    <n v="0"/>
  </r>
  <r>
    <x v="0"/>
    <x v="10"/>
    <x v="17"/>
    <x v="18"/>
    <x v="46"/>
    <x v="1"/>
    <n v="11.201769582000001"/>
  </r>
  <r>
    <x v="0"/>
    <x v="10"/>
    <x v="17"/>
    <x v="18"/>
    <x v="47"/>
    <x v="1"/>
    <n v="11.201769582000001"/>
  </r>
  <r>
    <x v="0"/>
    <x v="10"/>
    <x v="17"/>
    <x v="18"/>
    <x v="48"/>
    <x v="1"/>
    <n v="11.201769582000001"/>
  </r>
  <r>
    <x v="0"/>
    <x v="10"/>
    <x v="17"/>
    <x v="18"/>
    <x v="49"/>
    <x v="1"/>
    <n v="0"/>
  </r>
  <r>
    <x v="0"/>
    <x v="10"/>
    <x v="17"/>
    <x v="18"/>
    <x v="50"/>
    <x v="1"/>
    <n v="0"/>
  </r>
  <r>
    <x v="0"/>
    <x v="10"/>
    <x v="17"/>
    <x v="18"/>
    <x v="51"/>
    <x v="1"/>
    <n v="0"/>
  </r>
  <r>
    <x v="0"/>
    <x v="10"/>
    <x v="17"/>
    <x v="18"/>
    <x v="52"/>
    <x v="1"/>
    <n v="0"/>
  </r>
  <r>
    <x v="0"/>
    <x v="10"/>
    <x v="17"/>
    <x v="18"/>
    <x v="53"/>
    <x v="1"/>
    <n v="0"/>
  </r>
  <r>
    <x v="0"/>
    <x v="10"/>
    <x v="17"/>
    <x v="18"/>
    <x v="54"/>
    <x v="1"/>
    <n v="0"/>
  </r>
  <r>
    <x v="0"/>
    <x v="10"/>
    <x v="17"/>
    <x v="18"/>
    <x v="55"/>
    <x v="1"/>
    <n v="0"/>
  </r>
  <r>
    <x v="0"/>
    <x v="10"/>
    <x v="17"/>
    <x v="19"/>
    <x v="46"/>
    <x v="1"/>
    <n v="14.234517043"/>
  </r>
  <r>
    <x v="0"/>
    <x v="10"/>
    <x v="17"/>
    <x v="19"/>
    <x v="47"/>
    <x v="1"/>
    <n v="14.234517043"/>
  </r>
  <r>
    <x v="0"/>
    <x v="10"/>
    <x v="17"/>
    <x v="19"/>
    <x v="48"/>
    <x v="1"/>
    <n v="14.234517043"/>
  </r>
  <r>
    <x v="0"/>
    <x v="10"/>
    <x v="17"/>
    <x v="19"/>
    <x v="49"/>
    <x v="1"/>
    <n v="0"/>
  </r>
  <r>
    <x v="0"/>
    <x v="10"/>
    <x v="17"/>
    <x v="19"/>
    <x v="50"/>
    <x v="1"/>
    <n v="0"/>
  </r>
  <r>
    <x v="0"/>
    <x v="10"/>
    <x v="17"/>
    <x v="19"/>
    <x v="51"/>
    <x v="1"/>
    <n v="0"/>
  </r>
  <r>
    <x v="0"/>
    <x v="10"/>
    <x v="17"/>
    <x v="19"/>
    <x v="52"/>
    <x v="1"/>
    <n v="0"/>
  </r>
  <r>
    <x v="0"/>
    <x v="10"/>
    <x v="17"/>
    <x v="19"/>
    <x v="53"/>
    <x v="1"/>
    <n v="0"/>
  </r>
  <r>
    <x v="0"/>
    <x v="10"/>
    <x v="17"/>
    <x v="19"/>
    <x v="54"/>
    <x v="1"/>
    <n v="0"/>
  </r>
  <r>
    <x v="0"/>
    <x v="10"/>
    <x v="17"/>
    <x v="19"/>
    <x v="55"/>
    <x v="1"/>
    <n v="0"/>
  </r>
  <r>
    <x v="0"/>
    <x v="10"/>
    <x v="17"/>
    <x v="20"/>
    <x v="46"/>
    <x v="1"/>
    <n v="1.791753554"/>
  </r>
  <r>
    <x v="0"/>
    <x v="10"/>
    <x v="17"/>
    <x v="20"/>
    <x v="47"/>
    <x v="1"/>
    <n v="1.791753554"/>
  </r>
  <r>
    <x v="0"/>
    <x v="10"/>
    <x v="17"/>
    <x v="20"/>
    <x v="48"/>
    <x v="1"/>
    <n v="1.791753554"/>
  </r>
  <r>
    <x v="0"/>
    <x v="10"/>
    <x v="17"/>
    <x v="20"/>
    <x v="49"/>
    <x v="1"/>
    <n v="0"/>
  </r>
  <r>
    <x v="0"/>
    <x v="10"/>
    <x v="17"/>
    <x v="20"/>
    <x v="50"/>
    <x v="1"/>
    <n v="0"/>
  </r>
  <r>
    <x v="0"/>
    <x v="10"/>
    <x v="17"/>
    <x v="20"/>
    <x v="51"/>
    <x v="1"/>
    <n v="0"/>
  </r>
  <r>
    <x v="0"/>
    <x v="10"/>
    <x v="17"/>
    <x v="20"/>
    <x v="52"/>
    <x v="1"/>
    <n v="0"/>
  </r>
  <r>
    <x v="0"/>
    <x v="10"/>
    <x v="17"/>
    <x v="20"/>
    <x v="53"/>
    <x v="1"/>
    <n v="0"/>
  </r>
  <r>
    <x v="0"/>
    <x v="10"/>
    <x v="17"/>
    <x v="20"/>
    <x v="54"/>
    <x v="1"/>
    <n v="0"/>
  </r>
  <r>
    <x v="0"/>
    <x v="10"/>
    <x v="17"/>
    <x v="20"/>
    <x v="55"/>
    <x v="1"/>
    <n v="0"/>
  </r>
  <r>
    <x v="0"/>
    <x v="10"/>
    <x v="17"/>
    <x v="21"/>
    <x v="46"/>
    <x v="1"/>
    <n v="0.87886315500000001"/>
  </r>
  <r>
    <x v="0"/>
    <x v="10"/>
    <x v="17"/>
    <x v="21"/>
    <x v="47"/>
    <x v="1"/>
    <n v="0.87886315500000001"/>
  </r>
  <r>
    <x v="0"/>
    <x v="10"/>
    <x v="17"/>
    <x v="21"/>
    <x v="48"/>
    <x v="1"/>
    <n v="0.87886315500000001"/>
  </r>
  <r>
    <x v="0"/>
    <x v="10"/>
    <x v="17"/>
    <x v="21"/>
    <x v="49"/>
    <x v="1"/>
    <n v="0"/>
  </r>
  <r>
    <x v="0"/>
    <x v="10"/>
    <x v="17"/>
    <x v="21"/>
    <x v="50"/>
    <x v="1"/>
    <n v="0"/>
  </r>
  <r>
    <x v="0"/>
    <x v="10"/>
    <x v="17"/>
    <x v="21"/>
    <x v="51"/>
    <x v="1"/>
    <n v="0"/>
  </r>
  <r>
    <x v="0"/>
    <x v="10"/>
    <x v="17"/>
    <x v="21"/>
    <x v="52"/>
    <x v="1"/>
    <n v="0"/>
  </r>
  <r>
    <x v="0"/>
    <x v="10"/>
    <x v="17"/>
    <x v="21"/>
    <x v="53"/>
    <x v="1"/>
    <n v="0"/>
  </r>
  <r>
    <x v="0"/>
    <x v="10"/>
    <x v="17"/>
    <x v="21"/>
    <x v="54"/>
    <x v="1"/>
    <n v="0"/>
  </r>
  <r>
    <x v="0"/>
    <x v="10"/>
    <x v="17"/>
    <x v="21"/>
    <x v="55"/>
    <x v="1"/>
    <n v="0"/>
  </r>
  <r>
    <x v="0"/>
    <x v="10"/>
    <x v="17"/>
    <x v="22"/>
    <x v="46"/>
    <x v="1"/>
    <n v="0.809961602"/>
  </r>
  <r>
    <x v="0"/>
    <x v="10"/>
    <x v="17"/>
    <x v="22"/>
    <x v="47"/>
    <x v="1"/>
    <n v="0.809961602"/>
  </r>
  <r>
    <x v="0"/>
    <x v="10"/>
    <x v="17"/>
    <x v="22"/>
    <x v="48"/>
    <x v="1"/>
    <n v="0.809961602"/>
  </r>
  <r>
    <x v="0"/>
    <x v="10"/>
    <x v="17"/>
    <x v="22"/>
    <x v="49"/>
    <x v="1"/>
    <n v="0"/>
  </r>
  <r>
    <x v="0"/>
    <x v="10"/>
    <x v="17"/>
    <x v="22"/>
    <x v="50"/>
    <x v="1"/>
    <n v="0"/>
  </r>
  <r>
    <x v="0"/>
    <x v="10"/>
    <x v="17"/>
    <x v="22"/>
    <x v="51"/>
    <x v="1"/>
    <n v="0"/>
  </r>
  <r>
    <x v="0"/>
    <x v="10"/>
    <x v="17"/>
    <x v="22"/>
    <x v="52"/>
    <x v="1"/>
    <n v="0"/>
  </r>
  <r>
    <x v="0"/>
    <x v="10"/>
    <x v="17"/>
    <x v="22"/>
    <x v="53"/>
    <x v="1"/>
    <n v="0"/>
  </r>
  <r>
    <x v="0"/>
    <x v="10"/>
    <x v="17"/>
    <x v="22"/>
    <x v="54"/>
    <x v="1"/>
    <n v="0"/>
  </r>
  <r>
    <x v="0"/>
    <x v="10"/>
    <x v="17"/>
    <x v="22"/>
    <x v="55"/>
    <x v="1"/>
    <n v="0"/>
  </r>
  <r>
    <x v="0"/>
    <x v="10"/>
    <x v="17"/>
    <x v="23"/>
    <x v="46"/>
    <x v="1"/>
    <n v="0.388469817"/>
  </r>
  <r>
    <x v="0"/>
    <x v="10"/>
    <x v="17"/>
    <x v="23"/>
    <x v="47"/>
    <x v="1"/>
    <n v="0.388469817"/>
  </r>
  <r>
    <x v="0"/>
    <x v="10"/>
    <x v="17"/>
    <x v="23"/>
    <x v="48"/>
    <x v="1"/>
    <n v="0.388469817"/>
  </r>
  <r>
    <x v="0"/>
    <x v="10"/>
    <x v="17"/>
    <x v="23"/>
    <x v="49"/>
    <x v="1"/>
    <n v="0"/>
  </r>
  <r>
    <x v="0"/>
    <x v="10"/>
    <x v="17"/>
    <x v="23"/>
    <x v="50"/>
    <x v="1"/>
    <n v="0"/>
  </r>
  <r>
    <x v="0"/>
    <x v="10"/>
    <x v="17"/>
    <x v="23"/>
    <x v="51"/>
    <x v="1"/>
    <n v="0"/>
  </r>
  <r>
    <x v="0"/>
    <x v="10"/>
    <x v="17"/>
    <x v="23"/>
    <x v="52"/>
    <x v="1"/>
    <n v="0"/>
  </r>
  <r>
    <x v="0"/>
    <x v="10"/>
    <x v="17"/>
    <x v="23"/>
    <x v="53"/>
    <x v="1"/>
    <n v="0"/>
  </r>
  <r>
    <x v="0"/>
    <x v="10"/>
    <x v="17"/>
    <x v="23"/>
    <x v="54"/>
    <x v="1"/>
    <n v="0"/>
  </r>
  <r>
    <x v="0"/>
    <x v="10"/>
    <x v="17"/>
    <x v="23"/>
    <x v="55"/>
    <x v="1"/>
    <n v="0"/>
  </r>
  <r>
    <x v="0"/>
    <x v="10"/>
    <x v="17"/>
    <x v="24"/>
    <x v="46"/>
    <x v="1"/>
    <n v="15.780021617999999"/>
  </r>
  <r>
    <x v="0"/>
    <x v="10"/>
    <x v="17"/>
    <x v="24"/>
    <x v="47"/>
    <x v="1"/>
    <n v="15.780021617999999"/>
  </r>
  <r>
    <x v="0"/>
    <x v="10"/>
    <x v="17"/>
    <x v="24"/>
    <x v="48"/>
    <x v="1"/>
    <n v="15.780021617999999"/>
  </r>
  <r>
    <x v="0"/>
    <x v="10"/>
    <x v="17"/>
    <x v="24"/>
    <x v="49"/>
    <x v="1"/>
    <n v="0"/>
  </r>
  <r>
    <x v="0"/>
    <x v="10"/>
    <x v="17"/>
    <x v="24"/>
    <x v="50"/>
    <x v="1"/>
    <n v="0"/>
  </r>
  <r>
    <x v="0"/>
    <x v="10"/>
    <x v="17"/>
    <x v="24"/>
    <x v="51"/>
    <x v="1"/>
    <n v="0"/>
  </r>
  <r>
    <x v="0"/>
    <x v="10"/>
    <x v="17"/>
    <x v="24"/>
    <x v="52"/>
    <x v="1"/>
    <n v="0"/>
  </r>
  <r>
    <x v="0"/>
    <x v="10"/>
    <x v="17"/>
    <x v="24"/>
    <x v="53"/>
    <x v="1"/>
    <n v="0"/>
  </r>
  <r>
    <x v="0"/>
    <x v="10"/>
    <x v="17"/>
    <x v="24"/>
    <x v="54"/>
    <x v="1"/>
    <n v="0"/>
  </r>
  <r>
    <x v="0"/>
    <x v="10"/>
    <x v="17"/>
    <x v="24"/>
    <x v="55"/>
    <x v="1"/>
    <n v="0"/>
  </r>
  <r>
    <x v="0"/>
    <x v="10"/>
    <x v="17"/>
    <x v="25"/>
    <x v="46"/>
    <x v="1"/>
    <n v="0.72755146800000003"/>
  </r>
  <r>
    <x v="0"/>
    <x v="10"/>
    <x v="17"/>
    <x v="25"/>
    <x v="47"/>
    <x v="1"/>
    <n v="0.72755146800000003"/>
  </r>
  <r>
    <x v="0"/>
    <x v="10"/>
    <x v="17"/>
    <x v="25"/>
    <x v="48"/>
    <x v="1"/>
    <n v="0.72755146800000003"/>
  </r>
  <r>
    <x v="0"/>
    <x v="10"/>
    <x v="17"/>
    <x v="25"/>
    <x v="49"/>
    <x v="1"/>
    <n v="0"/>
  </r>
  <r>
    <x v="0"/>
    <x v="10"/>
    <x v="17"/>
    <x v="25"/>
    <x v="50"/>
    <x v="1"/>
    <n v="0"/>
  </r>
  <r>
    <x v="0"/>
    <x v="10"/>
    <x v="17"/>
    <x v="25"/>
    <x v="51"/>
    <x v="1"/>
    <n v="0"/>
  </r>
  <r>
    <x v="0"/>
    <x v="10"/>
    <x v="17"/>
    <x v="25"/>
    <x v="52"/>
    <x v="1"/>
    <n v="0"/>
  </r>
  <r>
    <x v="0"/>
    <x v="10"/>
    <x v="17"/>
    <x v="25"/>
    <x v="53"/>
    <x v="1"/>
    <n v="0"/>
  </r>
  <r>
    <x v="0"/>
    <x v="10"/>
    <x v="17"/>
    <x v="25"/>
    <x v="54"/>
    <x v="1"/>
    <n v="0"/>
  </r>
  <r>
    <x v="0"/>
    <x v="10"/>
    <x v="17"/>
    <x v="25"/>
    <x v="55"/>
    <x v="1"/>
    <n v="0"/>
  </r>
  <r>
    <x v="0"/>
    <x v="10"/>
    <x v="17"/>
    <x v="26"/>
    <x v="46"/>
    <x v="1"/>
    <n v="0.48199137800000003"/>
  </r>
  <r>
    <x v="0"/>
    <x v="10"/>
    <x v="17"/>
    <x v="26"/>
    <x v="47"/>
    <x v="1"/>
    <n v="0.48199137800000003"/>
  </r>
  <r>
    <x v="0"/>
    <x v="10"/>
    <x v="17"/>
    <x v="26"/>
    <x v="48"/>
    <x v="1"/>
    <n v="0.48199137800000003"/>
  </r>
  <r>
    <x v="0"/>
    <x v="10"/>
    <x v="17"/>
    <x v="26"/>
    <x v="49"/>
    <x v="1"/>
    <n v="0"/>
  </r>
  <r>
    <x v="0"/>
    <x v="10"/>
    <x v="17"/>
    <x v="26"/>
    <x v="50"/>
    <x v="1"/>
    <n v="0"/>
  </r>
  <r>
    <x v="0"/>
    <x v="10"/>
    <x v="17"/>
    <x v="26"/>
    <x v="51"/>
    <x v="1"/>
    <n v="0"/>
  </r>
  <r>
    <x v="0"/>
    <x v="10"/>
    <x v="17"/>
    <x v="26"/>
    <x v="52"/>
    <x v="1"/>
    <n v="0"/>
  </r>
  <r>
    <x v="0"/>
    <x v="10"/>
    <x v="17"/>
    <x v="26"/>
    <x v="53"/>
    <x v="1"/>
    <n v="0"/>
  </r>
  <r>
    <x v="0"/>
    <x v="10"/>
    <x v="17"/>
    <x v="26"/>
    <x v="54"/>
    <x v="1"/>
    <n v="0"/>
  </r>
  <r>
    <x v="0"/>
    <x v="10"/>
    <x v="17"/>
    <x v="26"/>
    <x v="55"/>
    <x v="1"/>
    <n v="0"/>
  </r>
  <r>
    <x v="0"/>
    <x v="10"/>
    <x v="17"/>
    <x v="27"/>
    <x v="46"/>
    <x v="1"/>
    <n v="26.913094596000001"/>
  </r>
  <r>
    <x v="0"/>
    <x v="10"/>
    <x v="17"/>
    <x v="27"/>
    <x v="47"/>
    <x v="1"/>
    <n v="26.913094596000001"/>
  </r>
  <r>
    <x v="0"/>
    <x v="10"/>
    <x v="17"/>
    <x v="27"/>
    <x v="48"/>
    <x v="1"/>
    <n v="26.913094596000001"/>
  </r>
  <r>
    <x v="0"/>
    <x v="10"/>
    <x v="17"/>
    <x v="27"/>
    <x v="49"/>
    <x v="1"/>
    <n v="0"/>
  </r>
  <r>
    <x v="0"/>
    <x v="10"/>
    <x v="17"/>
    <x v="27"/>
    <x v="50"/>
    <x v="1"/>
    <n v="0"/>
  </r>
  <r>
    <x v="0"/>
    <x v="10"/>
    <x v="17"/>
    <x v="27"/>
    <x v="51"/>
    <x v="1"/>
    <n v="0"/>
  </r>
  <r>
    <x v="0"/>
    <x v="10"/>
    <x v="17"/>
    <x v="27"/>
    <x v="52"/>
    <x v="1"/>
    <n v="0"/>
  </r>
  <r>
    <x v="0"/>
    <x v="10"/>
    <x v="17"/>
    <x v="27"/>
    <x v="53"/>
    <x v="1"/>
    <n v="0"/>
  </r>
  <r>
    <x v="0"/>
    <x v="10"/>
    <x v="17"/>
    <x v="27"/>
    <x v="54"/>
    <x v="1"/>
    <n v="0"/>
  </r>
  <r>
    <x v="0"/>
    <x v="10"/>
    <x v="17"/>
    <x v="27"/>
    <x v="55"/>
    <x v="1"/>
    <n v="0"/>
  </r>
  <r>
    <x v="0"/>
    <x v="10"/>
    <x v="17"/>
    <x v="28"/>
    <x v="46"/>
    <x v="1"/>
    <n v="24.561702117999999"/>
  </r>
  <r>
    <x v="0"/>
    <x v="10"/>
    <x v="17"/>
    <x v="28"/>
    <x v="47"/>
    <x v="1"/>
    <n v="24.561702117999999"/>
  </r>
  <r>
    <x v="0"/>
    <x v="10"/>
    <x v="17"/>
    <x v="28"/>
    <x v="48"/>
    <x v="1"/>
    <n v="24.561702117999999"/>
  </r>
  <r>
    <x v="0"/>
    <x v="10"/>
    <x v="17"/>
    <x v="28"/>
    <x v="49"/>
    <x v="1"/>
    <n v="0"/>
  </r>
  <r>
    <x v="0"/>
    <x v="10"/>
    <x v="17"/>
    <x v="28"/>
    <x v="50"/>
    <x v="1"/>
    <n v="0"/>
  </r>
  <r>
    <x v="0"/>
    <x v="10"/>
    <x v="17"/>
    <x v="28"/>
    <x v="51"/>
    <x v="1"/>
    <n v="0"/>
  </r>
  <r>
    <x v="0"/>
    <x v="10"/>
    <x v="17"/>
    <x v="28"/>
    <x v="52"/>
    <x v="1"/>
    <n v="0"/>
  </r>
  <r>
    <x v="0"/>
    <x v="10"/>
    <x v="17"/>
    <x v="28"/>
    <x v="53"/>
    <x v="1"/>
    <n v="0"/>
  </r>
  <r>
    <x v="0"/>
    <x v="10"/>
    <x v="17"/>
    <x v="28"/>
    <x v="54"/>
    <x v="1"/>
    <n v="0"/>
  </r>
  <r>
    <x v="0"/>
    <x v="10"/>
    <x v="17"/>
    <x v="28"/>
    <x v="55"/>
    <x v="1"/>
    <n v="0"/>
  </r>
  <r>
    <x v="0"/>
    <x v="10"/>
    <x v="17"/>
    <x v="29"/>
    <x v="46"/>
    <x v="1"/>
    <n v="23.383982636999999"/>
  </r>
  <r>
    <x v="0"/>
    <x v="10"/>
    <x v="17"/>
    <x v="29"/>
    <x v="47"/>
    <x v="1"/>
    <n v="23.383982636999999"/>
  </r>
  <r>
    <x v="0"/>
    <x v="10"/>
    <x v="17"/>
    <x v="29"/>
    <x v="48"/>
    <x v="1"/>
    <n v="23.383982636999999"/>
  </r>
  <r>
    <x v="0"/>
    <x v="10"/>
    <x v="17"/>
    <x v="29"/>
    <x v="49"/>
    <x v="1"/>
    <n v="0"/>
  </r>
  <r>
    <x v="0"/>
    <x v="10"/>
    <x v="17"/>
    <x v="29"/>
    <x v="50"/>
    <x v="1"/>
    <n v="0"/>
  </r>
  <r>
    <x v="0"/>
    <x v="10"/>
    <x v="17"/>
    <x v="29"/>
    <x v="51"/>
    <x v="1"/>
    <n v="0"/>
  </r>
  <r>
    <x v="0"/>
    <x v="10"/>
    <x v="17"/>
    <x v="29"/>
    <x v="52"/>
    <x v="1"/>
    <n v="0"/>
  </r>
  <r>
    <x v="0"/>
    <x v="10"/>
    <x v="17"/>
    <x v="29"/>
    <x v="53"/>
    <x v="1"/>
    <n v="0"/>
  </r>
  <r>
    <x v="0"/>
    <x v="10"/>
    <x v="17"/>
    <x v="29"/>
    <x v="54"/>
    <x v="1"/>
    <n v="0"/>
  </r>
  <r>
    <x v="0"/>
    <x v="10"/>
    <x v="17"/>
    <x v="29"/>
    <x v="55"/>
    <x v="1"/>
    <n v="0"/>
  </r>
  <r>
    <x v="0"/>
    <x v="10"/>
    <x v="17"/>
    <x v="30"/>
    <x v="46"/>
    <x v="1"/>
    <n v="8.6515109330000008"/>
  </r>
  <r>
    <x v="0"/>
    <x v="10"/>
    <x v="17"/>
    <x v="30"/>
    <x v="47"/>
    <x v="1"/>
    <n v="8.6515109330000008"/>
  </r>
  <r>
    <x v="0"/>
    <x v="10"/>
    <x v="17"/>
    <x v="30"/>
    <x v="48"/>
    <x v="1"/>
    <n v="8.6515109330000008"/>
  </r>
  <r>
    <x v="0"/>
    <x v="10"/>
    <x v="17"/>
    <x v="30"/>
    <x v="49"/>
    <x v="1"/>
    <n v="0"/>
  </r>
  <r>
    <x v="0"/>
    <x v="10"/>
    <x v="17"/>
    <x v="30"/>
    <x v="50"/>
    <x v="1"/>
    <n v="0"/>
  </r>
  <r>
    <x v="0"/>
    <x v="10"/>
    <x v="17"/>
    <x v="30"/>
    <x v="51"/>
    <x v="1"/>
    <n v="0"/>
  </r>
  <r>
    <x v="0"/>
    <x v="10"/>
    <x v="17"/>
    <x v="30"/>
    <x v="52"/>
    <x v="1"/>
    <n v="0"/>
  </r>
  <r>
    <x v="0"/>
    <x v="10"/>
    <x v="17"/>
    <x v="30"/>
    <x v="53"/>
    <x v="1"/>
    <n v="0"/>
  </r>
  <r>
    <x v="0"/>
    <x v="10"/>
    <x v="17"/>
    <x v="30"/>
    <x v="54"/>
    <x v="1"/>
    <n v="0"/>
  </r>
  <r>
    <x v="0"/>
    <x v="10"/>
    <x v="17"/>
    <x v="30"/>
    <x v="55"/>
    <x v="1"/>
    <n v="0"/>
  </r>
  <r>
    <x v="0"/>
    <x v="10"/>
    <x v="17"/>
    <x v="31"/>
    <x v="46"/>
    <x v="1"/>
    <n v="6.8097970419999996"/>
  </r>
  <r>
    <x v="0"/>
    <x v="10"/>
    <x v="17"/>
    <x v="31"/>
    <x v="47"/>
    <x v="1"/>
    <n v="6.8097970419999996"/>
  </r>
  <r>
    <x v="0"/>
    <x v="10"/>
    <x v="17"/>
    <x v="31"/>
    <x v="48"/>
    <x v="1"/>
    <n v="6.8097970419999996"/>
  </r>
  <r>
    <x v="0"/>
    <x v="10"/>
    <x v="17"/>
    <x v="31"/>
    <x v="49"/>
    <x v="1"/>
    <n v="0"/>
  </r>
  <r>
    <x v="0"/>
    <x v="10"/>
    <x v="17"/>
    <x v="31"/>
    <x v="50"/>
    <x v="1"/>
    <n v="0"/>
  </r>
  <r>
    <x v="0"/>
    <x v="10"/>
    <x v="17"/>
    <x v="31"/>
    <x v="51"/>
    <x v="1"/>
    <n v="0"/>
  </r>
  <r>
    <x v="0"/>
    <x v="10"/>
    <x v="17"/>
    <x v="31"/>
    <x v="52"/>
    <x v="1"/>
    <n v="0"/>
  </r>
  <r>
    <x v="0"/>
    <x v="10"/>
    <x v="17"/>
    <x v="31"/>
    <x v="53"/>
    <x v="1"/>
    <n v="0"/>
  </r>
  <r>
    <x v="0"/>
    <x v="10"/>
    <x v="17"/>
    <x v="31"/>
    <x v="54"/>
    <x v="1"/>
    <n v="0"/>
  </r>
  <r>
    <x v="0"/>
    <x v="10"/>
    <x v="17"/>
    <x v="31"/>
    <x v="55"/>
    <x v="1"/>
    <n v="0"/>
  </r>
  <r>
    <x v="0"/>
    <x v="10"/>
    <x v="17"/>
    <x v="32"/>
    <x v="46"/>
    <x v="1"/>
    <n v="22.696284517999999"/>
  </r>
  <r>
    <x v="0"/>
    <x v="10"/>
    <x v="17"/>
    <x v="32"/>
    <x v="47"/>
    <x v="1"/>
    <n v="22.696284517999999"/>
  </r>
  <r>
    <x v="0"/>
    <x v="10"/>
    <x v="17"/>
    <x v="32"/>
    <x v="48"/>
    <x v="1"/>
    <n v="22.696284517999999"/>
  </r>
  <r>
    <x v="0"/>
    <x v="10"/>
    <x v="17"/>
    <x v="32"/>
    <x v="49"/>
    <x v="1"/>
    <n v="0"/>
  </r>
  <r>
    <x v="0"/>
    <x v="10"/>
    <x v="17"/>
    <x v="32"/>
    <x v="50"/>
    <x v="1"/>
    <n v="0"/>
  </r>
  <r>
    <x v="0"/>
    <x v="10"/>
    <x v="17"/>
    <x v="32"/>
    <x v="51"/>
    <x v="1"/>
    <n v="0"/>
  </r>
  <r>
    <x v="0"/>
    <x v="10"/>
    <x v="17"/>
    <x v="32"/>
    <x v="52"/>
    <x v="1"/>
    <n v="0"/>
  </r>
  <r>
    <x v="0"/>
    <x v="10"/>
    <x v="17"/>
    <x v="32"/>
    <x v="53"/>
    <x v="1"/>
    <n v="0"/>
  </r>
  <r>
    <x v="0"/>
    <x v="10"/>
    <x v="17"/>
    <x v="32"/>
    <x v="54"/>
    <x v="1"/>
    <n v="0"/>
  </r>
  <r>
    <x v="0"/>
    <x v="10"/>
    <x v="17"/>
    <x v="32"/>
    <x v="55"/>
    <x v="1"/>
    <n v="0"/>
  </r>
  <r>
    <x v="0"/>
    <x v="10"/>
    <x v="17"/>
    <x v="33"/>
    <x v="46"/>
    <x v="1"/>
    <n v="12.782584461000001"/>
  </r>
  <r>
    <x v="0"/>
    <x v="10"/>
    <x v="17"/>
    <x v="33"/>
    <x v="47"/>
    <x v="1"/>
    <n v="12.782584461000001"/>
  </r>
  <r>
    <x v="0"/>
    <x v="10"/>
    <x v="17"/>
    <x v="33"/>
    <x v="48"/>
    <x v="1"/>
    <n v="12.782584461000001"/>
  </r>
  <r>
    <x v="0"/>
    <x v="10"/>
    <x v="17"/>
    <x v="33"/>
    <x v="49"/>
    <x v="1"/>
    <n v="0"/>
  </r>
  <r>
    <x v="0"/>
    <x v="10"/>
    <x v="17"/>
    <x v="33"/>
    <x v="50"/>
    <x v="1"/>
    <n v="0"/>
  </r>
  <r>
    <x v="0"/>
    <x v="10"/>
    <x v="17"/>
    <x v="33"/>
    <x v="51"/>
    <x v="1"/>
    <n v="0"/>
  </r>
  <r>
    <x v="0"/>
    <x v="10"/>
    <x v="17"/>
    <x v="33"/>
    <x v="52"/>
    <x v="1"/>
    <n v="0"/>
  </r>
  <r>
    <x v="0"/>
    <x v="10"/>
    <x v="17"/>
    <x v="33"/>
    <x v="53"/>
    <x v="1"/>
    <n v="0"/>
  </r>
  <r>
    <x v="0"/>
    <x v="10"/>
    <x v="17"/>
    <x v="33"/>
    <x v="54"/>
    <x v="1"/>
    <n v="0"/>
  </r>
  <r>
    <x v="0"/>
    <x v="10"/>
    <x v="17"/>
    <x v="33"/>
    <x v="55"/>
    <x v="1"/>
    <n v="0"/>
  </r>
  <r>
    <x v="0"/>
    <x v="10"/>
    <x v="17"/>
    <x v="34"/>
    <x v="46"/>
    <x v="1"/>
    <n v="14.880895489"/>
  </r>
  <r>
    <x v="0"/>
    <x v="10"/>
    <x v="17"/>
    <x v="34"/>
    <x v="47"/>
    <x v="1"/>
    <n v="14.880895489"/>
  </r>
  <r>
    <x v="0"/>
    <x v="10"/>
    <x v="17"/>
    <x v="34"/>
    <x v="48"/>
    <x v="1"/>
    <n v="14.880895489"/>
  </r>
  <r>
    <x v="0"/>
    <x v="10"/>
    <x v="17"/>
    <x v="34"/>
    <x v="49"/>
    <x v="1"/>
    <n v="0"/>
  </r>
  <r>
    <x v="0"/>
    <x v="10"/>
    <x v="17"/>
    <x v="34"/>
    <x v="50"/>
    <x v="1"/>
    <n v="0"/>
  </r>
  <r>
    <x v="0"/>
    <x v="10"/>
    <x v="17"/>
    <x v="34"/>
    <x v="51"/>
    <x v="1"/>
    <n v="0"/>
  </r>
  <r>
    <x v="0"/>
    <x v="10"/>
    <x v="17"/>
    <x v="34"/>
    <x v="52"/>
    <x v="1"/>
    <n v="0"/>
  </r>
  <r>
    <x v="0"/>
    <x v="10"/>
    <x v="17"/>
    <x v="34"/>
    <x v="53"/>
    <x v="1"/>
    <n v="0"/>
  </r>
  <r>
    <x v="0"/>
    <x v="10"/>
    <x v="17"/>
    <x v="34"/>
    <x v="54"/>
    <x v="1"/>
    <n v="0"/>
  </r>
  <r>
    <x v="0"/>
    <x v="10"/>
    <x v="17"/>
    <x v="34"/>
    <x v="55"/>
    <x v="1"/>
    <n v="0"/>
  </r>
  <r>
    <x v="0"/>
    <x v="10"/>
    <x v="17"/>
    <x v="35"/>
    <x v="46"/>
    <x v="1"/>
    <n v="12.202429423"/>
  </r>
  <r>
    <x v="0"/>
    <x v="10"/>
    <x v="17"/>
    <x v="35"/>
    <x v="47"/>
    <x v="1"/>
    <n v="12.202429423"/>
  </r>
  <r>
    <x v="0"/>
    <x v="10"/>
    <x v="17"/>
    <x v="35"/>
    <x v="48"/>
    <x v="1"/>
    <n v="12.202429423"/>
  </r>
  <r>
    <x v="0"/>
    <x v="10"/>
    <x v="17"/>
    <x v="35"/>
    <x v="49"/>
    <x v="1"/>
    <n v="0"/>
  </r>
  <r>
    <x v="0"/>
    <x v="10"/>
    <x v="17"/>
    <x v="35"/>
    <x v="50"/>
    <x v="1"/>
    <n v="0"/>
  </r>
  <r>
    <x v="0"/>
    <x v="10"/>
    <x v="17"/>
    <x v="35"/>
    <x v="51"/>
    <x v="1"/>
    <n v="0"/>
  </r>
  <r>
    <x v="0"/>
    <x v="10"/>
    <x v="17"/>
    <x v="35"/>
    <x v="52"/>
    <x v="1"/>
    <n v="0"/>
  </r>
  <r>
    <x v="0"/>
    <x v="10"/>
    <x v="17"/>
    <x v="35"/>
    <x v="53"/>
    <x v="1"/>
    <n v="0"/>
  </r>
  <r>
    <x v="0"/>
    <x v="10"/>
    <x v="17"/>
    <x v="35"/>
    <x v="54"/>
    <x v="1"/>
    <n v="0"/>
  </r>
  <r>
    <x v="0"/>
    <x v="10"/>
    <x v="17"/>
    <x v="35"/>
    <x v="55"/>
    <x v="1"/>
    <n v="0"/>
  </r>
  <r>
    <x v="0"/>
    <x v="10"/>
    <x v="17"/>
    <x v="36"/>
    <x v="46"/>
    <x v="1"/>
    <n v="4.3427958550000003"/>
  </r>
  <r>
    <x v="0"/>
    <x v="10"/>
    <x v="17"/>
    <x v="36"/>
    <x v="47"/>
    <x v="1"/>
    <n v="4.3427958550000003"/>
  </r>
  <r>
    <x v="0"/>
    <x v="10"/>
    <x v="17"/>
    <x v="36"/>
    <x v="48"/>
    <x v="1"/>
    <n v="4.3427958550000003"/>
  </r>
  <r>
    <x v="0"/>
    <x v="10"/>
    <x v="17"/>
    <x v="36"/>
    <x v="49"/>
    <x v="1"/>
    <n v="0"/>
  </r>
  <r>
    <x v="0"/>
    <x v="10"/>
    <x v="17"/>
    <x v="36"/>
    <x v="50"/>
    <x v="1"/>
    <n v="0"/>
  </r>
  <r>
    <x v="0"/>
    <x v="10"/>
    <x v="17"/>
    <x v="36"/>
    <x v="51"/>
    <x v="1"/>
    <n v="0"/>
  </r>
  <r>
    <x v="0"/>
    <x v="10"/>
    <x v="17"/>
    <x v="36"/>
    <x v="52"/>
    <x v="1"/>
    <n v="0"/>
  </r>
  <r>
    <x v="0"/>
    <x v="10"/>
    <x v="17"/>
    <x v="36"/>
    <x v="53"/>
    <x v="1"/>
    <n v="0"/>
  </r>
  <r>
    <x v="0"/>
    <x v="10"/>
    <x v="17"/>
    <x v="36"/>
    <x v="54"/>
    <x v="1"/>
    <n v="0"/>
  </r>
  <r>
    <x v="0"/>
    <x v="10"/>
    <x v="17"/>
    <x v="36"/>
    <x v="55"/>
    <x v="1"/>
    <n v="0"/>
  </r>
  <r>
    <x v="0"/>
    <x v="10"/>
    <x v="17"/>
    <x v="37"/>
    <x v="46"/>
    <x v="1"/>
    <n v="5.4985613390000001"/>
  </r>
  <r>
    <x v="0"/>
    <x v="10"/>
    <x v="17"/>
    <x v="37"/>
    <x v="47"/>
    <x v="1"/>
    <n v="5.4985613390000001"/>
  </r>
  <r>
    <x v="0"/>
    <x v="10"/>
    <x v="17"/>
    <x v="37"/>
    <x v="48"/>
    <x v="1"/>
    <n v="5.4985613390000001"/>
  </r>
  <r>
    <x v="0"/>
    <x v="10"/>
    <x v="17"/>
    <x v="37"/>
    <x v="49"/>
    <x v="1"/>
    <n v="0"/>
  </r>
  <r>
    <x v="0"/>
    <x v="10"/>
    <x v="17"/>
    <x v="37"/>
    <x v="50"/>
    <x v="1"/>
    <n v="0"/>
  </r>
  <r>
    <x v="0"/>
    <x v="10"/>
    <x v="17"/>
    <x v="37"/>
    <x v="51"/>
    <x v="1"/>
    <n v="0"/>
  </r>
  <r>
    <x v="0"/>
    <x v="10"/>
    <x v="17"/>
    <x v="37"/>
    <x v="52"/>
    <x v="1"/>
    <n v="0"/>
  </r>
  <r>
    <x v="0"/>
    <x v="10"/>
    <x v="17"/>
    <x v="37"/>
    <x v="53"/>
    <x v="1"/>
    <n v="0"/>
  </r>
  <r>
    <x v="0"/>
    <x v="10"/>
    <x v="17"/>
    <x v="37"/>
    <x v="54"/>
    <x v="1"/>
    <n v="0"/>
  </r>
  <r>
    <x v="0"/>
    <x v="10"/>
    <x v="17"/>
    <x v="37"/>
    <x v="55"/>
    <x v="1"/>
    <n v="0"/>
  </r>
  <r>
    <x v="0"/>
    <x v="10"/>
    <x v="17"/>
    <x v="38"/>
    <x v="46"/>
    <x v="1"/>
    <n v="23.277299716000002"/>
  </r>
  <r>
    <x v="0"/>
    <x v="10"/>
    <x v="17"/>
    <x v="38"/>
    <x v="47"/>
    <x v="1"/>
    <n v="23.277299716000002"/>
  </r>
  <r>
    <x v="0"/>
    <x v="10"/>
    <x v="17"/>
    <x v="38"/>
    <x v="48"/>
    <x v="1"/>
    <n v="23.277299716000002"/>
  </r>
  <r>
    <x v="0"/>
    <x v="10"/>
    <x v="17"/>
    <x v="38"/>
    <x v="49"/>
    <x v="1"/>
    <n v="0"/>
  </r>
  <r>
    <x v="0"/>
    <x v="10"/>
    <x v="17"/>
    <x v="38"/>
    <x v="50"/>
    <x v="1"/>
    <n v="0"/>
  </r>
  <r>
    <x v="0"/>
    <x v="10"/>
    <x v="17"/>
    <x v="38"/>
    <x v="51"/>
    <x v="1"/>
    <n v="0"/>
  </r>
  <r>
    <x v="0"/>
    <x v="10"/>
    <x v="17"/>
    <x v="38"/>
    <x v="52"/>
    <x v="1"/>
    <n v="0"/>
  </r>
  <r>
    <x v="0"/>
    <x v="10"/>
    <x v="17"/>
    <x v="38"/>
    <x v="53"/>
    <x v="1"/>
    <n v="0"/>
  </r>
  <r>
    <x v="0"/>
    <x v="10"/>
    <x v="17"/>
    <x v="38"/>
    <x v="54"/>
    <x v="1"/>
    <n v="0"/>
  </r>
  <r>
    <x v="0"/>
    <x v="10"/>
    <x v="17"/>
    <x v="38"/>
    <x v="55"/>
    <x v="1"/>
    <n v="0"/>
  </r>
  <r>
    <x v="0"/>
    <x v="10"/>
    <x v="17"/>
    <x v="39"/>
    <x v="46"/>
    <x v="1"/>
    <n v="9.4949298169999992"/>
  </r>
  <r>
    <x v="0"/>
    <x v="10"/>
    <x v="17"/>
    <x v="39"/>
    <x v="47"/>
    <x v="1"/>
    <n v="9.4949298169999992"/>
  </r>
  <r>
    <x v="0"/>
    <x v="10"/>
    <x v="17"/>
    <x v="39"/>
    <x v="48"/>
    <x v="1"/>
    <n v="9.4949298169999992"/>
  </r>
  <r>
    <x v="0"/>
    <x v="10"/>
    <x v="17"/>
    <x v="39"/>
    <x v="49"/>
    <x v="1"/>
    <n v="0"/>
  </r>
  <r>
    <x v="0"/>
    <x v="10"/>
    <x v="17"/>
    <x v="39"/>
    <x v="50"/>
    <x v="1"/>
    <n v="0"/>
  </r>
  <r>
    <x v="0"/>
    <x v="10"/>
    <x v="17"/>
    <x v="39"/>
    <x v="51"/>
    <x v="1"/>
    <n v="0"/>
  </r>
  <r>
    <x v="0"/>
    <x v="10"/>
    <x v="17"/>
    <x v="39"/>
    <x v="52"/>
    <x v="1"/>
    <n v="0"/>
  </r>
  <r>
    <x v="0"/>
    <x v="10"/>
    <x v="17"/>
    <x v="39"/>
    <x v="53"/>
    <x v="1"/>
    <n v="0"/>
  </r>
  <r>
    <x v="0"/>
    <x v="10"/>
    <x v="17"/>
    <x v="39"/>
    <x v="54"/>
    <x v="1"/>
    <n v="0"/>
  </r>
  <r>
    <x v="0"/>
    <x v="10"/>
    <x v="17"/>
    <x v="39"/>
    <x v="55"/>
    <x v="1"/>
    <n v="0"/>
  </r>
  <r>
    <x v="0"/>
    <x v="10"/>
    <x v="17"/>
    <x v="40"/>
    <x v="46"/>
    <x v="1"/>
    <n v="3.013371942"/>
  </r>
  <r>
    <x v="0"/>
    <x v="10"/>
    <x v="17"/>
    <x v="40"/>
    <x v="47"/>
    <x v="1"/>
    <n v="3.013371942"/>
  </r>
  <r>
    <x v="0"/>
    <x v="10"/>
    <x v="17"/>
    <x v="40"/>
    <x v="48"/>
    <x v="1"/>
    <n v="3.013371942"/>
  </r>
  <r>
    <x v="0"/>
    <x v="10"/>
    <x v="17"/>
    <x v="40"/>
    <x v="49"/>
    <x v="1"/>
    <n v="0"/>
  </r>
  <r>
    <x v="0"/>
    <x v="10"/>
    <x v="17"/>
    <x v="40"/>
    <x v="50"/>
    <x v="1"/>
    <n v="0"/>
  </r>
  <r>
    <x v="0"/>
    <x v="10"/>
    <x v="17"/>
    <x v="40"/>
    <x v="51"/>
    <x v="1"/>
    <n v="0"/>
  </r>
  <r>
    <x v="0"/>
    <x v="10"/>
    <x v="17"/>
    <x v="40"/>
    <x v="52"/>
    <x v="1"/>
    <n v="0"/>
  </r>
  <r>
    <x v="0"/>
    <x v="10"/>
    <x v="17"/>
    <x v="40"/>
    <x v="53"/>
    <x v="1"/>
    <n v="0"/>
  </r>
  <r>
    <x v="0"/>
    <x v="10"/>
    <x v="17"/>
    <x v="40"/>
    <x v="54"/>
    <x v="1"/>
    <n v="0"/>
  </r>
  <r>
    <x v="0"/>
    <x v="10"/>
    <x v="17"/>
    <x v="40"/>
    <x v="55"/>
    <x v="1"/>
    <n v="0"/>
  </r>
  <r>
    <x v="0"/>
    <x v="10"/>
    <x v="17"/>
    <x v="41"/>
    <x v="46"/>
    <x v="1"/>
    <n v="48.574172681999997"/>
  </r>
  <r>
    <x v="0"/>
    <x v="10"/>
    <x v="17"/>
    <x v="41"/>
    <x v="47"/>
    <x v="1"/>
    <n v="48.574172681999997"/>
  </r>
  <r>
    <x v="0"/>
    <x v="10"/>
    <x v="17"/>
    <x v="41"/>
    <x v="48"/>
    <x v="1"/>
    <n v="48.574172681999997"/>
  </r>
  <r>
    <x v="0"/>
    <x v="10"/>
    <x v="17"/>
    <x v="41"/>
    <x v="49"/>
    <x v="1"/>
    <n v="0"/>
  </r>
  <r>
    <x v="0"/>
    <x v="10"/>
    <x v="17"/>
    <x v="41"/>
    <x v="50"/>
    <x v="1"/>
    <n v="0"/>
  </r>
  <r>
    <x v="0"/>
    <x v="10"/>
    <x v="17"/>
    <x v="41"/>
    <x v="51"/>
    <x v="1"/>
    <n v="0"/>
  </r>
  <r>
    <x v="0"/>
    <x v="10"/>
    <x v="17"/>
    <x v="41"/>
    <x v="52"/>
    <x v="1"/>
    <n v="0"/>
  </r>
  <r>
    <x v="0"/>
    <x v="10"/>
    <x v="17"/>
    <x v="41"/>
    <x v="53"/>
    <x v="1"/>
    <n v="0"/>
  </r>
  <r>
    <x v="0"/>
    <x v="10"/>
    <x v="17"/>
    <x v="41"/>
    <x v="54"/>
    <x v="1"/>
    <n v="0"/>
  </r>
  <r>
    <x v="0"/>
    <x v="10"/>
    <x v="17"/>
    <x v="41"/>
    <x v="55"/>
    <x v="1"/>
    <n v="0"/>
  </r>
  <r>
    <x v="0"/>
    <x v="10"/>
    <x v="18"/>
    <x v="42"/>
    <x v="46"/>
    <x v="1"/>
    <n v="23.247009603999999"/>
  </r>
  <r>
    <x v="0"/>
    <x v="10"/>
    <x v="18"/>
    <x v="42"/>
    <x v="47"/>
    <x v="1"/>
    <n v="23.247009603999999"/>
  </r>
  <r>
    <x v="0"/>
    <x v="10"/>
    <x v="18"/>
    <x v="42"/>
    <x v="48"/>
    <x v="1"/>
    <n v="23.247009603999999"/>
  </r>
  <r>
    <x v="0"/>
    <x v="10"/>
    <x v="18"/>
    <x v="42"/>
    <x v="49"/>
    <x v="1"/>
    <n v="0"/>
  </r>
  <r>
    <x v="0"/>
    <x v="10"/>
    <x v="18"/>
    <x v="42"/>
    <x v="50"/>
    <x v="1"/>
    <n v="0"/>
  </r>
  <r>
    <x v="0"/>
    <x v="10"/>
    <x v="18"/>
    <x v="42"/>
    <x v="51"/>
    <x v="1"/>
    <n v="0"/>
  </r>
  <r>
    <x v="0"/>
    <x v="10"/>
    <x v="18"/>
    <x v="42"/>
    <x v="52"/>
    <x v="1"/>
    <n v="0"/>
  </r>
  <r>
    <x v="0"/>
    <x v="10"/>
    <x v="18"/>
    <x v="42"/>
    <x v="53"/>
    <x v="1"/>
    <n v="0"/>
  </r>
  <r>
    <x v="0"/>
    <x v="10"/>
    <x v="18"/>
    <x v="42"/>
    <x v="54"/>
    <x v="1"/>
    <n v="0"/>
  </r>
  <r>
    <x v="0"/>
    <x v="10"/>
    <x v="18"/>
    <x v="42"/>
    <x v="55"/>
    <x v="1"/>
    <n v="0"/>
  </r>
  <r>
    <x v="0"/>
    <x v="10"/>
    <x v="18"/>
    <x v="43"/>
    <x v="46"/>
    <x v="1"/>
    <n v="51.056023768999999"/>
  </r>
  <r>
    <x v="0"/>
    <x v="10"/>
    <x v="18"/>
    <x v="43"/>
    <x v="47"/>
    <x v="1"/>
    <n v="51.056023768999999"/>
  </r>
  <r>
    <x v="0"/>
    <x v="10"/>
    <x v="18"/>
    <x v="43"/>
    <x v="48"/>
    <x v="1"/>
    <n v="51.056023768999999"/>
  </r>
  <r>
    <x v="0"/>
    <x v="10"/>
    <x v="18"/>
    <x v="43"/>
    <x v="49"/>
    <x v="1"/>
    <n v="0"/>
  </r>
  <r>
    <x v="0"/>
    <x v="10"/>
    <x v="18"/>
    <x v="43"/>
    <x v="50"/>
    <x v="1"/>
    <n v="0"/>
  </r>
  <r>
    <x v="0"/>
    <x v="10"/>
    <x v="18"/>
    <x v="43"/>
    <x v="51"/>
    <x v="1"/>
    <n v="0"/>
  </r>
  <r>
    <x v="0"/>
    <x v="10"/>
    <x v="18"/>
    <x v="43"/>
    <x v="52"/>
    <x v="1"/>
    <n v="0"/>
  </r>
  <r>
    <x v="0"/>
    <x v="10"/>
    <x v="18"/>
    <x v="43"/>
    <x v="53"/>
    <x v="1"/>
    <n v="0"/>
  </r>
  <r>
    <x v="0"/>
    <x v="10"/>
    <x v="18"/>
    <x v="43"/>
    <x v="54"/>
    <x v="1"/>
    <n v="0"/>
  </r>
  <r>
    <x v="0"/>
    <x v="10"/>
    <x v="18"/>
    <x v="43"/>
    <x v="55"/>
    <x v="1"/>
    <n v="0"/>
  </r>
  <r>
    <x v="0"/>
    <x v="10"/>
    <x v="19"/>
    <x v="44"/>
    <x v="46"/>
    <x v="5"/>
    <n v="674.79210492200002"/>
  </r>
  <r>
    <x v="0"/>
    <x v="10"/>
    <x v="19"/>
    <x v="44"/>
    <x v="47"/>
    <x v="5"/>
    <n v="674.79210492200002"/>
  </r>
  <r>
    <x v="0"/>
    <x v="10"/>
    <x v="19"/>
    <x v="44"/>
    <x v="48"/>
    <x v="5"/>
    <n v="674.79210492200002"/>
  </r>
  <r>
    <x v="0"/>
    <x v="10"/>
    <x v="19"/>
    <x v="44"/>
    <x v="49"/>
    <x v="5"/>
    <n v="0"/>
  </r>
  <r>
    <x v="0"/>
    <x v="10"/>
    <x v="19"/>
    <x v="44"/>
    <x v="50"/>
    <x v="5"/>
    <n v="0"/>
  </r>
  <r>
    <x v="0"/>
    <x v="10"/>
    <x v="19"/>
    <x v="44"/>
    <x v="51"/>
    <x v="5"/>
    <n v="0"/>
  </r>
  <r>
    <x v="0"/>
    <x v="10"/>
    <x v="19"/>
    <x v="44"/>
    <x v="52"/>
    <x v="5"/>
    <n v="0"/>
  </r>
  <r>
    <x v="0"/>
    <x v="10"/>
    <x v="19"/>
    <x v="44"/>
    <x v="53"/>
    <x v="5"/>
    <n v="0"/>
  </r>
  <r>
    <x v="0"/>
    <x v="10"/>
    <x v="19"/>
    <x v="44"/>
    <x v="54"/>
    <x v="5"/>
    <n v="0"/>
  </r>
  <r>
    <x v="0"/>
    <x v="10"/>
    <x v="19"/>
    <x v="44"/>
    <x v="55"/>
    <x v="5"/>
    <n v="0"/>
  </r>
  <r>
    <x v="0"/>
    <x v="10"/>
    <x v="20"/>
    <x v="44"/>
    <x v="0"/>
    <x v="6"/>
    <n v="262.667279603"/>
  </r>
  <r>
    <x v="0"/>
    <x v="10"/>
    <x v="21"/>
    <x v="44"/>
    <x v="0"/>
    <x v="6"/>
    <n v="3826.3007367260002"/>
  </r>
  <r>
    <x v="0"/>
    <x v="10"/>
    <x v="22"/>
    <x v="44"/>
    <x v="0"/>
    <x v="5"/>
    <n v="6.8647840000000002E-2"/>
  </r>
  <r>
    <x v="0"/>
    <x v="10"/>
    <x v="23"/>
    <x v="44"/>
    <x v="0"/>
    <x v="5"/>
    <n v="856.92437404600003"/>
  </r>
  <r>
    <x v="0"/>
    <x v="10"/>
    <x v="24"/>
    <x v="44"/>
    <x v="0"/>
    <x v="6"/>
    <n v="1496.3400384470001"/>
  </r>
  <r>
    <x v="0"/>
    <x v="10"/>
    <x v="25"/>
    <x v="45"/>
    <x v="0"/>
    <x v="6"/>
    <n v="1621.4224068179999"/>
  </r>
  <r>
    <x v="0"/>
    <x v="10"/>
    <x v="26"/>
    <x v="44"/>
    <x v="0"/>
    <x v="6"/>
    <n v="1251.6367495019999"/>
  </r>
  <r>
    <x v="0"/>
    <x v="10"/>
    <x v="27"/>
    <x v="44"/>
    <x v="0"/>
    <x v="6"/>
    <n v="730.68561027500004"/>
  </r>
  <r>
    <x v="0"/>
    <x v="10"/>
    <x v="28"/>
    <x v="44"/>
    <x v="0"/>
    <x v="6"/>
    <n v="1273.784068316"/>
  </r>
  <r>
    <x v="0"/>
    <x v="10"/>
    <x v="29"/>
    <x v="44"/>
    <x v="0"/>
    <x v="6"/>
    <n v="5.9616995030000002"/>
  </r>
  <r>
    <x v="0"/>
    <x v="10"/>
    <x v="30"/>
    <x v="44"/>
    <x v="0"/>
    <x v="6"/>
    <n v="236.50767404600001"/>
  </r>
  <r>
    <x v="0"/>
    <x v="10"/>
    <x v="31"/>
    <x v="44"/>
    <x v="0"/>
    <x v="6"/>
    <n v="10262.566423602"/>
  </r>
  <r>
    <x v="0"/>
    <x v="10"/>
    <x v="32"/>
    <x v="44"/>
    <x v="0"/>
    <x v="5"/>
    <n v="2.3045665999999999E-2"/>
  </r>
  <r>
    <x v="0"/>
    <x v="10"/>
    <x v="33"/>
    <x v="44"/>
    <x v="0"/>
    <x v="5"/>
    <n v="3.0176999999999999E-5"/>
  </r>
  <r>
    <x v="0"/>
    <x v="10"/>
    <x v="34"/>
    <x v="44"/>
    <x v="0"/>
    <x v="5"/>
    <n v="1"/>
  </r>
  <r>
    <x v="0"/>
    <x v="10"/>
    <x v="35"/>
    <x v="44"/>
    <x v="0"/>
    <x v="5"/>
    <n v="1.075"/>
  </r>
  <r>
    <x v="0"/>
    <x v="10"/>
    <x v="36"/>
    <x v="44"/>
    <x v="0"/>
    <x v="5"/>
    <n v="2.0275715999999999E-2"/>
  </r>
  <r>
    <x v="0"/>
    <x v="10"/>
    <x v="37"/>
    <x v="45"/>
    <x v="0"/>
    <x v="6"/>
    <n v="0"/>
  </r>
  <r>
    <x v="0"/>
    <x v="10"/>
    <x v="38"/>
    <x v="45"/>
    <x v="0"/>
    <x v="6"/>
    <n v="0"/>
  </r>
  <r>
    <x v="0"/>
    <x v="10"/>
    <x v="39"/>
    <x v="45"/>
    <x v="0"/>
    <x v="6"/>
    <n v="1"/>
  </r>
  <r>
    <x v="0"/>
    <x v="10"/>
    <x v="40"/>
    <x v="45"/>
    <x v="0"/>
    <x v="6"/>
    <n v="166.71635669099999"/>
  </r>
  <r>
    <x v="0"/>
    <x v="10"/>
    <x v="41"/>
    <x v="45"/>
    <x v="0"/>
    <x v="6"/>
    <n v="151.62179829600001"/>
  </r>
  <r>
    <x v="0"/>
    <x v="10"/>
    <x v="42"/>
    <x v="45"/>
    <x v="0"/>
    <x v="6"/>
    <n v="15.094558395"/>
  </r>
  <r>
    <x v="0"/>
    <x v="10"/>
    <x v="43"/>
    <x v="45"/>
    <x v="0"/>
    <x v="6"/>
    <n v="293.35566010000002"/>
  </r>
  <r>
    <x v="0"/>
    <x v="10"/>
    <x v="44"/>
    <x v="45"/>
    <x v="0"/>
    <x v="6"/>
    <n v="0"/>
  </r>
  <r>
    <x v="0"/>
    <x v="10"/>
    <x v="45"/>
    <x v="44"/>
    <x v="0"/>
    <x v="5"/>
    <n v="5.1454804999999999E-2"/>
  </r>
  <r>
    <x v="0"/>
    <x v="10"/>
    <x v="46"/>
    <x v="45"/>
    <x v="0"/>
    <x v="5"/>
    <n v="4.2146933239999997"/>
  </r>
  <r>
    <x v="0"/>
    <x v="10"/>
    <x v="47"/>
    <x v="46"/>
    <x v="0"/>
    <x v="6"/>
    <n v="0.53909008599999997"/>
  </r>
  <r>
    <x v="0"/>
    <x v="10"/>
    <x v="48"/>
    <x v="47"/>
    <x v="0"/>
    <x v="6"/>
    <n v="0"/>
  </r>
  <r>
    <x v="0"/>
    <x v="10"/>
    <x v="49"/>
    <x v="47"/>
    <x v="0"/>
    <x v="6"/>
    <n v="0"/>
  </r>
  <r>
    <x v="0"/>
    <x v="10"/>
    <x v="50"/>
    <x v="48"/>
    <x v="0"/>
    <x v="7"/>
    <n v="121.944988438"/>
  </r>
  <r>
    <x v="0"/>
    <x v="10"/>
    <x v="50"/>
    <x v="49"/>
    <x v="0"/>
    <x v="7"/>
    <n v="114.02359552199999"/>
  </r>
  <r>
    <x v="0"/>
    <x v="10"/>
    <x v="51"/>
    <x v="42"/>
    <x v="0"/>
    <x v="4"/>
    <n v="58.431290046000001"/>
  </r>
  <r>
    <x v="0"/>
    <x v="10"/>
    <x v="51"/>
    <x v="43"/>
    <x v="0"/>
    <x v="4"/>
    <n v="194.14841832100001"/>
  </r>
  <r>
    <x v="0"/>
    <x v="10"/>
    <x v="52"/>
    <x v="42"/>
    <x v="0"/>
    <x v="4"/>
    <n v="32.808419694000001"/>
  </r>
  <r>
    <x v="0"/>
    <x v="10"/>
    <x v="52"/>
    <x v="43"/>
    <x v="0"/>
    <x v="4"/>
    <n v="66.949627293999995"/>
  </r>
  <r>
    <x v="0"/>
    <x v="10"/>
    <x v="53"/>
    <x v="42"/>
    <x v="0"/>
    <x v="4"/>
    <n v="9.5614100880000006"/>
  </r>
  <r>
    <x v="0"/>
    <x v="10"/>
    <x v="53"/>
    <x v="43"/>
    <x v="0"/>
    <x v="4"/>
    <n v="15.893603518000001"/>
  </r>
  <r>
    <x v="0"/>
    <x v="10"/>
    <x v="54"/>
    <x v="42"/>
    <x v="56"/>
    <x v="4"/>
    <n v="20.973470198000001"/>
  </r>
  <r>
    <x v="0"/>
    <x v="10"/>
    <x v="54"/>
    <x v="43"/>
    <x v="56"/>
    <x v="4"/>
    <n v="119.540381396"/>
  </r>
  <r>
    <x v="0"/>
    <x v="10"/>
    <x v="55"/>
    <x v="42"/>
    <x v="0"/>
    <x v="4"/>
    <n v="6.3268645999999998E-2"/>
  </r>
  <r>
    <x v="0"/>
    <x v="10"/>
    <x v="55"/>
    <x v="43"/>
    <x v="0"/>
    <x v="4"/>
    <n v="5.8539870000000001E-2"/>
  </r>
  <r>
    <x v="0"/>
    <x v="10"/>
    <x v="56"/>
    <x v="42"/>
    <x v="0"/>
    <x v="4"/>
    <n v="8.0623357000000007E-2"/>
  </r>
  <r>
    <x v="0"/>
    <x v="10"/>
    <x v="56"/>
    <x v="43"/>
    <x v="0"/>
    <x v="4"/>
    <n v="7.7819270999999995E-2"/>
  </r>
  <r>
    <x v="0"/>
    <x v="10"/>
    <x v="57"/>
    <x v="42"/>
    <x v="0"/>
    <x v="4"/>
    <n v="4.1122776E-2"/>
  </r>
  <r>
    <x v="0"/>
    <x v="10"/>
    <x v="57"/>
    <x v="43"/>
    <x v="0"/>
    <x v="4"/>
    <n v="3.8663002000000002E-2"/>
  </r>
  <r>
    <x v="0"/>
    <x v="10"/>
    <x v="58"/>
    <x v="44"/>
    <x v="57"/>
    <x v="5"/>
    <n v="3.8833121999999998E-2"/>
  </r>
  <r>
    <x v="0"/>
    <x v="10"/>
    <x v="59"/>
    <x v="44"/>
    <x v="57"/>
    <x v="6"/>
    <n v="704.06799999999998"/>
  </r>
  <r>
    <x v="0"/>
    <x v="10"/>
    <x v="60"/>
    <x v="0"/>
    <x v="57"/>
    <x v="8"/>
    <n v="223.49147944500001"/>
  </r>
  <r>
    <x v="0"/>
    <x v="10"/>
    <x v="60"/>
    <x v="1"/>
    <x v="57"/>
    <x v="8"/>
    <n v="25.85874188"/>
  </r>
  <r>
    <x v="0"/>
    <x v="10"/>
    <x v="60"/>
    <x v="2"/>
    <x v="57"/>
    <x v="8"/>
    <n v="83.870881385000004"/>
  </r>
  <r>
    <x v="0"/>
    <x v="10"/>
    <x v="60"/>
    <x v="3"/>
    <x v="57"/>
    <x v="8"/>
    <n v="59.388930535999997"/>
  </r>
  <r>
    <x v="0"/>
    <x v="10"/>
    <x v="60"/>
    <x v="4"/>
    <x v="57"/>
    <x v="8"/>
    <n v="4.4916056470000001"/>
  </r>
  <r>
    <x v="0"/>
    <x v="10"/>
    <x v="60"/>
    <x v="5"/>
    <x v="57"/>
    <x v="8"/>
    <n v="91.475088111000005"/>
  </r>
  <r>
    <x v="0"/>
    <x v="10"/>
    <x v="60"/>
    <x v="6"/>
    <x v="57"/>
    <x v="8"/>
    <n v="13.559735423999999"/>
  </r>
  <r>
    <x v="0"/>
    <x v="10"/>
    <x v="60"/>
    <x v="7"/>
    <x v="57"/>
    <x v="8"/>
    <n v="22.217581442"/>
  </r>
  <r>
    <x v="0"/>
    <x v="10"/>
    <x v="60"/>
    <x v="8"/>
    <x v="57"/>
    <x v="8"/>
    <n v="6.1647565179999999"/>
  </r>
  <r>
    <x v="0"/>
    <x v="10"/>
    <x v="60"/>
    <x v="9"/>
    <x v="57"/>
    <x v="8"/>
    <n v="21.597659946"/>
  </r>
  <r>
    <x v="0"/>
    <x v="10"/>
    <x v="60"/>
    <x v="10"/>
    <x v="57"/>
    <x v="8"/>
    <n v="20.026603263999998"/>
  </r>
  <r>
    <x v="0"/>
    <x v="10"/>
    <x v="60"/>
    <x v="11"/>
    <x v="57"/>
    <x v="8"/>
    <n v="115.753971717"/>
  </r>
  <r>
    <x v="0"/>
    <x v="10"/>
    <x v="60"/>
    <x v="12"/>
    <x v="57"/>
    <x v="8"/>
    <n v="4.6557952880000002"/>
  </r>
  <r>
    <x v="0"/>
    <x v="10"/>
    <x v="60"/>
    <x v="13"/>
    <x v="57"/>
    <x v="8"/>
    <n v="45.071095282999998"/>
  </r>
  <r>
    <x v="0"/>
    <x v="10"/>
    <x v="60"/>
    <x v="14"/>
    <x v="57"/>
    <x v="8"/>
    <n v="5.9485652770000002"/>
  </r>
  <r>
    <x v="0"/>
    <x v="10"/>
    <x v="60"/>
    <x v="15"/>
    <x v="57"/>
    <x v="8"/>
    <n v="40.148432739999997"/>
  </r>
  <r>
    <x v="0"/>
    <x v="10"/>
    <x v="60"/>
    <x v="16"/>
    <x v="57"/>
    <x v="8"/>
    <n v="34.484912848"/>
  </r>
  <r>
    <x v="0"/>
    <x v="10"/>
    <x v="60"/>
    <x v="17"/>
    <x v="57"/>
    <x v="8"/>
    <n v="56.476422047"/>
  </r>
  <r>
    <x v="0"/>
    <x v="10"/>
    <x v="60"/>
    <x v="18"/>
    <x v="57"/>
    <x v="8"/>
    <n v="30.052178067"/>
  </r>
  <r>
    <x v="0"/>
    <x v="10"/>
    <x v="60"/>
    <x v="19"/>
    <x v="57"/>
    <x v="8"/>
    <n v="174.97302128800001"/>
  </r>
  <r>
    <x v="0"/>
    <x v="10"/>
    <x v="60"/>
    <x v="20"/>
    <x v="57"/>
    <x v="8"/>
    <n v="26.179593379"/>
  </r>
  <r>
    <x v="0"/>
    <x v="10"/>
    <x v="60"/>
    <x v="21"/>
    <x v="57"/>
    <x v="8"/>
    <n v="0.51989353699999996"/>
  </r>
  <r>
    <x v="0"/>
    <x v="10"/>
    <x v="60"/>
    <x v="22"/>
    <x v="57"/>
    <x v="8"/>
    <n v="1.1574288850000001"/>
  </r>
  <r>
    <x v="0"/>
    <x v="10"/>
    <x v="60"/>
    <x v="23"/>
    <x v="57"/>
    <x v="8"/>
    <n v="0"/>
  </r>
  <r>
    <x v="0"/>
    <x v="10"/>
    <x v="60"/>
    <x v="24"/>
    <x v="57"/>
    <x v="8"/>
    <n v="0.17527321700000001"/>
  </r>
  <r>
    <x v="0"/>
    <x v="10"/>
    <x v="60"/>
    <x v="25"/>
    <x v="57"/>
    <x v="8"/>
    <n v="4.6999999999999997E-8"/>
  </r>
  <r>
    <x v="0"/>
    <x v="10"/>
    <x v="60"/>
    <x v="26"/>
    <x v="57"/>
    <x v="8"/>
    <n v="0"/>
  </r>
  <r>
    <x v="0"/>
    <x v="10"/>
    <x v="60"/>
    <x v="27"/>
    <x v="57"/>
    <x v="8"/>
    <n v="2.9236391390000001"/>
  </r>
  <r>
    <x v="0"/>
    <x v="10"/>
    <x v="60"/>
    <x v="28"/>
    <x v="57"/>
    <x v="8"/>
    <n v="0"/>
  </r>
  <r>
    <x v="0"/>
    <x v="10"/>
    <x v="60"/>
    <x v="29"/>
    <x v="57"/>
    <x v="8"/>
    <n v="35.675530529"/>
  </r>
  <r>
    <x v="0"/>
    <x v="10"/>
    <x v="60"/>
    <x v="30"/>
    <x v="57"/>
    <x v="8"/>
    <n v="22.900322268"/>
  </r>
  <r>
    <x v="0"/>
    <x v="10"/>
    <x v="60"/>
    <x v="31"/>
    <x v="57"/>
    <x v="8"/>
    <n v="5.3294066239999998"/>
  </r>
  <r>
    <x v="0"/>
    <x v="10"/>
    <x v="60"/>
    <x v="32"/>
    <x v="57"/>
    <x v="8"/>
    <n v="3.237027887"/>
  </r>
  <r>
    <x v="0"/>
    <x v="10"/>
    <x v="60"/>
    <x v="33"/>
    <x v="57"/>
    <x v="8"/>
    <n v="0"/>
  </r>
  <r>
    <x v="0"/>
    <x v="10"/>
    <x v="60"/>
    <x v="34"/>
    <x v="57"/>
    <x v="8"/>
    <n v="36.781976712999999"/>
  </r>
  <r>
    <x v="0"/>
    <x v="10"/>
    <x v="60"/>
    <x v="35"/>
    <x v="57"/>
    <x v="8"/>
    <n v="3.8207277560000001"/>
  </r>
  <r>
    <x v="0"/>
    <x v="10"/>
    <x v="60"/>
    <x v="36"/>
    <x v="57"/>
    <x v="8"/>
    <n v="8.2347441519999993"/>
  </r>
  <r>
    <x v="0"/>
    <x v="10"/>
    <x v="60"/>
    <x v="37"/>
    <x v="57"/>
    <x v="8"/>
    <n v="2.1263867830000001"/>
  </r>
  <r>
    <x v="0"/>
    <x v="10"/>
    <x v="60"/>
    <x v="38"/>
    <x v="57"/>
    <x v="8"/>
    <n v="10.827967419"/>
  </r>
  <r>
    <x v="0"/>
    <x v="10"/>
    <x v="60"/>
    <x v="39"/>
    <x v="57"/>
    <x v="8"/>
    <n v="3.2426000080000001"/>
  </r>
  <r>
    <x v="0"/>
    <x v="10"/>
    <x v="60"/>
    <x v="40"/>
    <x v="57"/>
    <x v="8"/>
    <n v="22.938937833000001"/>
  </r>
  <r>
    <x v="0"/>
    <x v="10"/>
    <x v="60"/>
    <x v="41"/>
    <x v="57"/>
    <x v="8"/>
    <n v="8.005153988"/>
  </r>
  <r>
    <x v="0"/>
    <x v="10"/>
    <x v="61"/>
    <x v="0"/>
    <x v="57"/>
    <x v="8"/>
    <n v="1.2750380649999999"/>
  </r>
  <r>
    <x v="0"/>
    <x v="10"/>
    <x v="61"/>
    <x v="1"/>
    <x v="57"/>
    <x v="8"/>
    <n v="0.44052823899999999"/>
  </r>
  <r>
    <x v="0"/>
    <x v="10"/>
    <x v="61"/>
    <x v="2"/>
    <x v="57"/>
    <x v="8"/>
    <n v="2.729816402"/>
  </r>
  <r>
    <x v="0"/>
    <x v="10"/>
    <x v="61"/>
    <x v="3"/>
    <x v="57"/>
    <x v="8"/>
    <n v="0.40024024800000002"/>
  </r>
  <r>
    <x v="0"/>
    <x v="10"/>
    <x v="61"/>
    <x v="4"/>
    <x v="57"/>
    <x v="8"/>
    <n v="0.73941297399999995"/>
  </r>
  <r>
    <x v="0"/>
    <x v="10"/>
    <x v="61"/>
    <x v="5"/>
    <x v="57"/>
    <x v="8"/>
    <n v="8.4267348789999996"/>
  </r>
  <r>
    <x v="0"/>
    <x v="10"/>
    <x v="61"/>
    <x v="6"/>
    <x v="57"/>
    <x v="8"/>
    <n v="16.052203459000001"/>
  </r>
  <r>
    <x v="0"/>
    <x v="10"/>
    <x v="61"/>
    <x v="7"/>
    <x v="57"/>
    <x v="8"/>
    <n v="32.795478821000003"/>
  </r>
  <r>
    <x v="0"/>
    <x v="10"/>
    <x v="61"/>
    <x v="8"/>
    <x v="57"/>
    <x v="8"/>
    <n v="12.5920557"/>
  </r>
  <r>
    <x v="0"/>
    <x v="10"/>
    <x v="61"/>
    <x v="9"/>
    <x v="57"/>
    <x v="8"/>
    <n v="28.983453406999999"/>
  </r>
  <r>
    <x v="0"/>
    <x v="10"/>
    <x v="61"/>
    <x v="10"/>
    <x v="57"/>
    <x v="8"/>
    <n v="11.545742269"/>
  </r>
  <r>
    <x v="0"/>
    <x v="10"/>
    <x v="61"/>
    <x v="11"/>
    <x v="57"/>
    <x v="8"/>
    <n v="62.392432765000002"/>
  </r>
  <r>
    <x v="0"/>
    <x v="10"/>
    <x v="61"/>
    <x v="12"/>
    <x v="57"/>
    <x v="8"/>
    <n v="14.107366036"/>
  </r>
  <r>
    <x v="0"/>
    <x v="10"/>
    <x v="61"/>
    <x v="13"/>
    <x v="57"/>
    <x v="8"/>
    <n v="35.885442896999997"/>
  </r>
  <r>
    <x v="0"/>
    <x v="10"/>
    <x v="61"/>
    <x v="14"/>
    <x v="57"/>
    <x v="8"/>
    <n v="26.603142263999999"/>
  </r>
  <r>
    <x v="0"/>
    <x v="10"/>
    <x v="61"/>
    <x v="15"/>
    <x v="57"/>
    <x v="8"/>
    <n v="35.924052371000002"/>
  </r>
  <r>
    <x v="0"/>
    <x v="10"/>
    <x v="61"/>
    <x v="16"/>
    <x v="57"/>
    <x v="8"/>
    <n v="16.818549880999999"/>
  </r>
  <r>
    <x v="0"/>
    <x v="10"/>
    <x v="61"/>
    <x v="17"/>
    <x v="57"/>
    <x v="8"/>
    <n v="28.373274296000002"/>
  </r>
  <r>
    <x v="0"/>
    <x v="10"/>
    <x v="61"/>
    <x v="18"/>
    <x v="57"/>
    <x v="8"/>
    <n v="64.302656948999996"/>
  </r>
  <r>
    <x v="0"/>
    <x v="10"/>
    <x v="61"/>
    <x v="19"/>
    <x v="57"/>
    <x v="8"/>
    <n v="148.35765649300001"/>
  </r>
  <r>
    <x v="0"/>
    <x v="10"/>
    <x v="61"/>
    <x v="20"/>
    <x v="57"/>
    <x v="8"/>
    <n v="10.8919722"/>
  </r>
  <r>
    <x v="0"/>
    <x v="10"/>
    <x v="61"/>
    <x v="21"/>
    <x v="57"/>
    <x v="8"/>
    <n v="2.314136091"/>
  </r>
  <r>
    <x v="0"/>
    <x v="10"/>
    <x v="61"/>
    <x v="22"/>
    <x v="57"/>
    <x v="8"/>
    <n v="5.1813840100000004"/>
  </r>
  <r>
    <x v="0"/>
    <x v="10"/>
    <x v="61"/>
    <x v="23"/>
    <x v="57"/>
    <x v="8"/>
    <n v="0"/>
  </r>
  <r>
    <x v="0"/>
    <x v="10"/>
    <x v="61"/>
    <x v="24"/>
    <x v="57"/>
    <x v="8"/>
    <n v="0.61140160399999999"/>
  </r>
  <r>
    <x v="0"/>
    <x v="10"/>
    <x v="61"/>
    <x v="25"/>
    <x v="57"/>
    <x v="8"/>
    <n v="0"/>
  </r>
  <r>
    <x v="0"/>
    <x v="10"/>
    <x v="61"/>
    <x v="26"/>
    <x v="57"/>
    <x v="8"/>
    <n v="0"/>
  </r>
  <r>
    <x v="0"/>
    <x v="10"/>
    <x v="61"/>
    <x v="27"/>
    <x v="57"/>
    <x v="8"/>
    <n v="2.743523395"/>
  </r>
  <r>
    <x v="0"/>
    <x v="10"/>
    <x v="61"/>
    <x v="28"/>
    <x v="57"/>
    <x v="8"/>
    <n v="83.747994120000001"/>
  </r>
  <r>
    <x v="0"/>
    <x v="10"/>
    <x v="61"/>
    <x v="29"/>
    <x v="57"/>
    <x v="8"/>
    <n v="35.224328833999998"/>
  </r>
  <r>
    <x v="0"/>
    <x v="10"/>
    <x v="61"/>
    <x v="30"/>
    <x v="57"/>
    <x v="8"/>
    <n v="1.3357202290000001"/>
  </r>
  <r>
    <x v="0"/>
    <x v="10"/>
    <x v="61"/>
    <x v="31"/>
    <x v="57"/>
    <x v="8"/>
    <n v="9.1610076659999997"/>
  </r>
  <r>
    <x v="0"/>
    <x v="10"/>
    <x v="61"/>
    <x v="32"/>
    <x v="57"/>
    <x v="8"/>
    <n v="4.0318594819999998"/>
  </r>
  <r>
    <x v="0"/>
    <x v="10"/>
    <x v="61"/>
    <x v="33"/>
    <x v="57"/>
    <x v="8"/>
    <n v="0"/>
  </r>
  <r>
    <x v="0"/>
    <x v="10"/>
    <x v="61"/>
    <x v="34"/>
    <x v="57"/>
    <x v="8"/>
    <n v="22.981472277999998"/>
  </r>
  <r>
    <x v="0"/>
    <x v="10"/>
    <x v="61"/>
    <x v="35"/>
    <x v="57"/>
    <x v="8"/>
    <n v="0.14180843400000001"/>
  </r>
  <r>
    <x v="0"/>
    <x v="10"/>
    <x v="61"/>
    <x v="36"/>
    <x v="57"/>
    <x v="8"/>
    <n v="0.55130455599999995"/>
  </r>
  <r>
    <x v="0"/>
    <x v="10"/>
    <x v="61"/>
    <x v="37"/>
    <x v="57"/>
    <x v="8"/>
    <n v="0.34322651900000001"/>
  </r>
  <r>
    <x v="0"/>
    <x v="10"/>
    <x v="61"/>
    <x v="38"/>
    <x v="57"/>
    <x v="8"/>
    <n v="9.7754424000000006E-2"/>
  </r>
  <r>
    <x v="0"/>
    <x v="10"/>
    <x v="61"/>
    <x v="39"/>
    <x v="57"/>
    <x v="8"/>
    <n v="0.117673264"/>
  </r>
  <r>
    <x v="0"/>
    <x v="10"/>
    <x v="61"/>
    <x v="40"/>
    <x v="57"/>
    <x v="8"/>
    <n v="2.2753204039999999"/>
  </r>
  <r>
    <x v="0"/>
    <x v="10"/>
    <x v="61"/>
    <x v="41"/>
    <x v="57"/>
    <x v="8"/>
    <n v="0.18844435000000001"/>
  </r>
  <r>
    <x v="0"/>
    <x v="10"/>
    <x v="62"/>
    <x v="0"/>
    <x v="57"/>
    <x v="9"/>
    <n v="3.8833121999999998E-2"/>
  </r>
  <r>
    <x v="0"/>
    <x v="10"/>
    <x v="62"/>
    <x v="1"/>
    <x v="57"/>
    <x v="9"/>
    <n v="3.8833121999999998E-2"/>
  </r>
  <r>
    <x v="0"/>
    <x v="10"/>
    <x v="62"/>
    <x v="2"/>
    <x v="57"/>
    <x v="9"/>
    <n v="3.8833121999999998E-2"/>
  </r>
  <r>
    <x v="0"/>
    <x v="10"/>
    <x v="62"/>
    <x v="3"/>
    <x v="57"/>
    <x v="9"/>
    <n v="3.8833121999999998E-2"/>
  </r>
  <r>
    <x v="0"/>
    <x v="10"/>
    <x v="62"/>
    <x v="4"/>
    <x v="57"/>
    <x v="9"/>
    <n v="3.8833121999999998E-2"/>
  </r>
  <r>
    <x v="0"/>
    <x v="10"/>
    <x v="62"/>
    <x v="5"/>
    <x v="57"/>
    <x v="9"/>
    <n v="3.8833121999999998E-2"/>
  </r>
  <r>
    <x v="0"/>
    <x v="10"/>
    <x v="62"/>
    <x v="6"/>
    <x v="57"/>
    <x v="9"/>
    <n v="3.8833121999999998E-2"/>
  </r>
  <r>
    <x v="0"/>
    <x v="10"/>
    <x v="62"/>
    <x v="7"/>
    <x v="57"/>
    <x v="9"/>
    <n v="3.8833121999999998E-2"/>
  </r>
  <r>
    <x v="0"/>
    <x v="10"/>
    <x v="62"/>
    <x v="8"/>
    <x v="57"/>
    <x v="9"/>
    <n v="3.8833121999999998E-2"/>
  </r>
  <r>
    <x v="0"/>
    <x v="10"/>
    <x v="62"/>
    <x v="9"/>
    <x v="57"/>
    <x v="9"/>
    <n v="3.8833121999999998E-2"/>
  </r>
  <r>
    <x v="0"/>
    <x v="10"/>
    <x v="62"/>
    <x v="10"/>
    <x v="57"/>
    <x v="9"/>
    <n v="3.8833121999999998E-2"/>
  </r>
  <r>
    <x v="0"/>
    <x v="10"/>
    <x v="62"/>
    <x v="11"/>
    <x v="57"/>
    <x v="9"/>
    <n v="3.8833121999999998E-2"/>
  </r>
  <r>
    <x v="0"/>
    <x v="10"/>
    <x v="62"/>
    <x v="12"/>
    <x v="57"/>
    <x v="9"/>
    <n v="3.8833121999999998E-2"/>
  </r>
  <r>
    <x v="0"/>
    <x v="10"/>
    <x v="62"/>
    <x v="13"/>
    <x v="57"/>
    <x v="9"/>
    <n v="3.8833121999999998E-2"/>
  </r>
  <r>
    <x v="0"/>
    <x v="10"/>
    <x v="62"/>
    <x v="14"/>
    <x v="57"/>
    <x v="9"/>
    <n v="3.8833121999999998E-2"/>
  </r>
  <r>
    <x v="0"/>
    <x v="10"/>
    <x v="62"/>
    <x v="15"/>
    <x v="57"/>
    <x v="9"/>
    <n v="3.8833121999999998E-2"/>
  </r>
  <r>
    <x v="0"/>
    <x v="10"/>
    <x v="62"/>
    <x v="16"/>
    <x v="57"/>
    <x v="9"/>
    <n v="3.8833121999999998E-2"/>
  </r>
  <r>
    <x v="0"/>
    <x v="10"/>
    <x v="62"/>
    <x v="17"/>
    <x v="57"/>
    <x v="9"/>
    <n v="3.8833121999999998E-2"/>
  </r>
  <r>
    <x v="0"/>
    <x v="10"/>
    <x v="62"/>
    <x v="18"/>
    <x v="57"/>
    <x v="9"/>
    <n v="3.8833121999999998E-2"/>
  </r>
  <r>
    <x v="0"/>
    <x v="10"/>
    <x v="62"/>
    <x v="19"/>
    <x v="57"/>
    <x v="9"/>
    <n v="3.8833121999999998E-2"/>
  </r>
  <r>
    <x v="0"/>
    <x v="10"/>
    <x v="62"/>
    <x v="20"/>
    <x v="57"/>
    <x v="9"/>
    <n v="3.8833121999999998E-2"/>
  </r>
  <r>
    <x v="0"/>
    <x v="10"/>
    <x v="62"/>
    <x v="21"/>
    <x v="57"/>
    <x v="9"/>
    <n v="3.8833121999999998E-2"/>
  </r>
  <r>
    <x v="0"/>
    <x v="10"/>
    <x v="62"/>
    <x v="22"/>
    <x v="57"/>
    <x v="9"/>
    <n v="3.8833121999999998E-2"/>
  </r>
  <r>
    <x v="0"/>
    <x v="10"/>
    <x v="62"/>
    <x v="23"/>
    <x v="57"/>
    <x v="9"/>
    <n v="1"/>
  </r>
  <r>
    <x v="0"/>
    <x v="10"/>
    <x v="62"/>
    <x v="24"/>
    <x v="57"/>
    <x v="9"/>
    <n v="3.8833121999999998E-2"/>
  </r>
  <r>
    <x v="0"/>
    <x v="10"/>
    <x v="62"/>
    <x v="25"/>
    <x v="57"/>
    <x v="9"/>
    <n v="3.8833121999999998E-2"/>
  </r>
  <r>
    <x v="0"/>
    <x v="10"/>
    <x v="62"/>
    <x v="26"/>
    <x v="57"/>
    <x v="9"/>
    <n v="1"/>
  </r>
  <r>
    <x v="0"/>
    <x v="10"/>
    <x v="62"/>
    <x v="27"/>
    <x v="57"/>
    <x v="9"/>
    <n v="3.8833121999999998E-2"/>
  </r>
  <r>
    <x v="0"/>
    <x v="10"/>
    <x v="62"/>
    <x v="28"/>
    <x v="57"/>
    <x v="9"/>
    <n v="1"/>
  </r>
  <r>
    <x v="0"/>
    <x v="10"/>
    <x v="62"/>
    <x v="29"/>
    <x v="57"/>
    <x v="9"/>
    <n v="3.8833121999999998E-2"/>
  </r>
  <r>
    <x v="0"/>
    <x v="10"/>
    <x v="62"/>
    <x v="30"/>
    <x v="57"/>
    <x v="9"/>
    <n v="3.8833121999999998E-2"/>
  </r>
  <r>
    <x v="0"/>
    <x v="10"/>
    <x v="62"/>
    <x v="31"/>
    <x v="57"/>
    <x v="9"/>
    <n v="3.8833121999999998E-2"/>
  </r>
  <r>
    <x v="0"/>
    <x v="10"/>
    <x v="62"/>
    <x v="32"/>
    <x v="57"/>
    <x v="9"/>
    <n v="3.8833121999999998E-2"/>
  </r>
  <r>
    <x v="0"/>
    <x v="10"/>
    <x v="62"/>
    <x v="33"/>
    <x v="57"/>
    <x v="9"/>
    <n v="1"/>
  </r>
  <r>
    <x v="0"/>
    <x v="10"/>
    <x v="62"/>
    <x v="34"/>
    <x v="57"/>
    <x v="9"/>
    <n v="3.8833121999999998E-2"/>
  </r>
  <r>
    <x v="0"/>
    <x v="10"/>
    <x v="62"/>
    <x v="35"/>
    <x v="57"/>
    <x v="9"/>
    <n v="3.8833121999999998E-2"/>
  </r>
  <r>
    <x v="0"/>
    <x v="10"/>
    <x v="62"/>
    <x v="36"/>
    <x v="57"/>
    <x v="9"/>
    <n v="3.8833121999999998E-2"/>
  </r>
  <r>
    <x v="0"/>
    <x v="10"/>
    <x v="62"/>
    <x v="37"/>
    <x v="57"/>
    <x v="9"/>
    <n v="3.8833121999999998E-2"/>
  </r>
  <r>
    <x v="0"/>
    <x v="10"/>
    <x v="62"/>
    <x v="38"/>
    <x v="57"/>
    <x v="9"/>
    <n v="3.8833121999999998E-2"/>
  </r>
  <r>
    <x v="0"/>
    <x v="10"/>
    <x v="62"/>
    <x v="39"/>
    <x v="57"/>
    <x v="9"/>
    <n v="3.8833121999999998E-2"/>
  </r>
  <r>
    <x v="0"/>
    <x v="10"/>
    <x v="62"/>
    <x v="40"/>
    <x v="57"/>
    <x v="9"/>
    <n v="3.8833121999999998E-2"/>
  </r>
  <r>
    <x v="0"/>
    <x v="10"/>
    <x v="62"/>
    <x v="41"/>
    <x v="57"/>
    <x v="9"/>
    <n v="3.8833121999999998E-2"/>
  </r>
  <r>
    <x v="0"/>
    <x v="10"/>
    <x v="63"/>
    <x v="0"/>
    <x v="57"/>
    <x v="9"/>
    <n v="5.1055765000000003E-2"/>
  </r>
  <r>
    <x v="0"/>
    <x v="10"/>
    <x v="63"/>
    <x v="1"/>
    <x v="57"/>
    <x v="9"/>
    <n v="3.3693935000000001E-2"/>
  </r>
  <r>
    <x v="0"/>
    <x v="10"/>
    <x v="63"/>
    <x v="2"/>
    <x v="57"/>
    <x v="9"/>
    <n v="2.9036686999999999E-2"/>
  </r>
  <r>
    <x v="0"/>
    <x v="10"/>
    <x v="63"/>
    <x v="3"/>
    <x v="57"/>
    <x v="9"/>
    <n v="3.2437228999999998E-2"/>
  </r>
  <r>
    <x v="0"/>
    <x v="10"/>
    <x v="63"/>
    <x v="4"/>
    <x v="57"/>
    <x v="9"/>
    <n v="3.0582661000000001E-2"/>
  </r>
  <r>
    <x v="0"/>
    <x v="10"/>
    <x v="63"/>
    <x v="5"/>
    <x v="57"/>
    <x v="9"/>
    <n v="3.3380796999999997E-2"/>
  </r>
  <r>
    <x v="0"/>
    <x v="10"/>
    <x v="63"/>
    <x v="6"/>
    <x v="57"/>
    <x v="9"/>
    <n v="3.2046142999999999E-2"/>
  </r>
  <r>
    <x v="0"/>
    <x v="10"/>
    <x v="63"/>
    <x v="7"/>
    <x v="57"/>
    <x v="9"/>
    <n v="3.2826815000000002E-2"/>
  </r>
  <r>
    <x v="0"/>
    <x v="10"/>
    <x v="63"/>
    <x v="8"/>
    <x v="57"/>
    <x v="9"/>
    <n v="3.1495248000000003E-2"/>
  </r>
  <r>
    <x v="0"/>
    <x v="10"/>
    <x v="63"/>
    <x v="9"/>
    <x v="57"/>
    <x v="9"/>
    <n v="2.8012705999999998E-2"/>
  </r>
  <r>
    <x v="0"/>
    <x v="10"/>
    <x v="63"/>
    <x v="10"/>
    <x v="57"/>
    <x v="9"/>
    <n v="2.2198458000000001E-2"/>
  </r>
  <r>
    <x v="0"/>
    <x v="10"/>
    <x v="63"/>
    <x v="11"/>
    <x v="57"/>
    <x v="9"/>
    <n v="2.6112968E-2"/>
  </r>
  <r>
    <x v="0"/>
    <x v="10"/>
    <x v="63"/>
    <x v="12"/>
    <x v="57"/>
    <x v="9"/>
    <n v="2.7677305999999999E-2"/>
  </r>
  <r>
    <x v="0"/>
    <x v="10"/>
    <x v="63"/>
    <x v="13"/>
    <x v="57"/>
    <x v="9"/>
    <n v="2.3743172E-2"/>
  </r>
  <r>
    <x v="0"/>
    <x v="10"/>
    <x v="63"/>
    <x v="14"/>
    <x v="57"/>
    <x v="9"/>
    <n v="2.5550322E-2"/>
  </r>
  <r>
    <x v="0"/>
    <x v="10"/>
    <x v="63"/>
    <x v="15"/>
    <x v="57"/>
    <x v="9"/>
    <n v="2.8554309E-2"/>
  </r>
  <r>
    <x v="0"/>
    <x v="10"/>
    <x v="63"/>
    <x v="16"/>
    <x v="57"/>
    <x v="9"/>
    <n v="2.9428618E-2"/>
  </r>
  <r>
    <x v="0"/>
    <x v="10"/>
    <x v="63"/>
    <x v="17"/>
    <x v="57"/>
    <x v="9"/>
    <n v="2.8510627E-2"/>
  </r>
  <r>
    <x v="0"/>
    <x v="10"/>
    <x v="63"/>
    <x v="18"/>
    <x v="57"/>
    <x v="9"/>
    <n v="2.5990342999999999E-2"/>
  </r>
  <r>
    <x v="0"/>
    <x v="10"/>
    <x v="63"/>
    <x v="19"/>
    <x v="57"/>
    <x v="9"/>
    <n v="3.0618198999999999E-2"/>
  </r>
  <r>
    <x v="0"/>
    <x v="10"/>
    <x v="63"/>
    <x v="20"/>
    <x v="57"/>
    <x v="9"/>
    <n v="3.0298505E-2"/>
  </r>
  <r>
    <x v="0"/>
    <x v="10"/>
    <x v="63"/>
    <x v="21"/>
    <x v="57"/>
    <x v="9"/>
    <n v="2.8046583E-2"/>
  </r>
  <r>
    <x v="0"/>
    <x v="10"/>
    <x v="63"/>
    <x v="22"/>
    <x v="57"/>
    <x v="9"/>
    <n v="1.531183E-2"/>
  </r>
  <r>
    <x v="0"/>
    <x v="10"/>
    <x v="63"/>
    <x v="23"/>
    <x v="57"/>
    <x v="9"/>
    <n v="1"/>
  </r>
  <r>
    <x v="0"/>
    <x v="10"/>
    <x v="63"/>
    <x v="24"/>
    <x v="57"/>
    <x v="9"/>
    <n v="2.4160088999999999E-2"/>
  </r>
  <r>
    <x v="0"/>
    <x v="10"/>
    <x v="63"/>
    <x v="25"/>
    <x v="57"/>
    <x v="9"/>
    <n v="1"/>
  </r>
  <r>
    <x v="0"/>
    <x v="10"/>
    <x v="63"/>
    <x v="26"/>
    <x v="57"/>
    <x v="9"/>
    <n v="1"/>
  </r>
  <r>
    <x v="0"/>
    <x v="10"/>
    <x v="63"/>
    <x v="27"/>
    <x v="57"/>
    <x v="9"/>
    <n v="3.1644464999999997E-2"/>
  </r>
  <r>
    <x v="0"/>
    <x v="10"/>
    <x v="63"/>
    <x v="28"/>
    <x v="57"/>
    <x v="9"/>
    <n v="3.3222938E-2"/>
  </r>
  <r>
    <x v="0"/>
    <x v="10"/>
    <x v="63"/>
    <x v="29"/>
    <x v="57"/>
    <x v="9"/>
    <n v="2.8514907999999999E-2"/>
  </r>
  <r>
    <x v="0"/>
    <x v="10"/>
    <x v="63"/>
    <x v="30"/>
    <x v="57"/>
    <x v="9"/>
    <n v="4.0180831E-2"/>
  </r>
  <r>
    <x v="0"/>
    <x v="10"/>
    <x v="63"/>
    <x v="31"/>
    <x v="57"/>
    <x v="9"/>
    <n v="2.6381590999999999E-2"/>
  </r>
  <r>
    <x v="0"/>
    <x v="10"/>
    <x v="63"/>
    <x v="32"/>
    <x v="57"/>
    <x v="9"/>
    <n v="2.7987241999999999E-2"/>
  </r>
  <r>
    <x v="0"/>
    <x v="10"/>
    <x v="63"/>
    <x v="33"/>
    <x v="57"/>
    <x v="9"/>
    <n v="1"/>
  </r>
  <r>
    <x v="0"/>
    <x v="10"/>
    <x v="63"/>
    <x v="34"/>
    <x v="57"/>
    <x v="9"/>
    <n v="2.9090090999999998E-2"/>
  </r>
  <r>
    <x v="0"/>
    <x v="10"/>
    <x v="63"/>
    <x v="35"/>
    <x v="57"/>
    <x v="9"/>
    <n v="2.9429601E-2"/>
  </r>
  <r>
    <x v="0"/>
    <x v="10"/>
    <x v="63"/>
    <x v="36"/>
    <x v="57"/>
    <x v="9"/>
    <n v="3.0998294999999999E-2"/>
  </r>
  <r>
    <x v="0"/>
    <x v="10"/>
    <x v="63"/>
    <x v="37"/>
    <x v="57"/>
    <x v="9"/>
    <n v="3.9580784000000001E-2"/>
  </r>
  <r>
    <x v="0"/>
    <x v="10"/>
    <x v="63"/>
    <x v="38"/>
    <x v="57"/>
    <x v="9"/>
    <n v="5.0482626000000003E-2"/>
  </r>
  <r>
    <x v="0"/>
    <x v="10"/>
    <x v="63"/>
    <x v="39"/>
    <x v="57"/>
    <x v="9"/>
    <n v="3.8146098000000003E-2"/>
  </r>
  <r>
    <x v="0"/>
    <x v="10"/>
    <x v="63"/>
    <x v="40"/>
    <x v="57"/>
    <x v="9"/>
    <n v="3.6654435999999999E-2"/>
  </r>
  <r>
    <x v="0"/>
    <x v="10"/>
    <x v="63"/>
    <x v="41"/>
    <x v="57"/>
    <x v="9"/>
    <n v="4.1316703000000003E-2"/>
  </r>
  <r>
    <x v="0"/>
    <x v="10"/>
    <x v="64"/>
    <x v="0"/>
    <x v="57"/>
    <x v="10"/>
    <n v="0"/>
  </r>
  <r>
    <x v="0"/>
    <x v="10"/>
    <x v="64"/>
    <x v="1"/>
    <x v="57"/>
    <x v="10"/>
    <n v="0"/>
  </r>
  <r>
    <x v="0"/>
    <x v="10"/>
    <x v="64"/>
    <x v="2"/>
    <x v="57"/>
    <x v="10"/>
    <n v="0"/>
  </r>
  <r>
    <x v="0"/>
    <x v="10"/>
    <x v="64"/>
    <x v="3"/>
    <x v="57"/>
    <x v="10"/>
    <n v="0"/>
  </r>
  <r>
    <x v="0"/>
    <x v="10"/>
    <x v="64"/>
    <x v="4"/>
    <x v="57"/>
    <x v="10"/>
    <n v="0"/>
  </r>
  <r>
    <x v="0"/>
    <x v="10"/>
    <x v="64"/>
    <x v="5"/>
    <x v="57"/>
    <x v="10"/>
    <n v="0"/>
  </r>
  <r>
    <x v="0"/>
    <x v="10"/>
    <x v="64"/>
    <x v="6"/>
    <x v="57"/>
    <x v="10"/>
    <n v="0"/>
  </r>
  <r>
    <x v="0"/>
    <x v="10"/>
    <x v="64"/>
    <x v="7"/>
    <x v="57"/>
    <x v="10"/>
    <n v="0"/>
  </r>
  <r>
    <x v="0"/>
    <x v="10"/>
    <x v="64"/>
    <x v="8"/>
    <x v="57"/>
    <x v="10"/>
    <n v="0"/>
  </r>
  <r>
    <x v="0"/>
    <x v="10"/>
    <x v="64"/>
    <x v="9"/>
    <x v="57"/>
    <x v="10"/>
    <n v="0"/>
  </r>
  <r>
    <x v="0"/>
    <x v="10"/>
    <x v="64"/>
    <x v="10"/>
    <x v="57"/>
    <x v="10"/>
    <n v="0"/>
  </r>
  <r>
    <x v="0"/>
    <x v="10"/>
    <x v="64"/>
    <x v="11"/>
    <x v="57"/>
    <x v="10"/>
    <n v="0"/>
  </r>
  <r>
    <x v="0"/>
    <x v="10"/>
    <x v="64"/>
    <x v="12"/>
    <x v="57"/>
    <x v="10"/>
    <n v="0"/>
  </r>
  <r>
    <x v="0"/>
    <x v="10"/>
    <x v="64"/>
    <x v="13"/>
    <x v="57"/>
    <x v="10"/>
    <n v="0"/>
  </r>
  <r>
    <x v="0"/>
    <x v="10"/>
    <x v="64"/>
    <x v="14"/>
    <x v="57"/>
    <x v="10"/>
    <n v="0"/>
  </r>
  <r>
    <x v="0"/>
    <x v="10"/>
    <x v="64"/>
    <x v="15"/>
    <x v="57"/>
    <x v="10"/>
    <n v="0"/>
  </r>
  <r>
    <x v="0"/>
    <x v="10"/>
    <x v="64"/>
    <x v="16"/>
    <x v="57"/>
    <x v="10"/>
    <n v="0"/>
  </r>
  <r>
    <x v="0"/>
    <x v="10"/>
    <x v="64"/>
    <x v="17"/>
    <x v="57"/>
    <x v="10"/>
    <n v="0"/>
  </r>
  <r>
    <x v="0"/>
    <x v="10"/>
    <x v="64"/>
    <x v="18"/>
    <x v="57"/>
    <x v="10"/>
    <n v="0"/>
  </r>
  <r>
    <x v="0"/>
    <x v="10"/>
    <x v="64"/>
    <x v="19"/>
    <x v="57"/>
    <x v="10"/>
    <n v="0"/>
  </r>
  <r>
    <x v="0"/>
    <x v="10"/>
    <x v="64"/>
    <x v="20"/>
    <x v="57"/>
    <x v="10"/>
    <n v="0"/>
  </r>
  <r>
    <x v="0"/>
    <x v="10"/>
    <x v="64"/>
    <x v="21"/>
    <x v="57"/>
    <x v="10"/>
    <n v="0"/>
  </r>
  <r>
    <x v="0"/>
    <x v="10"/>
    <x v="64"/>
    <x v="22"/>
    <x v="57"/>
    <x v="10"/>
    <n v="0"/>
  </r>
  <r>
    <x v="0"/>
    <x v="10"/>
    <x v="64"/>
    <x v="23"/>
    <x v="57"/>
    <x v="10"/>
    <n v="0"/>
  </r>
  <r>
    <x v="0"/>
    <x v="10"/>
    <x v="64"/>
    <x v="24"/>
    <x v="57"/>
    <x v="10"/>
    <n v="0"/>
  </r>
  <r>
    <x v="0"/>
    <x v="10"/>
    <x v="64"/>
    <x v="25"/>
    <x v="57"/>
    <x v="10"/>
    <n v="0"/>
  </r>
  <r>
    <x v="0"/>
    <x v="10"/>
    <x v="64"/>
    <x v="26"/>
    <x v="57"/>
    <x v="10"/>
    <n v="0"/>
  </r>
  <r>
    <x v="0"/>
    <x v="10"/>
    <x v="64"/>
    <x v="27"/>
    <x v="57"/>
    <x v="10"/>
    <n v="0"/>
  </r>
  <r>
    <x v="0"/>
    <x v="10"/>
    <x v="64"/>
    <x v="28"/>
    <x v="57"/>
    <x v="10"/>
    <n v="0"/>
  </r>
  <r>
    <x v="0"/>
    <x v="10"/>
    <x v="64"/>
    <x v="29"/>
    <x v="57"/>
    <x v="10"/>
    <n v="0"/>
  </r>
  <r>
    <x v="0"/>
    <x v="10"/>
    <x v="64"/>
    <x v="30"/>
    <x v="57"/>
    <x v="10"/>
    <n v="0"/>
  </r>
  <r>
    <x v="0"/>
    <x v="10"/>
    <x v="64"/>
    <x v="31"/>
    <x v="57"/>
    <x v="10"/>
    <n v="0"/>
  </r>
  <r>
    <x v="0"/>
    <x v="10"/>
    <x v="64"/>
    <x v="32"/>
    <x v="57"/>
    <x v="10"/>
    <n v="0"/>
  </r>
  <r>
    <x v="0"/>
    <x v="10"/>
    <x v="64"/>
    <x v="33"/>
    <x v="57"/>
    <x v="10"/>
    <n v="0"/>
  </r>
  <r>
    <x v="0"/>
    <x v="10"/>
    <x v="64"/>
    <x v="34"/>
    <x v="57"/>
    <x v="10"/>
    <n v="0"/>
  </r>
  <r>
    <x v="0"/>
    <x v="10"/>
    <x v="64"/>
    <x v="35"/>
    <x v="57"/>
    <x v="10"/>
    <n v="0"/>
  </r>
  <r>
    <x v="0"/>
    <x v="10"/>
    <x v="64"/>
    <x v="36"/>
    <x v="57"/>
    <x v="10"/>
    <n v="0"/>
  </r>
  <r>
    <x v="0"/>
    <x v="10"/>
    <x v="64"/>
    <x v="37"/>
    <x v="57"/>
    <x v="10"/>
    <n v="0"/>
  </r>
  <r>
    <x v="0"/>
    <x v="10"/>
    <x v="64"/>
    <x v="38"/>
    <x v="57"/>
    <x v="10"/>
    <n v="0"/>
  </r>
  <r>
    <x v="0"/>
    <x v="10"/>
    <x v="64"/>
    <x v="39"/>
    <x v="57"/>
    <x v="10"/>
    <n v="0"/>
  </r>
  <r>
    <x v="0"/>
    <x v="10"/>
    <x v="64"/>
    <x v="40"/>
    <x v="57"/>
    <x v="10"/>
    <n v="0"/>
  </r>
  <r>
    <x v="0"/>
    <x v="10"/>
    <x v="64"/>
    <x v="41"/>
    <x v="57"/>
    <x v="10"/>
    <n v="0"/>
  </r>
  <r>
    <x v="0"/>
    <x v="10"/>
    <x v="65"/>
    <x v="48"/>
    <x v="58"/>
    <x v="11"/>
    <n v="1769.156575322"/>
  </r>
  <r>
    <x v="0"/>
    <x v="10"/>
    <x v="65"/>
    <x v="49"/>
    <x v="58"/>
    <x v="11"/>
    <n v="1710.7307359869999"/>
  </r>
  <r>
    <x v="0"/>
    <x v="10"/>
    <x v="66"/>
    <x v="48"/>
    <x v="58"/>
    <x v="12"/>
    <n v="6.8928319000000002E-2"/>
  </r>
  <r>
    <x v="0"/>
    <x v="10"/>
    <x v="66"/>
    <x v="49"/>
    <x v="58"/>
    <x v="12"/>
    <n v="6.6651982999999998E-2"/>
  </r>
  <r>
    <x v="0"/>
    <x v="11"/>
    <x v="0"/>
    <x v="0"/>
    <x v="0"/>
    <x v="0"/>
    <n v="701.73772080000003"/>
  </r>
  <r>
    <x v="0"/>
    <x v="11"/>
    <x v="1"/>
    <x v="0"/>
    <x v="0"/>
    <x v="1"/>
    <n v="0.104650637"/>
  </r>
  <r>
    <x v="0"/>
    <x v="11"/>
    <x v="2"/>
    <x v="0"/>
    <x v="0"/>
    <x v="1"/>
    <n v="268.12620981200001"/>
  </r>
  <r>
    <x v="0"/>
    <x v="11"/>
    <x v="3"/>
    <x v="0"/>
    <x v="0"/>
    <x v="1"/>
    <n v="0.12748020099999999"/>
  </r>
  <r>
    <x v="0"/>
    <x v="11"/>
    <x v="0"/>
    <x v="1"/>
    <x v="0"/>
    <x v="0"/>
    <n v="216.869676473"/>
  </r>
  <r>
    <x v="0"/>
    <x v="11"/>
    <x v="1"/>
    <x v="1"/>
    <x v="0"/>
    <x v="1"/>
    <n v="5.8465461000000003E-2"/>
  </r>
  <r>
    <x v="0"/>
    <x v="11"/>
    <x v="2"/>
    <x v="1"/>
    <x v="0"/>
    <x v="1"/>
    <n v="132.16900596799999"/>
  </r>
  <r>
    <x v="0"/>
    <x v="11"/>
    <x v="3"/>
    <x v="1"/>
    <x v="0"/>
    <x v="1"/>
    <n v="7.4384391999999994E-2"/>
  </r>
  <r>
    <x v="0"/>
    <x v="11"/>
    <x v="0"/>
    <x v="2"/>
    <x v="0"/>
    <x v="0"/>
    <n v="248.20613657300001"/>
  </r>
  <r>
    <x v="0"/>
    <x v="11"/>
    <x v="1"/>
    <x v="2"/>
    <x v="0"/>
    <x v="1"/>
    <n v="3.6876916000000003E-2"/>
  </r>
  <r>
    <x v="0"/>
    <x v="11"/>
    <x v="2"/>
    <x v="2"/>
    <x v="0"/>
    <x v="1"/>
    <n v="142.26617209299999"/>
  </r>
  <r>
    <x v="0"/>
    <x v="11"/>
    <x v="3"/>
    <x v="2"/>
    <x v="0"/>
    <x v="1"/>
    <n v="2.5580292000000001E-2"/>
  </r>
  <r>
    <x v="0"/>
    <x v="11"/>
    <x v="0"/>
    <x v="3"/>
    <x v="0"/>
    <x v="0"/>
    <n v="119.084076835"/>
  </r>
  <r>
    <x v="0"/>
    <x v="11"/>
    <x v="1"/>
    <x v="3"/>
    <x v="0"/>
    <x v="1"/>
    <n v="4.8000392000000003E-2"/>
  </r>
  <r>
    <x v="0"/>
    <x v="11"/>
    <x v="2"/>
    <x v="3"/>
    <x v="0"/>
    <x v="1"/>
    <n v="81.107442500999994"/>
  </r>
  <r>
    <x v="0"/>
    <x v="11"/>
    <x v="3"/>
    <x v="3"/>
    <x v="0"/>
    <x v="1"/>
    <n v="5.5963383999999998E-2"/>
  </r>
  <r>
    <x v="0"/>
    <x v="11"/>
    <x v="0"/>
    <x v="4"/>
    <x v="0"/>
    <x v="0"/>
    <n v="58.256158008"/>
  </r>
  <r>
    <x v="0"/>
    <x v="11"/>
    <x v="1"/>
    <x v="4"/>
    <x v="0"/>
    <x v="1"/>
    <n v="5.2133288999999999E-2"/>
  </r>
  <r>
    <x v="0"/>
    <x v="11"/>
    <x v="2"/>
    <x v="4"/>
    <x v="0"/>
    <x v="1"/>
    <n v="39.197983970000003"/>
  </r>
  <r>
    <x v="0"/>
    <x v="11"/>
    <x v="3"/>
    <x v="4"/>
    <x v="0"/>
    <x v="1"/>
    <n v="6.5643840999999994E-2"/>
  </r>
  <r>
    <x v="0"/>
    <x v="11"/>
    <x v="0"/>
    <x v="5"/>
    <x v="0"/>
    <x v="0"/>
    <n v="609.18310512999994"/>
  </r>
  <r>
    <x v="0"/>
    <x v="11"/>
    <x v="1"/>
    <x v="5"/>
    <x v="0"/>
    <x v="1"/>
    <n v="7.1109139000000002E-2"/>
  </r>
  <r>
    <x v="0"/>
    <x v="11"/>
    <x v="2"/>
    <x v="5"/>
    <x v="0"/>
    <x v="1"/>
    <n v="509.01873205499999"/>
  </r>
  <r>
    <x v="0"/>
    <x v="11"/>
    <x v="3"/>
    <x v="5"/>
    <x v="0"/>
    <x v="1"/>
    <n v="4.5056539999999999E-2"/>
  </r>
  <r>
    <x v="0"/>
    <x v="11"/>
    <x v="0"/>
    <x v="6"/>
    <x v="0"/>
    <x v="0"/>
    <n v="191.02075465199999"/>
  </r>
  <r>
    <x v="0"/>
    <x v="11"/>
    <x v="1"/>
    <x v="6"/>
    <x v="0"/>
    <x v="1"/>
    <n v="6.4899464000000004E-2"/>
  </r>
  <r>
    <x v="0"/>
    <x v="11"/>
    <x v="2"/>
    <x v="6"/>
    <x v="0"/>
    <x v="1"/>
    <n v="159.887052092"/>
  </r>
  <r>
    <x v="0"/>
    <x v="11"/>
    <x v="3"/>
    <x v="6"/>
    <x v="0"/>
    <x v="1"/>
    <n v="6.0978661000000003E-2"/>
  </r>
  <r>
    <x v="0"/>
    <x v="11"/>
    <x v="0"/>
    <x v="7"/>
    <x v="0"/>
    <x v="0"/>
    <n v="128.68384702700001"/>
  </r>
  <r>
    <x v="0"/>
    <x v="11"/>
    <x v="1"/>
    <x v="7"/>
    <x v="0"/>
    <x v="1"/>
    <n v="6.2670804999999996E-2"/>
  </r>
  <r>
    <x v="0"/>
    <x v="11"/>
    <x v="2"/>
    <x v="7"/>
    <x v="0"/>
    <x v="1"/>
    <n v="104.669584204"/>
  </r>
  <r>
    <x v="0"/>
    <x v="11"/>
    <x v="3"/>
    <x v="7"/>
    <x v="0"/>
    <x v="1"/>
    <n v="7.2035970000000005E-2"/>
  </r>
  <r>
    <x v="0"/>
    <x v="11"/>
    <x v="0"/>
    <x v="8"/>
    <x v="0"/>
    <x v="0"/>
    <n v="89.036488160999994"/>
  </r>
  <r>
    <x v="0"/>
    <x v="11"/>
    <x v="1"/>
    <x v="8"/>
    <x v="0"/>
    <x v="1"/>
    <n v="5.9422195999999997E-2"/>
  </r>
  <r>
    <x v="0"/>
    <x v="11"/>
    <x v="2"/>
    <x v="8"/>
    <x v="0"/>
    <x v="1"/>
    <n v="72.701772019000003"/>
  </r>
  <r>
    <x v="0"/>
    <x v="11"/>
    <x v="3"/>
    <x v="8"/>
    <x v="0"/>
    <x v="1"/>
    <n v="5.8412561000000002E-2"/>
  </r>
  <r>
    <x v="0"/>
    <x v="11"/>
    <x v="0"/>
    <x v="9"/>
    <x v="0"/>
    <x v="0"/>
    <n v="229.026392972"/>
  </r>
  <r>
    <x v="0"/>
    <x v="11"/>
    <x v="1"/>
    <x v="9"/>
    <x v="0"/>
    <x v="1"/>
    <n v="5.3144838E-2"/>
  </r>
  <r>
    <x v="0"/>
    <x v="11"/>
    <x v="2"/>
    <x v="9"/>
    <x v="0"/>
    <x v="1"/>
    <n v="183.39498462399999"/>
  </r>
  <r>
    <x v="0"/>
    <x v="11"/>
    <x v="3"/>
    <x v="9"/>
    <x v="0"/>
    <x v="1"/>
    <n v="6.2776167999999993E-2"/>
  </r>
  <r>
    <x v="0"/>
    <x v="11"/>
    <x v="0"/>
    <x v="10"/>
    <x v="0"/>
    <x v="0"/>
    <n v="346.00649078700002"/>
  </r>
  <r>
    <x v="0"/>
    <x v="11"/>
    <x v="1"/>
    <x v="10"/>
    <x v="0"/>
    <x v="1"/>
    <n v="3.7628460000000002E-2"/>
  </r>
  <r>
    <x v="0"/>
    <x v="11"/>
    <x v="2"/>
    <x v="10"/>
    <x v="0"/>
    <x v="1"/>
    <n v="316.95626596800003"/>
  </r>
  <r>
    <x v="0"/>
    <x v="11"/>
    <x v="3"/>
    <x v="10"/>
    <x v="0"/>
    <x v="1"/>
    <n v="4.4863440999999997E-2"/>
  </r>
  <r>
    <x v="0"/>
    <x v="11"/>
    <x v="0"/>
    <x v="11"/>
    <x v="0"/>
    <x v="0"/>
    <n v="905.71552479100001"/>
  </r>
  <r>
    <x v="0"/>
    <x v="11"/>
    <x v="1"/>
    <x v="11"/>
    <x v="0"/>
    <x v="1"/>
    <n v="4.6931601000000003E-2"/>
  </r>
  <r>
    <x v="0"/>
    <x v="11"/>
    <x v="2"/>
    <x v="11"/>
    <x v="0"/>
    <x v="1"/>
    <n v="761.04145300799996"/>
  </r>
  <r>
    <x v="0"/>
    <x v="11"/>
    <x v="3"/>
    <x v="11"/>
    <x v="0"/>
    <x v="1"/>
    <n v="4.0854762000000003E-2"/>
  </r>
  <r>
    <x v="0"/>
    <x v="11"/>
    <x v="0"/>
    <x v="12"/>
    <x v="0"/>
    <x v="0"/>
    <n v="241.85079849900001"/>
  </r>
  <r>
    <x v="0"/>
    <x v="11"/>
    <x v="1"/>
    <x v="12"/>
    <x v="0"/>
    <x v="1"/>
    <n v="4.7747901000000002E-2"/>
  </r>
  <r>
    <x v="0"/>
    <x v="11"/>
    <x v="2"/>
    <x v="12"/>
    <x v="0"/>
    <x v="1"/>
    <n v="193.756485645"/>
  </r>
  <r>
    <x v="0"/>
    <x v="11"/>
    <x v="3"/>
    <x v="12"/>
    <x v="0"/>
    <x v="1"/>
    <n v="5.3620780999999999E-2"/>
  </r>
  <r>
    <x v="0"/>
    <x v="11"/>
    <x v="0"/>
    <x v="13"/>
    <x v="0"/>
    <x v="0"/>
    <n v="674.304234501"/>
  </r>
  <r>
    <x v="0"/>
    <x v="11"/>
    <x v="1"/>
    <x v="13"/>
    <x v="0"/>
    <x v="1"/>
    <n v="3.8868578000000001E-2"/>
  </r>
  <r>
    <x v="0"/>
    <x v="11"/>
    <x v="2"/>
    <x v="13"/>
    <x v="0"/>
    <x v="1"/>
    <n v="572.26114031700001"/>
  </r>
  <r>
    <x v="0"/>
    <x v="11"/>
    <x v="3"/>
    <x v="13"/>
    <x v="0"/>
    <x v="1"/>
    <n v="3.5350877000000003E-2"/>
  </r>
  <r>
    <x v="0"/>
    <x v="11"/>
    <x v="0"/>
    <x v="14"/>
    <x v="0"/>
    <x v="0"/>
    <n v="186.0792932"/>
  </r>
  <r>
    <x v="0"/>
    <x v="11"/>
    <x v="1"/>
    <x v="14"/>
    <x v="0"/>
    <x v="1"/>
    <n v="4.4548427000000002E-2"/>
  </r>
  <r>
    <x v="0"/>
    <x v="11"/>
    <x v="2"/>
    <x v="14"/>
    <x v="0"/>
    <x v="1"/>
    <n v="155.30586635500001"/>
  </r>
  <r>
    <x v="0"/>
    <x v="11"/>
    <x v="3"/>
    <x v="14"/>
    <x v="0"/>
    <x v="1"/>
    <n v="5.7130686E-2"/>
  </r>
  <r>
    <x v="0"/>
    <x v="11"/>
    <x v="0"/>
    <x v="15"/>
    <x v="0"/>
    <x v="0"/>
    <n v="201.47842312"/>
  </r>
  <r>
    <x v="0"/>
    <x v="11"/>
    <x v="1"/>
    <x v="15"/>
    <x v="0"/>
    <x v="1"/>
    <n v="4.7709908000000002E-2"/>
  </r>
  <r>
    <x v="0"/>
    <x v="11"/>
    <x v="2"/>
    <x v="15"/>
    <x v="0"/>
    <x v="1"/>
    <n v="166.45910208500001"/>
  </r>
  <r>
    <x v="0"/>
    <x v="11"/>
    <x v="3"/>
    <x v="15"/>
    <x v="0"/>
    <x v="1"/>
    <n v="6.2303166E-2"/>
  </r>
  <r>
    <x v="0"/>
    <x v="11"/>
    <x v="0"/>
    <x v="16"/>
    <x v="0"/>
    <x v="0"/>
    <n v="129.27991601900001"/>
  </r>
  <r>
    <x v="0"/>
    <x v="11"/>
    <x v="1"/>
    <x v="16"/>
    <x v="0"/>
    <x v="1"/>
    <n v="4.8351725999999998E-2"/>
  </r>
  <r>
    <x v="0"/>
    <x v="11"/>
    <x v="2"/>
    <x v="16"/>
    <x v="0"/>
    <x v="1"/>
    <n v="105.646383632"/>
  </r>
  <r>
    <x v="0"/>
    <x v="11"/>
    <x v="3"/>
    <x v="16"/>
    <x v="0"/>
    <x v="1"/>
    <n v="6.1521999000000001E-2"/>
  </r>
  <r>
    <x v="0"/>
    <x v="11"/>
    <x v="0"/>
    <x v="17"/>
    <x v="0"/>
    <x v="0"/>
    <n v="303.487304569"/>
  </r>
  <r>
    <x v="0"/>
    <x v="11"/>
    <x v="1"/>
    <x v="17"/>
    <x v="0"/>
    <x v="1"/>
    <n v="4.8837339E-2"/>
  </r>
  <r>
    <x v="0"/>
    <x v="11"/>
    <x v="2"/>
    <x v="17"/>
    <x v="0"/>
    <x v="1"/>
    <n v="253.81323266699999"/>
  </r>
  <r>
    <x v="0"/>
    <x v="11"/>
    <x v="3"/>
    <x v="17"/>
    <x v="0"/>
    <x v="1"/>
    <n v="5.9587841000000003E-2"/>
  </r>
  <r>
    <x v="0"/>
    <x v="11"/>
    <x v="0"/>
    <x v="18"/>
    <x v="0"/>
    <x v="0"/>
    <n v="260.62467945899999"/>
  </r>
  <r>
    <x v="0"/>
    <x v="11"/>
    <x v="1"/>
    <x v="18"/>
    <x v="0"/>
    <x v="1"/>
    <n v="4.4330851999999997E-2"/>
  </r>
  <r>
    <x v="0"/>
    <x v="11"/>
    <x v="2"/>
    <x v="18"/>
    <x v="0"/>
    <x v="1"/>
    <n v="223.61070253700001"/>
  </r>
  <r>
    <x v="0"/>
    <x v="11"/>
    <x v="3"/>
    <x v="18"/>
    <x v="0"/>
    <x v="1"/>
    <n v="4.9245506000000001E-2"/>
  </r>
  <r>
    <x v="0"/>
    <x v="11"/>
    <x v="0"/>
    <x v="19"/>
    <x v="0"/>
    <x v="0"/>
    <n v="305.16452546599999"/>
  </r>
  <r>
    <x v="0"/>
    <x v="11"/>
    <x v="1"/>
    <x v="19"/>
    <x v="0"/>
    <x v="1"/>
    <n v="4.8460336999999999E-2"/>
  </r>
  <r>
    <x v="0"/>
    <x v="11"/>
    <x v="2"/>
    <x v="19"/>
    <x v="0"/>
    <x v="1"/>
    <n v="258.668641401"/>
  </r>
  <r>
    <x v="0"/>
    <x v="11"/>
    <x v="3"/>
    <x v="19"/>
    <x v="0"/>
    <x v="1"/>
    <n v="6.7303545000000006E-2"/>
  </r>
  <r>
    <x v="0"/>
    <x v="11"/>
    <x v="0"/>
    <x v="20"/>
    <x v="0"/>
    <x v="0"/>
    <n v="39.728741395999997"/>
  </r>
  <r>
    <x v="0"/>
    <x v="11"/>
    <x v="1"/>
    <x v="20"/>
    <x v="0"/>
    <x v="1"/>
    <n v="4.7239898000000002E-2"/>
  </r>
  <r>
    <x v="0"/>
    <x v="11"/>
    <x v="2"/>
    <x v="20"/>
    <x v="0"/>
    <x v="1"/>
    <n v="31.852427590000001"/>
  </r>
  <r>
    <x v="0"/>
    <x v="11"/>
    <x v="3"/>
    <x v="20"/>
    <x v="0"/>
    <x v="1"/>
    <n v="5.5808736999999997E-2"/>
  </r>
  <r>
    <x v="0"/>
    <x v="11"/>
    <x v="0"/>
    <x v="21"/>
    <x v="0"/>
    <x v="0"/>
    <n v="16.812904348"/>
  </r>
  <r>
    <x v="0"/>
    <x v="11"/>
    <x v="1"/>
    <x v="21"/>
    <x v="0"/>
    <x v="1"/>
    <n v="5.4291453000000003E-2"/>
  </r>
  <r>
    <x v="0"/>
    <x v="11"/>
    <x v="2"/>
    <x v="21"/>
    <x v="0"/>
    <x v="1"/>
    <n v="13.770181187"/>
  </r>
  <r>
    <x v="0"/>
    <x v="11"/>
    <x v="3"/>
    <x v="21"/>
    <x v="0"/>
    <x v="1"/>
    <n v="6.4312664000000005E-2"/>
  </r>
  <r>
    <x v="0"/>
    <x v="11"/>
    <x v="0"/>
    <x v="22"/>
    <x v="0"/>
    <x v="0"/>
    <n v="75.157049780999998"/>
  </r>
  <r>
    <x v="0"/>
    <x v="11"/>
    <x v="1"/>
    <x v="22"/>
    <x v="0"/>
    <x v="1"/>
    <n v="1.111373E-2"/>
  </r>
  <r>
    <x v="0"/>
    <x v="11"/>
    <x v="2"/>
    <x v="22"/>
    <x v="0"/>
    <x v="1"/>
    <n v="18.061529276000002"/>
  </r>
  <r>
    <x v="0"/>
    <x v="11"/>
    <x v="3"/>
    <x v="22"/>
    <x v="0"/>
    <x v="1"/>
    <n v="2.2881849999999999E-3"/>
  </r>
  <r>
    <x v="0"/>
    <x v="11"/>
    <x v="0"/>
    <x v="23"/>
    <x v="0"/>
    <x v="0"/>
    <n v="7.3596114310000003"/>
  </r>
  <r>
    <x v="0"/>
    <x v="11"/>
    <x v="1"/>
    <x v="23"/>
    <x v="0"/>
    <x v="1"/>
    <n v="5.4684582000000002E-2"/>
  </r>
  <r>
    <x v="0"/>
    <x v="11"/>
    <x v="2"/>
    <x v="23"/>
    <x v="0"/>
    <x v="1"/>
    <n v="6.0691322449999996"/>
  </r>
  <r>
    <x v="0"/>
    <x v="11"/>
    <x v="3"/>
    <x v="23"/>
    <x v="0"/>
    <x v="1"/>
    <n v="9.9750448000000005E-2"/>
  </r>
  <r>
    <x v="0"/>
    <x v="11"/>
    <x v="0"/>
    <x v="24"/>
    <x v="0"/>
    <x v="0"/>
    <n v="388.53486458999998"/>
  </r>
  <r>
    <x v="0"/>
    <x v="11"/>
    <x v="1"/>
    <x v="24"/>
    <x v="0"/>
    <x v="1"/>
    <n v="4.2016179000000001E-2"/>
  </r>
  <r>
    <x v="0"/>
    <x v="11"/>
    <x v="2"/>
    <x v="24"/>
    <x v="0"/>
    <x v="1"/>
    <n v="304.71827120699999"/>
  </r>
  <r>
    <x v="0"/>
    <x v="11"/>
    <x v="3"/>
    <x v="24"/>
    <x v="0"/>
    <x v="1"/>
    <n v="3.1764094E-2"/>
  </r>
  <r>
    <x v="0"/>
    <x v="11"/>
    <x v="0"/>
    <x v="25"/>
    <x v="0"/>
    <x v="0"/>
    <n v="20.854173522"/>
  </r>
  <r>
    <x v="0"/>
    <x v="11"/>
    <x v="1"/>
    <x v="25"/>
    <x v="0"/>
    <x v="1"/>
    <n v="3.5805381999999997E-2"/>
  </r>
  <r>
    <x v="0"/>
    <x v="11"/>
    <x v="2"/>
    <x v="25"/>
    <x v="0"/>
    <x v="1"/>
    <n v="16.803455288999999"/>
  </r>
  <r>
    <x v="0"/>
    <x v="11"/>
    <x v="3"/>
    <x v="25"/>
    <x v="0"/>
    <x v="1"/>
    <n v="2.8603006E-2"/>
  </r>
  <r>
    <x v="0"/>
    <x v="11"/>
    <x v="0"/>
    <x v="26"/>
    <x v="0"/>
    <x v="0"/>
    <n v="9.3916497640000003"/>
  </r>
  <r>
    <x v="0"/>
    <x v="11"/>
    <x v="1"/>
    <x v="26"/>
    <x v="0"/>
    <x v="1"/>
    <n v="5.3275111999999999E-2"/>
  </r>
  <r>
    <x v="0"/>
    <x v="11"/>
    <x v="2"/>
    <x v="26"/>
    <x v="0"/>
    <x v="1"/>
    <n v="5.5603703209999997"/>
  </r>
  <r>
    <x v="0"/>
    <x v="11"/>
    <x v="3"/>
    <x v="26"/>
    <x v="0"/>
    <x v="1"/>
    <n v="6.1819319999999997E-2"/>
  </r>
  <r>
    <x v="0"/>
    <x v="11"/>
    <x v="0"/>
    <x v="27"/>
    <x v="0"/>
    <x v="0"/>
    <n v="496.47977721199999"/>
  </r>
  <r>
    <x v="0"/>
    <x v="11"/>
    <x v="1"/>
    <x v="27"/>
    <x v="0"/>
    <x v="1"/>
    <n v="5.4948532000000001E-2"/>
  </r>
  <r>
    <x v="0"/>
    <x v="11"/>
    <x v="2"/>
    <x v="27"/>
    <x v="0"/>
    <x v="1"/>
    <n v="382.997195761"/>
  </r>
  <r>
    <x v="0"/>
    <x v="11"/>
    <x v="3"/>
    <x v="27"/>
    <x v="0"/>
    <x v="1"/>
    <n v="8.4923819999999997E-2"/>
  </r>
  <r>
    <x v="0"/>
    <x v="11"/>
    <x v="0"/>
    <x v="28"/>
    <x v="0"/>
    <x v="0"/>
    <n v="571.74228771399999"/>
  </r>
  <r>
    <x v="0"/>
    <x v="11"/>
    <x v="1"/>
    <x v="28"/>
    <x v="0"/>
    <x v="1"/>
    <n v="4.4411208000000001E-2"/>
  </r>
  <r>
    <x v="0"/>
    <x v="11"/>
    <x v="2"/>
    <x v="28"/>
    <x v="0"/>
    <x v="1"/>
    <n v="306.11095283899999"/>
  </r>
  <r>
    <x v="0"/>
    <x v="11"/>
    <x v="3"/>
    <x v="28"/>
    <x v="0"/>
    <x v="1"/>
    <n v="4.4765362000000003E-2"/>
  </r>
  <r>
    <x v="0"/>
    <x v="11"/>
    <x v="0"/>
    <x v="29"/>
    <x v="0"/>
    <x v="0"/>
    <n v="503.590653514"/>
  </r>
  <r>
    <x v="0"/>
    <x v="11"/>
    <x v="1"/>
    <x v="29"/>
    <x v="0"/>
    <x v="1"/>
    <n v="4.8418200000000002E-2"/>
  </r>
  <r>
    <x v="0"/>
    <x v="11"/>
    <x v="2"/>
    <x v="29"/>
    <x v="0"/>
    <x v="1"/>
    <n v="323.22349709399998"/>
  </r>
  <r>
    <x v="0"/>
    <x v="11"/>
    <x v="3"/>
    <x v="29"/>
    <x v="0"/>
    <x v="1"/>
    <n v="5.2590447999999998E-2"/>
  </r>
  <r>
    <x v="0"/>
    <x v="11"/>
    <x v="0"/>
    <x v="30"/>
    <x v="0"/>
    <x v="0"/>
    <n v="120.60175254000001"/>
  </r>
  <r>
    <x v="0"/>
    <x v="11"/>
    <x v="1"/>
    <x v="30"/>
    <x v="0"/>
    <x v="1"/>
    <n v="7.5601740000000001E-2"/>
  </r>
  <r>
    <x v="0"/>
    <x v="11"/>
    <x v="2"/>
    <x v="30"/>
    <x v="0"/>
    <x v="1"/>
    <n v="75.749732778999999"/>
  </r>
  <r>
    <x v="0"/>
    <x v="11"/>
    <x v="3"/>
    <x v="30"/>
    <x v="0"/>
    <x v="1"/>
    <n v="8.9239900999999996E-2"/>
  </r>
  <r>
    <x v="0"/>
    <x v="11"/>
    <x v="0"/>
    <x v="31"/>
    <x v="0"/>
    <x v="0"/>
    <n v="186.78173293"/>
  </r>
  <r>
    <x v="0"/>
    <x v="11"/>
    <x v="1"/>
    <x v="31"/>
    <x v="0"/>
    <x v="1"/>
    <n v="3.7720832000000003E-2"/>
  </r>
  <r>
    <x v="0"/>
    <x v="11"/>
    <x v="2"/>
    <x v="31"/>
    <x v="0"/>
    <x v="1"/>
    <n v="102.702713897"/>
  </r>
  <r>
    <x v="0"/>
    <x v="11"/>
    <x v="3"/>
    <x v="31"/>
    <x v="0"/>
    <x v="1"/>
    <n v="2.9484837E-2"/>
  </r>
  <r>
    <x v="0"/>
    <x v="11"/>
    <x v="0"/>
    <x v="32"/>
    <x v="0"/>
    <x v="0"/>
    <n v="597.14025515799995"/>
  </r>
  <r>
    <x v="0"/>
    <x v="11"/>
    <x v="1"/>
    <x v="32"/>
    <x v="0"/>
    <x v="1"/>
    <n v="3.9331878000000001E-2"/>
  </r>
  <r>
    <x v="0"/>
    <x v="11"/>
    <x v="2"/>
    <x v="32"/>
    <x v="0"/>
    <x v="1"/>
    <n v="280.86931622499998"/>
  </r>
  <r>
    <x v="0"/>
    <x v="11"/>
    <x v="3"/>
    <x v="32"/>
    <x v="0"/>
    <x v="1"/>
    <n v="3.3063601999999997E-2"/>
  </r>
  <r>
    <x v="0"/>
    <x v="11"/>
    <x v="0"/>
    <x v="33"/>
    <x v="0"/>
    <x v="0"/>
    <n v="565.62642204999997"/>
  </r>
  <r>
    <x v="0"/>
    <x v="11"/>
    <x v="1"/>
    <x v="33"/>
    <x v="0"/>
    <x v="1"/>
    <n v="2.3010295E-2"/>
  </r>
  <r>
    <x v="0"/>
    <x v="11"/>
    <x v="2"/>
    <x v="33"/>
    <x v="0"/>
    <x v="1"/>
    <n v="217.92838289900001"/>
  </r>
  <r>
    <x v="0"/>
    <x v="11"/>
    <x v="3"/>
    <x v="33"/>
    <x v="0"/>
    <x v="1"/>
    <n v="1.0469397E-2"/>
  </r>
  <r>
    <x v="0"/>
    <x v="11"/>
    <x v="0"/>
    <x v="34"/>
    <x v="0"/>
    <x v="0"/>
    <n v="295.97197673900001"/>
  </r>
  <r>
    <x v="0"/>
    <x v="11"/>
    <x v="1"/>
    <x v="34"/>
    <x v="0"/>
    <x v="1"/>
    <n v="5.2311876E-2"/>
  </r>
  <r>
    <x v="0"/>
    <x v="11"/>
    <x v="2"/>
    <x v="34"/>
    <x v="0"/>
    <x v="1"/>
    <n v="209.20619860900001"/>
  </r>
  <r>
    <x v="0"/>
    <x v="11"/>
    <x v="3"/>
    <x v="34"/>
    <x v="0"/>
    <x v="1"/>
    <n v="6.0045937000000001E-2"/>
  </r>
  <r>
    <x v="0"/>
    <x v="11"/>
    <x v="0"/>
    <x v="35"/>
    <x v="0"/>
    <x v="0"/>
    <n v="235.11290088300001"/>
  </r>
  <r>
    <x v="0"/>
    <x v="11"/>
    <x v="1"/>
    <x v="35"/>
    <x v="0"/>
    <x v="1"/>
    <n v="5.4634397000000001E-2"/>
  </r>
  <r>
    <x v="0"/>
    <x v="11"/>
    <x v="2"/>
    <x v="35"/>
    <x v="0"/>
    <x v="1"/>
    <n v="154.35999311500001"/>
  </r>
  <r>
    <x v="0"/>
    <x v="11"/>
    <x v="3"/>
    <x v="35"/>
    <x v="0"/>
    <x v="1"/>
    <n v="6.4762364000000003E-2"/>
  </r>
  <r>
    <x v="0"/>
    <x v="11"/>
    <x v="0"/>
    <x v="36"/>
    <x v="0"/>
    <x v="0"/>
    <n v="77.732923772000007"/>
  </r>
  <r>
    <x v="0"/>
    <x v="11"/>
    <x v="1"/>
    <x v="36"/>
    <x v="0"/>
    <x v="1"/>
    <n v="5.9863491999999997E-2"/>
  </r>
  <r>
    <x v="0"/>
    <x v="11"/>
    <x v="2"/>
    <x v="36"/>
    <x v="0"/>
    <x v="1"/>
    <n v="45.918668799000002"/>
  </r>
  <r>
    <x v="0"/>
    <x v="11"/>
    <x v="3"/>
    <x v="36"/>
    <x v="0"/>
    <x v="1"/>
    <n v="6.7286067000000005E-2"/>
  </r>
  <r>
    <x v="0"/>
    <x v="11"/>
    <x v="0"/>
    <x v="37"/>
    <x v="0"/>
    <x v="0"/>
    <n v="85.662129047999997"/>
  </r>
  <r>
    <x v="0"/>
    <x v="11"/>
    <x v="1"/>
    <x v="37"/>
    <x v="0"/>
    <x v="1"/>
    <n v="6.7555884999999996E-2"/>
  </r>
  <r>
    <x v="0"/>
    <x v="11"/>
    <x v="2"/>
    <x v="37"/>
    <x v="0"/>
    <x v="1"/>
    <n v="45.020593830999999"/>
  </r>
  <r>
    <x v="0"/>
    <x v="11"/>
    <x v="3"/>
    <x v="37"/>
    <x v="0"/>
    <x v="1"/>
    <n v="8.9741432999999995E-2"/>
  </r>
  <r>
    <x v="0"/>
    <x v="11"/>
    <x v="0"/>
    <x v="38"/>
    <x v="0"/>
    <x v="0"/>
    <n v="264.84099768300001"/>
  </r>
  <r>
    <x v="0"/>
    <x v="11"/>
    <x v="1"/>
    <x v="38"/>
    <x v="0"/>
    <x v="1"/>
    <n v="9.5224208000000005E-2"/>
  </r>
  <r>
    <x v="0"/>
    <x v="11"/>
    <x v="2"/>
    <x v="38"/>
    <x v="0"/>
    <x v="1"/>
    <n v="71.525371614999997"/>
  </r>
  <r>
    <x v="0"/>
    <x v="11"/>
    <x v="3"/>
    <x v="38"/>
    <x v="0"/>
    <x v="1"/>
    <n v="0.110705716"/>
  </r>
  <r>
    <x v="0"/>
    <x v="11"/>
    <x v="0"/>
    <x v="39"/>
    <x v="0"/>
    <x v="0"/>
    <n v="140.62748609100001"/>
  </r>
  <r>
    <x v="0"/>
    <x v="11"/>
    <x v="1"/>
    <x v="39"/>
    <x v="0"/>
    <x v="1"/>
    <n v="7.3431777000000004E-2"/>
  </r>
  <r>
    <x v="0"/>
    <x v="11"/>
    <x v="2"/>
    <x v="39"/>
    <x v="0"/>
    <x v="1"/>
    <n v="80.485944313999994"/>
  </r>
  <r>
    <x v="0"/>
    <x v="11"/>
    <x v="3"/>
    <x v="39"/>
    <x v="0"/>
    <x v="1"/>
    <n v="0.107538456"/>
  </r>
  <r>
    <x v="0"/>
    <x v="11"/>
    <x v="0"/>
    <x v="40"/>
    <x v="0"/>
    <x v="0"/>
    <n v="53.490216752999999"/>
  </r>
  <r>
    <x v="0"/>
    <x v="11"/>
    <x v="1"/>
    <x v="40"/>
    <x v="0"/>
    <x v="1"/>
    <n v="5.9923351E-2"/>
  </r>
  <r>
    <x v="0"/>
    <x v="11"/>
    <x v="2"/>
    <x v="40"/>
    <x v="0"/>
    <x v="1"/>
    <n v="28.668452092999999"/>
  </r>
  <r>
    <x v="0"/>
    <x v="11"/>
    <x v="3"/>
    <x v="40"/>
    <x v="0"/>
    <x v="1"/>
    <n v="6.6473579000000005E-2"/>
  </r>
  <r>
    <x v="0"/>
    <x v="11"/>
    <x v="0"/>
    <x v="41"/>
    <x v="0"/>
    <x v="0"/>
    <n v="590.668507148"/>
  </r>
  <r>
    <x v="0"/>
    <x v="11"/>
    <x v="1"/>
    <x v="41"/>
    <x v="0"/>
    <x v="1"/>
    <n v="8.8472360999999999E-2"/>
  </r>
  <r>
    <x v="0"/>
    <x v="11"/>
    <x v="2"/>
    <x v="41"/>
    <x v="0"/>
    <x v="1"/>
    <n v="237.69721596900001"/>
  </r>
  <r>
    <x v="0"/>
    <x v="11"/>
    <x v="3"/>
    <x v="41"/>
    <x v="0"/>
    <x v="1"/>
    <n v="0.112105631"/>
  </r>
  <r>
    <x v="0"/>
    <x v="11"/>
    <x v="4"/>
    <x v="0"/>
    <x v="1"/>
    <x v="0"/>
    <n v="230.38739887899999"/>
  </r>
  <r>
    <x v="0"/>
    <x v="11"/>
    <x v="5"/>
    <x v="0"/>
    <x v="1"/>
    <x v="1"/>
    <n v="3.2870999999999997E-5"/>
  </r>
  <r>
    <x v="0"/>
    <x v="11"/>
    <x v="6"/>
    <x v="0"/>
    <x v="1"/>
    <x v="1"/>
    <n v="0.51519574700000004"/>
  </r>
  <r>
    <x v="0"/>
    <x v="11"/>
    <x v="4"/>
    <x v="1"/>
    <x v="1"/>
    <x v="0"/>
    <n v="337.02358414299999"/>
  </r>
  <r>
    <x v="0"/>
    <x v="11"/>
    <x v="5"/>
    <x v="1"/>
    <x v="1"/>
    <x v="1"/>
    <n v="3.8566000000000003E-5"/>
  </r>
  <r>
    <x v="0"/>
    <x v="11"/>
    <x v="6"/>
    <x v="1"/>
    <x v="1"/>
    <x v="1"/>
    <n v="0.51519574700000004"/>
  </r>
  <r>
    <x v="0"/>
    <x v="11"/>
    <x v="4"/>
    <x v="2"/>
    <x v="1"/>
    <x v="0"/>
    <n v="520.11923034500001"/>
  </r>
  <r>
    <x v="0"/>
    <x v="11"/>
    <x v="5"/>
    <x v="2"/>
    <x v="1"/>
    <x v="1"/>
    <n v="9.3759999999999997E-5"/>
  </r>
  <r>
    <x v="0"/>
    <x v="11"/>
    <x v="6"/>
    <x v="2"/>
    <x v="1"/>
    <x v="1"/>
    <n v="0.51519574700000004"/>
  </r>
  <r>
    <x v="0"/>
    <x v="11"/>
    <x v="4"/>
    <x v="3"/>
    <x v="1"/>
    <x v="0"/>
    <n v="196.236941086"/>
  </r>
  <r>
    <x v="0"/>
    <x v="11"/>
    <x v="5"/>
    <x v="3"/>
    <x v="1"/>
    <x v="1"/>
    <n v="3.3614E-5"/>
  </r>
  <r>
    <x v="0"/>
    <x v="11"/>
    <x v="6"/>
    <x v="3"/>
    <x v="1"/>
    <x v="1"/>
    <n v="0.51519574700000004"/>
  </r>
  <r>
    <x v="0"/>
    <x v="11"/>
    <x v="4"/>
    <x v="4"/>
    <x v="1"/>
    <x v="0"/>
    <n v="88.376117448000002"/>
  </r>
  <r>
    <x v="0"/>
    <x v="11"/>
    <x v="5"/>
    <x v="4"/>
    <x v="1"/>
    <x v="1"/>
    <n v="3.3540000000000001E-5"/>
  </r>
  <r>
    <x v="0"/>
    <x v="11"/>
    <x v="6"/>
    <x v="4"/>
    <x v="1"/>
    <x v="1"/>
    <n v="0.51519574700000004"/>
  </r>
  <r>
    <x v="0"/>
    <x v="11"/>
    <x v="4"/>
    <x v="5"/>
    <x v="1"/>
    <x v="0"/>
    <n v="674.75382309300005"/>
  </r>
  <r>
    <x v="0"/>
    <x v="11"/>
    <x v="5"/>
    <x v="5"/>
    <x v="1"/>
    <x v="1"/>
    <n v="1.7110999999999999E-5"/>
  </r>
  <r>
    <x v="0"/>
    <x v="11"/>
    <x v="6"/>
    <x v="5"/>
    <x v="1"/>
    <x v="1"/>
    <n v="0.51519574700000004"/>
  </r>
  <r>
    <x v="0"/>
    <x v="11"/>
    <x v="4"/>
    <x v="6"/>
    <x v="1"/>
    <x v="0"/>
    <n v="198.360426881"/>
  </r>
  <r>
    <x v="0"/>
    <x v="11"/>
    <x v="5"/>
    <x v="6"/>
    <x v="1"/>
    <x v="1"/>
    <n v="1.1654000000000001E-5"/>
  </r>
  <r>
    <x v="0"/>
    <x v="11"/>
    <x v="6"/>
    <x v="6"/>
    <x v="1"/>
    <x v="1"/>
    <n v="0.51519574700000004"/>
  </r>
  <r>
    <x v="0"/>
    <x v="11"/>
    <x v="4"/>
    <x v="7"/>
    <x v="1"/>
    <x v="0"/>
    <n v="142.28602394500001"/>
  </r>
  <r>
    <x v="0"/>
    <x v="11"/>
    <x v="5"/>
    <x v="7"/>
    <x v="1"/>
    <x v="1"/>
    <n v="8.8990000000000007E-6"/>
  </r>
  <r>
    <x v="0"/>
    <x v="11"/>
    <x v="6"/>
    <x v="7"/>
    <x v="1"/>
    <x v="1"/>
    <n v="0.51519574700000004"/>
  </r>
  <r>
    <x v="0"/>
    <x v="11"/>
    <x v="4"/>
    <x v="8"/>
    <x v="1"/>
    <x v="0"/>
    <n v="112.25324253700001"/>
  </r>
  <r>
    <x v="0"/>
    <x v="11"/>
    <x v="5"/>
    <x v="8"/>
    <x v="1"/>
    <x v="1"/>
    <n v="9.6290000000000005E-6"/>
  </r>
  <r>
    <x v="0"/>
    <x v="11"/>
    <x v="6"/>
    <x v="8"/>
    <x v="1"/>
    <x v="1"/>
    <n v="0.51519574700000004"/>
  </r>
  <r>
    <x v="0"/>
    <x v="11"/>
    <x v="4"/>
    <x v="9"/>
    <x v="1"/>
    <x v="0"/>
    <n v="236.809078357"/>
  </r>
  <r>
    <x v="0"/>
    <x v="11"/>
    <x v="5"/>
    <x v="9"/>
    <x v="1"/>
    <x v="1"/>
    <n v="2.4482E-5"/>
  </r>
  <r>
    <x v="0"/>
    <x v="11"/>
    <x v="6"/>
    <x v="9"/>
    <x v="1"/>
    <x v="1"/>
    <n v="0.51519574700000004"/>
  </r>
  <r>
    <x v="0"/>
    <x v="11"/>
    <x v="4"/>
    <x v="10"/>
    <x v="1"/>
    <x v="0"/>
    <n v="177.379783108"/>
  </r>
  <r>
    <x v="0"/>
    <x v="11"/>
    <x v="5"/>
    <x v="10"/>
    <x v="1"/>
    <x v="1"/>
    <n v="2.5571E-5"/>
  </r>
  <r>
    <x v="0"/>
    <x v="11"/>
    <x v="6"/>
    <x v="10"/>
    <x v="1"/>
    <x v="1"/>
    <n v="0.51519574700000004"/>
  </r>
  <r>
    <x v="0"/>
    <x v="11"/>
    <x v="4"/>
    <x v="11"/>
    <x v="1"/>
    <x v="0"/>
    <n v="980.669749733"/>
  </r>
  <r>
    <x v="0"/>
    <x v="11"/>
    <x v="5"/>
    <x v="11"/>
    <x v="1"/>
    <x v="1"/>
    <n v="1.8882E-5"/>
  </r>
  <r>
    <x v="0"/>
    <x v="11"/>
    <x v="6"/>
    <x v="11"/>
    <x v="1"/>
    <x v="1"/>
    <n v="0.51519574700000004"/>
  </r>
  <r>
    <x v="0"/>
    <x v="11"/>
    <x v="4"/>
    <x v="12"/>
    <x v="1"/>
    <x v="0"/>
    <n v="336.351759931"/>
  </r>
  <r>
    <x v="0"/>
    <x v="11"/>
    <x v="5"/>
    <x v="12"/>
    <x v="1"/>
    <x v="1"/>
    <n v="1.0910000000000001E-5"/>
  </r>
  <r>
    <x v="0"/>
    <x v="11"/>
    <x v="6"/>
    <x v="12"/>
    <x v="1"/>
    <x v="1"/>
    <n v="0.51519574700000004"/>
  </r>
  <r>
    <x v="0"/>
    <x v="11"/>
    <x v="4"/>
    <x v="13"/>
    <x v="1"/>
    <x v="0"/>
    <n v="795.90606164200005"/>
  </r>
  <r>
    <x v="0"/>
    <x v="11"/>
    <x v="5"/>
    <x v="13"/>
    <x v="1"/>
    <x v="1"/>
    <n v="1.2313000000000001E-5"/>
  </r>
  <r>
    <x v="0"/>
    <x v="11"/>
    <x v="6"/>
    <x v="13"/>
    <x v="1"/>
    <x v="1"/>
    <n v="0.51519574700000004"/>
  </r>
  <r>
    <x v="0"/>
    <x v="11"/>
    <x v="4"/>
    <x v="14"/>
    <x v="1"/>
    <x v="0"/>
    <n v="196.66475699599999"/>
  </r>
  <r>
    <x v="0"/>
    <x v="11"/>
    <x v="5"/>
    <x v="14"/>
    <x v="1"/>
    <x v="1"/>
    <n v="1.3609E-5"/>
  </r>
  <r>
    <x v="0"/>
    <x v="11"/>
    <x v="6"/>
    <x v="14"/>
    <x v="1"/>
    <x v="1"/>
    <n v="0.51519574700000004"/>
  </r>
  <r>
    <x v="0"/>
    <x v="11"/>
    <x v="4"/>
    <x v="15"/>
    <x v="1"/>
    <x v="0"/>
    <n v="228.38744390700001"/>
  </r>
  <r>
    <x v="0"/>
    <x v="11"/>
    <x v="5"/>
    <x v="15"/>
    <x v="1"/>
    <x v="1"/>
    <n v="9.9850000000000001E-6"/>
  </r>
  <r>
    <x v="0"/>
    <x v="11"/>
    <x v="6"/>
    <x v="15"/>
    <x v="1"/>
    <x v="1"/>
    <n v="0.51519574700000004"/>
  </r>
  <r>
    <x v="0"/>
    <x v="11"/>
    <x v="4"/>
    <x v="16"/>
    <x v="1"/>
    <x v="0"/>
    <n v="166.00318202400001"/>
  </r>
  <r>
    <x v="0"/>
    <x v="11"/>
    <x v="5"/>
    <x v="16"/>
    <x v="1"/>
    <x v="1"/>
    <n v="7.6850000000000001E-6"/>
  </r>
  <r>
    <x v="0"/>
    <x v="11"/>
    <x v="6"/>
    <x v="16"/>
    <x v="1"/>
    <x v="1"/>
    <n v="0.51519574700000004"/>
  </r>
  <r>
    <x v="0"/>
    <x v="11"/>
    <x v="4"/>
    <x v="17"/>
    <x v="1"/>
    <x v="0"/>
    <n v="338.12596040199998"/>
  </r>
  <r>
    <x v="0"/>
    <x v="11"/>
    <x v="5"/>
    <x v="17"/>
    <x v="1"/>
    <x v="1"/>
    <n v="9.5070000000000006E-6"/>
  </r>
  <r>
    <x v="0"/>
    <x v="11"/>
    <x v="6"/>
    <x v="17"/>
    <x v="1"/>
    <x v="1"/>
    <n v="0.51519574700000004"/>
  </r>
  <r>
    <x v="0"/>
    <x v="11"/>
    <x v="4"/>
    <x v="18"/>
    <x v="1"/>
    <x v="0"/>
    <n v="271.35500899300001"/>
  </r>
  <r>
    <x v="0"/>
    <x v="11"/>
    <x v="5"/>
    <x v="18"/>
    <x v="1"/>
    <x v="1"/>
    <n v="1.0603E-5"/>
  </r>
  <r>
    <x v="0"/>
    <x v="11"/>
    <x v="6"/>
    <x v="18"/>
    <x v="1"/>
    <x v="1"/>
    <n v="0.51519574700000004"/>
  </r>
  <r>
    <x v="0"/>
    <x v="11"/>
    <x v="4"/>
    <x v="19"/>
    <x v="1"/>
    <x v="0"/>
    <n v="284.72545733499999"/>
  </r>
  <r>
    <x v="0"/>
    <x v="11"/>
    <x v="5"/>
    <x v="19"/>
    <x v="1"/>
    <x v="1"/>
    <n v="1.0066E-5"/>
  </r>
  <r>
    <x v="0"/>
    <x v="11"/>
    <x v="6"/>
    <x v="19"/>
    <x v="1"/>
    <x v="1"/>
    <n v="0.51519574700000004"/>
  </r>
  <r>
    <x v="0"/>
    <x v="11"/>
    <x v="4"/>
    <x v="20"/>
    <x v="1"/>
    <x v="0"/>
    <n v="46.119984058999997"/>
  </r>
  <r>
    <x v="0"/>
    <x v="11"/>
    <x v="5"/>
    <x v="20"/>
    <x v="1"/>
    <x v="1"/>
    <n v="2.0432E-5"/>
  </r>
  <r>
    <x v="0"/>
    <x v="11"/>
    <x v="6"/>
    <x v="20"/>
    <x v="1"/>
    <x v="1"/>
    <n v="0.51519574700000004"/>
  </r>
  <r>
    <x v="0"/>
    <x v="11"/>
    <x v="4"/>
    <x v="21"/>
    <x v="1"/>
    <x v="0"/>
    <n v="16.577709544000001"/>
  </r>
  <r>
    <x v="0"/>
    <x v="11"/>
    <x v="5"/>
    <x v="21"/>
    <x v="1"/>
    <x v="1"/>
    <n v="1.8700000000000001E-5"/>
  </r>
  <r>
    <x v="0"/>
    <x v="11"/>
    <x v="6"/>
    <x v="21"/>
    <x v="1"/>
    <x v="1"/>
    <n v="0.51519574700000004"/>
  </r>
  <r>
    <x v="0"/>
    <x v="11"/>
    <x v="4"/>
    <x v="22"/>
    <x v="1"/>
    <x v="0"/>
    <n v="286.815140332"/>
  </r>
  <r>
    <x v="0"/>
    <x v="11"/>
    <x v="5"/>
    <x v="22"/>
    <x v="1"/>
    <x v="1"/>
    <n v="2.4938000000000001E-5"/>
  </r>
  <r>
    <x v="0"/>
    <x v="11"/>
    <x v="6"/>
    <x v="22"/>
    <x v="1"/>
    <x v="1"/>
    <n v="0.51519574700000004"/>
  </r>
  <r>
    <x v="0"/>
    <x v="11"/>
    <x v="4"/>
    <x v="23"/>
    <x v="1"/>
    <x v="0"/>
    <n v="3.2959468649999999"/>
  </r>
  <r>
    <x v="0"/>
    <x v="11"/>
    <x v="5"/>
    <x v="23"/>
    <x v="1"/>
    <x v="1"/>
    <n v="2.9615E-5"/>
  </r>
  <r>
    <x v="0"/>
    <x v="11"/>
    <x v="6"/>
    <x v="23"/>
    <x v="1"/>
    <x v="1"/>
    <n v="0.51519574700000004"/>
  </r>
  <r>
    <x v="0"/>
    <x v="11"/>
    <x v="4"/>
    <x v="24"/>
    <x v="1"/>
    <x v="0"/>
    <n v="597.44145680999998"/>
  </r>
  <r>
    <x v="0"/>
    <x v="11"/>
    <x v="5"/>
    <x v="24"/>
    <x v="1"/>
    <x v="1"/>
    <n v="1.9009E-5"/>
  </r>
  <r>
    <x v="0"/>
    <x v="11"/>
    <x v="6"/>
    <x v="24"/>
    <x v="1"/>
    <x v="1"/>
    <n v="0.51519574700000004"/>
  </r>
  <r>
    <x v="0"/>
    <x v="11"/>
    <x v="4"/>
    <x v="25"/>
    <x v="1"/>
    <x v="0"/>
    <n v="32.058003763999999"/>
  </r>
  <r>
    <x v="0"/>
    <x v="11"/>
    <x v="5"/>
    <x v="25"/>
    <x v="1"/>
    <x v="1"/>
    <n v="1.3135E-5"/>
  </r>
  <r>
    <x v="0"/>
    <x v="11"/>
    <x v="6"/>
    <x v="25"/>
    <x v="1"/>
    <x v="1"/>
    <n v="0.51519574700000004"/>
  </r>
  <r>
    <x v="0"/>
    <x v="11"/>
    <x v="4"/>
    <x v="26"/>
    <x v="1"/>
    <x v="0"/>
    <n v="23.542445389000001"/>
  </r>
  <r>
    <x v="0"/>
    <x v="11"/>
    <x v="5"/>
    <x v="26"/>
    <x v="1"/>
    <x v="1"/>
    <n v="1.2969999999999999E-5"/>
  </r>
  <r>
    <x v="0"/>
    <x v="11"/>
    <x v="6"/>
    <x v="26"/>
    <x v="1"/>
    <x v="1"/>
    <n v="0.51519574700000004"/>
  </r>
  <r>
    <x v="0"/>
    <x v="11"/>
    <x v="4"/>
    <x v="27"/>
    <x v="1"/>
    <x v="0"/>
    <n v="584.80391623200001"/>
  </r>
  <r>
    <x v="0"/>
    <x v="11"/>
    <x v="5"/>
    <x v="27"/>
    <x v="1"/>
    <x v="1"/>
    <n v="6.737E-6"/>
  </r>
  <r>
    <x v="0"/>
    <x v="11"/>
    <x v="6"/>
    <x v="27"/>
    <x v="1"/>
    <x v="1"/>
    <n v="0.51519574700000004"/>
  </r>
  <r>
    <x v="0"/>
    <x v="11"/>
    <x v="4"/>
    <x v="28"/>
    <x v="1"/>
    <x v="0"/>
    <n v="1688.8313119710001"/>
  </r>
  <r>
    <x v="0"/>
    <x v="11"/>
    <x v="5"/>
    <x v="28"/>
    <x v="1"/>
    <x v="1"/>
    <n v="2.1793999999999998E-5"/>
  </r>
  <r>
    <x v="0"/>
    <x v="11"/>
    <x v="6"/>
    <x v="28"/>
    <x v="1"/>
    <x v="1"/>
    <n v="0.51519574700000004"/>
  </r>
  <r>
    <x v="0"/>
    <x v="11"/>
    <x v="4"/>
    <x v="29"/>
    <x v="1"/>
    <x v="0"/>
    <n v="1042.245918823"/>
  </r>
  <r>
    <x v="0"/>
    <x v="11"/>
    <x v="5"/>
    <x v="29"/>
    <x v="1"/>
    <x v="1"/>
    <n v="2.4454999999999999E-5"/>
  </r>
  <r>
    <x v="0"/>
    <x v="11"/>
    <x v="6"/>
    <x v="29"/>
    <x v="1"/>
    <x v="1"/>
    <n v="0.51519574700000004"/>
  </r>
  <r>
    <x v="0"/>
    <x v="11"/>
    <x v="4"/>
    <x v="30"/>
    <x v="1"/>
    <x v="0"/>
    <n v="179.013501483"/>
  </r>
  <r>
    <x v="0"/>
    <x v="11"/>
    <x v="5"/>
    <x v="30"/>
    <x v="1"/>
    <x v="1"/>
    <n v="1.3389E-5"/>
  </r>
  <r>
    <x v="0"/>
    <x v="11"/>
    <x v="6"/>
    <x v="30"/>
    <x v="1"/>
    <x v="1"/>
    <n v="0.51519574700000004"/>
  </r>
  <r>
    <x v="0"/>
    <x v="11"/>
    <x v="4"/>
    <x v="31"/>
    <x v="1"/>
    <x v="0"/>
    <n v="629.31845321100002"/>
  </r>
  <r>
    <x v="0"/>
    <x v="11"/>
    <x v="5"/>
    <x v="31"/>
    <x v="1"/>
    <x v="1"/>
    <n v="1.6223999999999999E-5"/>
  </r>
  <r>
    <x v="0"/>
    <x v="11"/>
    <x v="6"/>
    <x v="31"/>
    <x v="1"/>
    <x v="1"/>
    <n v="0.51519574700000004"/>
  </r>
  <r>
    <x v="0"/>
    <x v="11"/>
    <x v="4"/>
    <x v="32"/>
    <x v="1"/>
    <x v="0"/>
    <n v="2004.2009639830001"/>
  </r>
  <r>
    <x v="0"/>
    <x v="11"/>
    <x v="5"/>
    <x v="32"/>
    <x v="1"/>
    <x v="1"/>
    <n v="2.9793000000000001E-5"/>
  </r>
  <r>
    <x v="0"/>
    <x v="11"/>
    <x v="6"/>
    <x v="32"/>
    <x v="1"/>
    <x v="1"/>
    <n v="0.51519574700000004"/>
  </r>
  <r>
    <x v="0"/>
    <x v="11"/>
    <x v="4"/>
    <x v="33"/>
    <x v="1"/>
    <x v="0"/>
    <n v="2174.9582701509999"/>
  </r>
  <r>
    <x v="0"/>
    <x v="11"/>
    <x v="5"/>
    <x v="33"/>
    <x v="1"/>
    <x v="1"/>
    <n v="3.0124000000000002E-5"/>
  </r>
  <r>
    <x v="0"/>
    <x v="11"/>
    <x v="6"/>
    <x v="33"/>
    <x v="1"/>
    <x v="1"/>
    <n v="0.51519574700000004"/>
  </r>
  <r>
    <x v="0"/>
    <x v="11"/>
    <x v="4"/>
    <x v="34"/>
    <x v="1"/>
    <x v="0"/>
    <n v="446.553074783"/>
  </r>
  <r>
    <x v="0"/>
    <x v="11"/>
    <x v="5"/>
    <x v="34"/>
    <x v="1"/>
    <x v="1"/>
    <n v="2.8691999999999999E-5"/>
  </r>
  <r>
    <x v="0"/>
    <x v="11"/>
    <x v="6"/>
    <x v="34"/>
    <x v="1"/>
    <x v="1"/>
    <n v="0.51519574700000004"/>
  </r>
  <r>
    <x v="0"/>
    <x v="11"/>
    <x v="4"/>
    <x v="35"/>
    <x v="1"/>
    <x v="0"/>
    <n v="374.56846547599997"/>
  </r>
  <r>
    <x v="0"/>
    <x v="11"/>
    <x v="5"/>
    <x v="35"/>
    <x v="1"/>
    <x v="1"/>
    <n v="3.5000999999999999E-5"/>
  </r>
  <r>
    <x v="0"/>
    <x v="11"/>
    <x v="6"/>
    <x v="35"/>
    <x v="1"/>
    <x v="1"/>
    <n v="0.51519574700000004"/>
  </r>
  <r>
    <x v="0"/>
    <x v="11"/>
    <x v="4"/>
    <x v="36"/>
    <x v="1"/>
    <x v="0"/>
    <n v="124.98671658000001"/>
  </r>
  <r>
    <x v="0"/>
    <x v="11"/>
    <x v="5"/>
    <x v="36"/>
    <x v="1"/>
    <x v="1"/>
    <n v="6.0362000000000002E-5"/>
  </r>
  <r>
    <x v="0"/>
    <x v="11"/>
    <x v="6"/>
    <x v="36"/>
    <x v="1"/>
    <x v="1"/>
    <n v="0.51519574700000004"/>
  </r>
  <r>
    <x v="0"/>
    <x v="11"/>
    <x v="4"/>
    <x v="37"/>
    <x v="1"/>
    <x v="0"/>
    <n v="156.657852929"/>
  </r>
  <r>
    <x v="0"/>
    <x v="11"/>
    <x v="5"/>
    <x v="37"/>
    <x v="1"/>
    <x v="1"/>
    <n v="1.4769999999999999E-5"/>
  </r>
  <r>
    <x v="0"/>
    <x v="11"/>
    <x v="6"/>
    <x v="37"/>
    <x v="1"/>
    <x v="1"/>
    <n v="0.51519574700000004"/>
  </r>
  <r>
    <x v="0"/>
    <x v="11"/>
    <x v="4"/>
    <x v="38"/>
    <x v="1"/>
    <x v="0"/>
    <n v="279.91157114999999"/>
  </r>
  <r>
    <x v="0"/>
    <x v="11"/>
    <x v="5"/>
    <x v="38"/>
    <x v="1"/>
    <x v="1"/>
    <n v="6.7663000000000006E-5"/>
  </r>
  <r>
    <x v="0"/>
    <x v="11"/>
    <x v="6"/>
    <x v="38"/>
    <x v="1"/>
    <x v="1"/>
    <n v="0.51519574700000004"/>
  </r>
  <r>
    <x v="0"/>
    <x v="11"/>
    <x v="4"/>
    <x v="39"/>
    <x v="1"/>
    <x v="0"/>
    <n v="127.49394347"/>
  </r>
  <r>
    <x v="0"/>
    <x v="11"/>
    <x v="5"/>
    <x v="39"/>
    <x v="1"/>
    <x v="1"/>
    <n v="2.3558E-5"/>
  </r>
  <r>
    <x v="0"/>
    <x v="11"/>
    <x v="6"/>
    <x v="39"/>
    <x v="1"/>
    <x v="1"/>
    <n v="0.51519574700000004"/>
  </r>
  <r>
    <x v="0"/>
    <x v="11"/>
    <x v="4"/>
    <x v="40"/>
    <x v="1"/>
    <x v="0"/>
    <n v="123.61361373699999"/>
  </r>
  <r>
    <x v="0"/>
    <x v="11"/>
    <x v="5"/>
    <x v="40"/>
    <x v="1"/>
    <x v="1"/>
    <n v="2.4122E-5"/>
  </r>
  <r>
    <x v="0"/>
    <x v="11"/>
    <x v="6"/>
    <x v="40"/>
    <x v="1"/>
    <x v="1"/>
    <n v="0.51519574700000004"/>
  </r>
  <r>
    <x v="0"/>
    <x v="11"/>
    <x v="4"/>
    <x v="41"/>
    <x v="1"/>
    <x v="0"/>
    <n v="406.79654778000003"/>
  </r>
  <r>
    <x v="0"/>
    <x v="11"/>
    <x v="5"/>
    <x v="41"/>
    <x v="1"/>
    <x v="1"/>
    <n v="1.35403E-4"/>
  </r>
  <r>
    <x v="0"/>
    <x v="11"/>
    <x v="6"/>
    <x v="41"/>
    <x v="1"/>
    <x v="1"/>
    <n v="0.51519574700000004"/>
  </r>
  <r>
    <x v="0"/>
    <x v="11"/>
    <x v="7"/>
    <x v="0"/>
    <x v="2"/>
    <x v="2"/>
    <n v="397.141532144"/>
  </r>
  <r>
    <x v="0"/>
    <x v="11"/>
    <x v="7"/>
    <x v="1"/>
    <x v="2"/>
    <x v="2"/>
    <n v="46.163873522999999"/>
  </r>
  <r>
    <x v="0"/>
    <x v="11"/>
    <x v="7"/>
    <x v="2"/>
    <x v="2"/>
    <x v="2"/>
    <n v="20.165652927"/>
  </r>
  <r>
    <x v="0"/>
    <x v="11"/>
    <x v="7"/>
    <x v="3"/>
    <x v="2"/>
    <x v="2"/>
    <n v="15.703117008"/>
  </r>
  <r>
    <x v="0"/>
    <x v="11"/>
    <x v="7"/>
    <x v="4"/>
    <x v="2"/>
    <x v="2"/>
    <n v="9.2028433490000001"/>
  </r>
  <r>
    <x v="0"/>
    <x v="11"/>
    <x v="7"/>
    <x v="5"/>
    <x v="2"/>
    <x v="2"/>
    <n v="33.586183061"/>
  </r>
  <r>
    <x v="0"/>
    <x v="11"/>
    <x v="7"/>
    <x v="6"/>
    <x v="2"/>
    <x v="2"/>
    <n v="14.015774499999999"/>
  </r>
  <r>
    <x v="0"/>
    <x v="11"/>
    <x v="7"/>
    <x v="7"/>
    <x v="2"/>
    <x v="2"/>
    <n v="12.706419241000001"/>
  </r>
  <r>
    <x v="0"/>
    <x v="11"/>
    <x v="7"/>
    <x v="8"/>
    <x v="2"/>
    <x v="2"/>
    <n v="7.0544887640000002"/>
  </r>
  <r>
    <x v="0"/>
    <x v="11"/>
    <x v="7"/>
    <x v="9"/>
    <x v="2"/>
    <x v="2"/>
    <n v="21.110514046999999"/>
  </r>
  <r>
    <x v="0"/>
    <x v="11"/>
    <x v="7"/>
    <x v="10"/>
    <x v="2"/>
    <x v="2"/>
    <n v="9.6911956670000006"/>
  </r>
  <r>
    <x v="0"/>
    <x v="11"/>
    <x v="7"/>
    <x v="11"/>
    <x v="2"/>
    <x v="2"/>
    <n v="44.087624493"/>
  </r>
  <r>
    <x v="0"/>
    <x v="11"/>
    <x v="7"/>
    <x v="12"/>
    <x v="2"/>
    <x v="2"/>
    <n v="19.112617693000001"/>
  </r>
  <r>
    <x v="0"/>
    <x v="11"/>
    <x v="7"/>
    <x v="13"/>
    <x v="2"/>
    <x v="2"/>
    <n v="27.030139107"/>
  </r>
  <r>
    <x v="0"/>
    <x v="11"/>
    <x v="7"/>
    <x v="14"/>
    <x v="2"/>
    <x v="2"/>
    <n v="13.002529651"/>
  </r>
  <r>
    <x v="0"/>
    <x v="11"/>
    <x v="7"/>
    <x v="15"/>
    <x v="2"/>
    <x v="2"/>
    <n v="16.098989653"/>
  </r>
  <r>
    <x v="0"/>
    <x v="11"/>
    <x v="7"/>
    <x v="16"/>
    <x v="2"/>
    <x v="2"/>
    <n v="10.734772231000001"/>
  </r>
  <r>
    <x v="0"/>
    <x v="11"/>
    <x v="7"/>
    <x v="17"/>
    <x v="2"/>
    <x v="2"/>
    <n v="21.871475041"/>
  </r>
  <r>
    <x v="0"/>
    <x v="11"/>
    <x v="7"/>
    <x v="18"/>
    <x v="2"/>
    <x v="2"/>
    <n v="13.542391903"/>
  </r>
  <r>
    <x v="0"/>
    <x v="11"/>
    <x v="7"/>
    <x v="19"/>
    <x v="2"/>
    <x v="2"/>
    <n v="23.034543713000001"/>
  </r>
  <r>
    <x v="0"/>
    <x v="11"/>
    <x v="7"/>
    <x v="20"/>
    <x v="2"/>
    <x v="2"/>
    <n v="3.2512796399999999"/>
  </r>
  <r>
    <x v="0"/>
    <x v="11"/>
    <x v="7"/>
    <x v="21"/>
    <x v="2"/>
    <x v="2"/>
    <n v="1.441611384"/>
  </r>
  <r>
    <x v="0"/>
    <x v="11"/>
    <x v="7"/>
    <x v="22"/>
    <x v="2"/>
    <x v="2"/>
    <n v="0.98957568299999998"/>
  </r>
  <r>
    <x v="0"/>
    <x v="11"/>
    <x v="7"/>
    <x v="23"/>
    <x v="2"/>
    <x v="2"/>
    <n v="0.93415778299999996"/>
  </r>
  <r>
    <x v="0"/>
    <x v="11"/>
    <x v="7"/>
    <x v="24"/>
    <x v="2"/>
    <x v="2"/>
    <n v="19.977213468999999"/>
  </r>
  <r>
    <x v="0"/>
    <x v="11"/>
    <x v="7"/>
    <x v="25"/>
    <x v="2"/>
    <x v="2"/>
    <n v="0.87244066399999998"/>
  </r>
  <r>
    <x v="0"/>
    <x v="11"/>
    <x v="7"/>
    <x v="26"/>
    <x v="2"/>
    <x v="2"/>
    <n v="1.7476377059999999"/>
  </r>
  <r>
    <x v="0"/>
    <x v="11"/>
    <x v="7"/>
    <x v="27"/>
    <x v="2"/>
    <x v="2"/>
    <n v="70.397356087999995"/>
  </r>
  <r>
    <x v="0"/>
    <x v="11"/>
    <x v="7"/>
    <x v="28"/>
    <x v="2"/>
    <x v="2"/>
    <n v="88.461841174"/>
  </r>
  <r>
    <x v="0"/>
    <x v="11"/>
    <x v="7"/>
    <x v="29"/>
    <x v="2"/>
    <x v="2"/>
    <n v="70.252050505"/>
  </r>
  <r>
    <x v="0"/>
    <x v="11"/>
    <x v="7"/>
    <x v="30"/>
    <x v="2"/>
    <x v="2"/>
    <n v="29.177606827999998"/>
  </r>
  <r>
    <x v="0"/>
    <x v="11"/>
    <x v="7"/>
    <x v="31"/>
    <x v="2"/>
    <x v="2"/>
    <n v="18.642549021000001"/>
  </r>
  <r>
    <x v="0"/>
    <x v="11"/>
    <x v="7"/>
    <x v="32"/>
    <x v="2"/>
    <x v="2"/>
    <n v="78.262243075000001"/>
  </r>
  <r>
    <x v="0"/>
    <x v="11"/>
    <x v="7"/>
    <x v="33"/>
    <x v="2"/>
    <x v="2"/>
    <n v="27.699648672999999"/>
  </r>
  <r>
    <x v="0"/>
    <x v="11"/>
    <x v="7"/>
    <x v="34"/>
    <x v="2"/>
    <x v="2"/>
    <n v="38.433268978999998"/>
  </r>
  <r>
    <x v="0"/>
    <x v="11"/>
    <x v="7"/>
    <x v="35"/>
    <x v="2"/>
    <x v="2"/>
    <n v="38.482351033999997"/>
  </r>
  <r>
    <x v="0"/>
    <x v="11"/>
    <x v="7"/>
    <x v="36"/>
    <x v="2"/>
    <x v="2"/>
    <n v="15.715333099"/>
  </r>
  <r>
    <x v="0"/>
    <x v="11"/>
    <x v="7"/>
    <x v="37"/>
    <x v="2"/>
    <x v="2"/>
    <n v="26.580536894000002"/>
  </r>
  <r>
    <x v="0"/>
    <x v="11"/>
    <x v="7"/>
    <x v="38"/>
    <x v="2"/>
    <x v="2"/>
    <n v="154.618860826"/>
  </r>
  <r>
    <x v="0"/>
    <x v="11"/>
    <x v="7"/>
    <x v="39"/>
    <x v="2"/>
    <x v="2"/>
    <n v="46.803874221999997"/>
  </r>
  <r>
    <x v="0"/>
    <x v="11"/>
    <x v="7"/>
    <x v="40"/>
    <x v="2"/>
    <x v="2"/>
    <n v="12.139347741"/>
  </r>
  <r>
    <x v="0"/>
    <x v="11"/>
    <x v="7"/>
    <x v="41"/>
    <x v="2"/>
    <x v="2"/>
    <n v="285.58555000000001"/>
  </r>
  <r>
    <x v="0"/>
    <x v="11"/>
    <x v="8"/>
    <x v="0"/>
    <x v="2"/>
    <x v="3"/>
    <n v="7.0586250000000003E-2"/>
  </r>
  <r>
    <x v="0"/>
    <x v="11"/>
    <x v="8"/>
    <x v="1"/>
    <x v="2"/>
    <x v="3"/>
    <n v="7.0586250000000003E-2"/>
  </r>
  <r>
    <x v="0"/>
    <x v="11"/>
    <x v="8"/>
    <x v="2"/>
    <x v="2"/>
    <x v="3"/>
    <n v="7.0586250000000003E-2"/>
  </r>
  <r>
    <x v="0"/>
    <x v="11"/>
    <x v="8"/>
    <x v="3"/>
    <x v="2"/>
    <x v="3"/>
    <n v="7.0586250000000003E-2"/>
  </r>
  <r>
    <x v="0"/>
    <x v="11"/>
    <x v="8"/>
    <x v="4"/>
    <x v="2"/>
    <x v="3"/>
    <n v="7.0586250000000003E-2"/>
  </r>
  <r>
    <x v="0"/>
    <x v="11"/>
    <x v="8"/>
    <x v="5"/>
    <x v="2"/>
    <x v="3"/>
    <n v="7.0586250000000003E-2"/>
  </r>
  <r>
    <x v="0"/>
    <x v="11"/>
    <x v="8"/>
    <x v="6"/>
    <x v="2"/>
    <x v="3"/>
    <n v="7.0586250000000003E-2"/>
  </r>
  <r>
    <x v="0"/>
    <x v="11"/>
    <x v="8"/>
    <x v="7"/>
    <x v="2"/>
    <x v="3"/>
    <n v="7.0586250000000003E-2"/>
  </r>
  <r>
    <x v="0"/>
    <x v="11"/>
    <x v="8"/>
    <x v="8"/>
    <x v="2"/>
    <x v="3"/>
    <n v="7.0586250000000003E-2"/>
  </r>
  <r>
    <x v="0"/>
    <x v="11"/>
    <x v="8"/>
    <x v="9"/>
    <x v="2"/>
    <x v="3"/>
    <n v="7.0586250000000003E-2"/>
  </r>
  <r>
    <x v="0"/>
    <x v="11"/>
    <x v="8"/>
    <x v="10"/>
    <x v="2"/>
    <x v="3"/>
    <n v="7.0586250000000003E-2"/>
  </r>
  <r>
    <x v="0"/>
    <x v="11"/>
    <x v="8"/>
    <x v="11"/>
    <x v="2"/>
    <x v="3"/>
    <n v="7.0586250000000003E-2"/>
  </r>
  <r>
    <x v="0"/>
    <x v="11"/>
    <x v="8"/>
    <x v="12"/>
    <x v="2"/>
    <x v="3"/>
    <n v="7.0586250000000003E-2"/>
  </r>
  <r>
    <x v="0"/>
    <x v="11"/>
    <x v="8"/>
    <x v="13"/>
    <x v="2"/>
    <x v="3"/>
    <n v="7.0586250000000003E-2"/>
  </r>
  <r>
    <x v="0"/>
    <x v="11"/>
    <x v="8"/>
    <x v="14"/>
    <x v="2"/>
    <x v="3"/>
    <n v="7.0586250000000003E-2"/>
  </r>
  <r>
    <x v="0"/>
    <x v="11"/>
    <x v="8"/>
    <x v="15"/>
    <x v="2"/>
    <x v="3"/>
    <n v="7.0586250000000003E-2"/>
  </r>
  <r>
    <x v="0"/>
    <x v="11"/>
    <x v="8"/>
    <x v="16"/>
    <x v="2"/>
    <x v="3"/>
    <n v="7.0586250000000003E-2"/>
  </r>
  <r>
    <x v="0"/>
    <x v="11"/>
    <x v="8"/>
    <x v="17"/>
    <x v="2"/>
    <x v="3"/>
    <n v="7.0586250000000003E-2"/>
  </r>
  <r>
    <x v="0"/>
    <x v="11"/>
    <x v="8"/>
    <x v="18"/>
    <x v="2"/>
    <x v="3"/>
    <n v="7.0586250000000003E-2"/>
  </r>
  <r>
    <x v="0"/>
    <x v="11"/>
    <x v="8"/>
    <x v="19"/>
    <x v="2"/>
    <x v="3"/>
    <n v="7.0586250000000003E-2"/>
  </r>
  <r>
    <x v="0"/>
    <x v="11"/>
    <x v="8"/>
    <x v="20"/>
    <x v="2"/>
    <x v="3"/>
    <n v="7.0586250000000003E-2"/>
  </r>
  <r>
    <x v="0"/>
    <x v="11"/>
    <x v="8"/>
    <x v="21"/>
    <x v="2"/>
    <x v="3"/>
    <n v="7.0586250000000003E-2"/>
  </r>
  <r>
    <x v="0"/>
    <x v="11"/>
    <x v="8"/>
    <x v="22"/>
    <x v="2"/>
    <x v="3"/>
    <n v="7.0586250000000003E-2"/>
  </r>
  <r>
    <x v="0"/>
    <x v="11"/>
    <x v="8"/>
    <x v="23"/>
    <x v="2"/>
    <x v="3"/>
    <n v="7.0586250000000003E-2"/>
  </r>
  <r>
    <x v="0"/>
    <x v="11"/>
    <x v="8"/>
    <x v="24"/>
    <x v="2"/>
    <x v="3"/>
    <n v="7.0586250000000003E-2"/>
  </r>
  <r>
    <x v="0"/>
    <x v="11"/>
    <x v="8"/>
    <x v="25"/>
    <x v="2"/>
    <x v="3"/>
    <n v="7.0586250000000003E-2"/>
  </r>
  <r>
    <x v="0"/>
    <x v="11"/>
    <x v="8"/>
    <x v="26"/>
    <x v="2"/>
    <x v="3"/>
    <n v="7.0586250000000003E-2"/>
  </r>
  <r>
    <x v="0"/>
    <x v="11"/>
    <x v="8"/>
    <x v="27"/>
    <x v="2"/>
    <x v="3"/>
    <n v="7.0586250000000003E-2"/>
  </r>
  <r>
    <x v="0"/>
    <x v="11"/>
    <x v="8"/>
    <x v="28"/>
    <x v="2"/>
    <x v="3"/>
    <n v="7.0586250000000003E-2"/>
  </r>
  <r>
    <x v="0"/>
    <x v="11"/>
    <x v="8"/>
    <x v="29"/>
    <x v="2"/>
    <x v="3"/>
    <n v="7.0586250000000003E-2"/>
  </r>
  <r>
    <x v="0"/>
    <x v="11"/>
    <x v="8"/>
    <x v="30"/>
    <x v="2"/>
    <x v="3"/>
    <n v="7.0586250000000003E-2"/>
  </r>
  <r>
    <x v="0"/>
    <x v="11"/>
    <x v="8"/>
    <x v="31"/>
    <x v="2"/>
    <x v="3"/>
    <n v="7.0586250000000003E-2"/>
  </r>
  <r>
    <x v="0"/>
    <x v="11"/>
    <x v="8"/>
    <x v="32"/>
    <x v="2"/>
    <x v="3"/>
    <n v="7.0586250000000003E-2"/>
  </r>
  <r>
    <x v="0"/>
    <x v="11"/>
    <x v="8"/>
    <x v="33"/>
    <x v="2"/>
    <x v="3"/>
    <n v="7.0586250000000003E-2"/>
  </r>
  <r>
    <x v="0"/>
    <x v="11"/>
    <x v="8"/>
    <x v="34"/>
    <x v="2"/>
    <x v="3"/>
    <n v="7.0586250000000003E-2"/>
  </r>
  <r>
    <x v="0"/>
    <x v="11"/>
    <x v="8"/>
    <x v="35"/>
    <x v="2"/>
    <x v="3"/>
    <n v="7.0586250000000003E-2"/>
  </r>
  <r>
    <x v="0"/>
    <x v="11"/>
    <x v="8"/>
    <x v="36"/>
    <x v="2"/>
    <x v="3"/>
    <n v="7.0586250000000003E-2"/>
  </r>
  <r>
    <x v="0"/>
    <x v="11"/>
    <x v="8"/>
    <x v="37"/>
    <x v="2"/>
    <x v="3"/>
    <n v="7.0586250000000003E-2"/>
  </r>
  <r>
    <x v="0"/>
    <x v="11"/>
    <x v="8"/>
    <x v="38"/>
    <x v="2"/>
    <x v="3"/>
    <n v="7.0586250000000003E-2"/>
  </r>
  <r>
    <x v="0"/>
    <x v="11"/>
    <x v="8"/>
    <x v="39"/>
    <x v="2"/>
    <x v="3"/>
    <n v="7.0586250000000003E-2"/>
  </r>
  <r>
    <x v="0"/>
    <x v="11"/>
    <x v="8"/>
    <x v="40"/>
    <x v="2"/>
    <x v="3"/>
    <n v="7.0586250000000003E-2"/>
  </r>
  <r>
    <x v="0"/>
    <x v="11"/>
    <x v="8"/>
    <x v="41"/>
    <x v="2"/>
    <x v="3"/>
    <n v="7.0586250000000003E-2"/>
  </r>
  <r>
    <x v="0"/>
    <x v="11"/>
    <x v="7"/>
    <x v="0"/>
    <x v="3"/>
    <x v="2"/>
    <n v="398.96658570400001"/>
  </r>
  <r>
    <x v="0"/>
    <x v="11"/>
    <x v="7"/>
    <x v="1"/>
    <x v="3"/>
    <x v="2"/>
    <n v="44.367546265999998"/>
  </r>
  <r>
    <x v="0"/>
    <x v="11"/>
    <x v="7"/>
    <x v="2"/>
    <x v="3"/>
    <x v="2"/>
    <n v="18.131400074999998"/>
  </r>
  <r>
    <x v="0"/>
    <x v="11"/>
    <x v="7"/>
    <x v="3"/>
    <x v="3"/>
    <x v="2"/>
    <n v="14.798780315"/>
  </r>
  <r>
    <x v="0"/>
    <x v="11"/>
    <x v="7"/>
    <x v="4"/>
    <x v="3"/>
    <x v="2"/>
    <n v="8.7668449329999998"/>
  </r>
  <r>
    <x v="0"/>
    <x v="11"/>
    <x v="7"/>
    <x v="5"/>
    <x v="3"/>
    <x v="2"/>
    <n v="31.212242324000002"/>
  </r>
  <r>
    <x v="0"/>
    <x v="11"/>
    <x v="7"/>
    <x v="6"/>
    <x v="3"/>
    <x v="2"/>
    <n v="13.283842253"/>
  </r>
  <r>
    <x v="0"/>
    <x v="11"/>
    <x v="7"/>
    <x v="7"/>
    <x v="3"/>
    <x v="2"/>
    <n v="12.1832812"/>
  </r>
  <r>
    <x v="0"/>
    <x v="11"/>
    <x v="7"/>
    <x v="8"/>
    <x v="3"/>
    <x v="2"/>
    <n v="6.6667108490000002"/>
  </r>
  <r>
    <x v="0"/>
    <x v="11"/>
    <x v="7"/>
    <x v="9"/>
    <x v="3"/>
    <x v="2"/>
    <n v="20.0483242"/>
  </r>
  <r>
    <x v="0"/>
    <x v="11"/>
    <x v="7"/>
    <x v="10"/>
    <x v="3"/>
    <x v="2"/>
    <n v="9.0041279620000001"/>
  </r>
  <r>
    <x v="0"/>
    <x v="11"/>
    <x v="7"/>
    <x v="11"/>
    <x v="3"/>
    <x v="2"/>
    <n v="40.723833153000001"/>
  </r>
  <r>
    <x v="0"/>
    <x v="11"/>
    <x v="7"/>
    <x v="12"/>
    <x v="3"/>
    <x v="2"/>
    <n v="17.96010265"/>
  </r>
  <r>
    <x v="0"/>
    <x v="11"/>
    <x v="7"/>
    <x v="13"/>
    <x v="3"/>
    <x v="2"/>
    <n v="24.748948943999999"/>
  </r>
  <r>
    <x v="0"/>
    <x v="11"/>
    <x v="7"/>
    <x v="14"/>
    <x v="3"/>
    <x v="2"/>
    <n v="12.269774229999999"/>
  </r>
  <r>
    <x v="0"/>
    <x v="11"/>
    <x v="7"/>
    <x v="15"/>
    <x v="3"/>
    <x v="2"/>
    <n v="15.28050726"/>
  </r>
  <r>
    <x v="0"/>
    <x v="11"/>
    <x v="7"/>
    <x v="16"/>
    <x v="3"/>
    <x v="2"/>
    <n v="10.180186701"/>
  </r>
  <r>
    <x v="0"/>
    <x v="11"/>
    <x v="7"/>
    <x v="17"/>
    <x v="3"/>
    <x v="2"/>
    <n v="20.696879274"/>
  </r>
  <r>
    <x v="0"/>
    <x v="11"/>
    <x v="7"/>
    <x v="18"/>
    <x v="3"/>
    <x v="2"/>
    <n v="12.655862705000001"/>
  </r>
  <r>
    <x v="0"/>
    <x v="11"/>
    <x v="7"/>
    <x v="19"/>
    <x v="3"/>
    <x v="2"/>
    <n v="21.980336917999999"/>
  </r>
  <r>
    <x v="0"/>
    <x v="11"/>
    <x v="7"/>
    <x v="20"/>
    <x v="3"/>
    <x v="2"/>
    <n v="3.0633639110000002"/>
  </r>
  <r>
    <x v="0"/>
    <x v="11"/>
    <x v="7"/>
    <x v="21"/>
    <x v="3"/>
    <x v="2"/>
    <n v="1.3713298519999999"/>
  </r>
  <r>
    <x v="0"/>
    <x v="11"/>
    <x v="7"/>
    <x v="22"/>
    <x v="3"/>
    <x v="2"/>
    <n v="0.78576144999999997"/>
  </r>
  <r>
    <x v="0"/>
    <x v="11"/>
    <x v="7"/>
    <x v="23"/>
    <x v="3"/>
    <x v="2"/>
    <n v="0.91828881799999995"/>
  </r>
  <r>
    <x v="0"/>
    <x v="11"/>
    <x v="7"/>
    <x v="24"/>
    <x v="3"/>
    <x v="2"/>
    <n v="18.176712740999999"/>
  </r>
  <r>
    <x v="0"/>
    <x v="11"/>
    <x v="7"/>
    <x v="25"/>
    <x v="3"/>
    <x v="2"/>
    <n v="0.78894179200000003"/>
  </r>
  <r>
    <x v="0"/>
    <x v="11"/>
    <x v="7"/>
    <x v="26"/>
    <x v="3"/>
    <x v="2"/>
    <n v="1.6579196810000001"/>
  </r>
  <r>
    <x v="0"/>
    <x v="11"/>
    <x v="7"/>
    <x v="27"/>
    <x v="3"/>
    <x v="2"/>
    <n v="68.324273512999994"/>
  </r>
  <r>
    <x v="0"/>
    <x v="11"/>
    <x v="7"/>
    <x v="28"/>
    <x v="3"/>
    <x v="2"/>
    <n v="82.177609986999997"/>
  </r>
  <r>
    <x v="0"/>
    <x v="11"/>
    <x v="7"/>
    <x v="29"/>
    <x v="3"/>
    <x v="2"/>
    <n v="65.935495230000001"/>
  </r>
  <r>
    <x v="0"/>
    <x v="11"/>
    <x v="7"/>
    <x v="30"/>
    <x v="3"/>
    <x v="2"/>
    <n v="28.427086307"/>
  </r>
  <r>
    <x v="0"/>
    <x v="11"/>
    <x v="7"/>
    <x v="31"/>
    <x v="3"/>
    <x v="2"/>
    <n v="16.888463308999999"/>
  </r>
  <r>
    <x v="0"/>
    <x v="11"/>
    <x v="7"/>
    <x v="32"/>
    <x v="3"/>
    <x v="2"/>
    <n v="71.382202551000006"/>
  </r>
  <r>
    <x v="0"/>
    <x v="11"/>
    <x v="7"/>
    <x v="33"/>
    <x v="3"/>
    <x v="2"/>
    <n v="23.722116824"/>
  </r>
  <r>
    <x v="0"/>
    <x v="11"/>
    <x v="7"/>
    <x v="34"/>
    <x v="3"/>
    <x v="2"/>
    <n v="36.389906173999996"/>
  </r>
  <r>
    <x v="0"/>
    <x v="11"/>
    <x v="7"/>
    <x v="35"/>
    <x v="3"/>
    <x v="2"/>
    <n v="36.625076655000001"/>
  </r>
  <r>
    <x v="0"/>
    <x v="11"/>
    <x v="7"/>
    <x v="36"/>
    <x v="3"/>
    <x v="2"/>
    <n v="14.997186987999999"/>
  </r>
  <r>
    <x v="0"/>
    <x v="11"/>
    <x v="7"/>
    <x v="37"/>
    <x v="3"/>
    <x v="2"/>
    <n v="25.908185325000002"/>
  </r>
  <r>
    <x v="0"/>
    <x v="11"/>
    <x v="7"/>
    <x v="38"/>
    <x v="3"/>
    <x v="2"/>
    <n v="153.34076809999999"/>
  </r>
  <r>
    <x v="0"/>
    <x v="11"/>
    <x v="7"/>
    <x v="39"/>
    <x v="3"/>
    <x v="2"/>
    <n v="46.300220965999998"/>
  </r>
  <r>
    <x v="0"/>
    <x v="11"/>
    <x v="7"/>
    <x v="40"/>
    <x v="3"/>
    <x v="2"/>
    <n v="11.574102419999999"/>
  </r>
  <r>
    <x v="0"/>
    <x v="11"/>
    <x v="7"/>
    <x v="41"/>
    <x v="3"/>
    <x v="2"/>
    <n v="283.53879434999999"/>
  </r>
  <r>
    <x v="0"/>
    <x v="11"/>
    <x v="8"/>
    <x v="0"/>
    <x v="3"/>
    <x v="3"/>
    <n v="6.8267817999999994E-2"/>
  </r>
  <r>
    <x v="0"/>
    <x v="11"/>
    <x v="8"/>
    <x v="1"/>
    <x v="3"/>
    <x v="3"/>
    <n v="6.8267817999999994E-2"/>
  </r>
  <r>
    <x v="0"/>
    <x v="11"/>
    <x v="8"/>
    <x v="2"/>
    <x v="3"/>
    <x v="3"/>
    <n v="6.8267817999999994E-2"/>
  </r>
  <r>
    <x v="0"/>
    <x v="11"/>
    <x v="8"/>
    <x v="3"/>
    <x v="3"/>
    <x v="3"/>
    <n v="6.8267817999999994E-2"/>
  </r>
  <r>
    <x v="0"/>
    <x v="11"/>
    <x v="8"/>
    <x v="4"/>
    <x v="3"/>
    <x v="3"/>
    <n v="6.8267817999999994E-2"/>
  </r>
  <r>
    <x v="0"/>
    <x v="11"/>
    <x v="8"/>
    <x v="5"/>
    <x v="3"/>
    <x v="3"/>
    <n v="6.8267817999999994E-2"/>
  </r>
  <r>
    <x v="0"/>
    <x v="11"/>
    <x v="8"/>
    <x v="6"/>
    <x v="3"/>
    <x v="3"/>
    <n v="6.8267817999999994E-2"/>
  </r>
  <r>
    <x v="0"/>
    <x v="11"/>
    <x v="8"/>
    <x v="7"/>
    <x v="3"/>
    <x v="3"/>
    <n v="6.8267817999999994E-2"/>
  </r>
  <r>
    <x v="0"/>
    <x v="11"/>
    <x v="8"/>
    <x v="8"/>
    <x v="3"/>
    <x v="3"/>
    <n v="6.8267817999999994E-2"/>
  </r>
  <r>
    <x v="0"/>
    <x v="11"/>
    <x v="8"/>
    <x v="9"/>
    <x v="3"/>
    <x v="3"/>
    <n v="6.8267817999999994E-2"/>
  </r>
  <r>
    <x v="0"/>
    <x v="11"/>
    <x v="8"/>
    <x v="10"/>
    <x v="3"/>
    <x v="3"/>
    <n v="6.8267817999999994E-2"/>
  </r>
  <r>
    <x v="0"/>
    <x v="11"/>
    <x v="8"/>
    <x v="11"/>
    <x v="3"/>
    <x v="3"/>
    <n v="6.8267817999999994E-2"/>
  </r>
  <r>
    <x v="0"/>
    <x v="11"/>
    <x v="8"/>
    <x v="12"/>
    <x v="3"/>
    <x v="3"/>
    <n v="6.8267817999999994E-2"/>
  </r>
  <r>
    <x v="0"/>
    <x v="11"/>
    <x v="8"/>
    <x v="13"/>
    <x v="3"/>
    <x v="3"/>
    <n v="6.8267817999999994E-2"/>
  </r>
  <r>
    <x v="0"/>
    <x v="11"/>
    <x v="8"/>
    <x v="14"/>
    <x v="3"/>
    <x v="3"/>
    <n v="6.8267817999999994E-2"/>
  </r>
  <r>
    <x v="0"/>
    <x v="11"/>
    <x v="8"/>
    <x v="15"/>
    <x v="3"/>
    <x v="3"/>
    <n v="6.8267817999999994E-2"/>
  </r>
  <r>
    <x v="0"/>
    <x v="11"/>
    <x v="8"/>
    <x v="16"/>
    <x v="3"/>
    <x v="3"/>
    <n v="6.8267817999999994E-2"/>
  </r>
  <r>
    <x v="0"/>
    <x v="11"/>
    <x v="8"/>
    <x v="17"/>
    <x v="3"/>
    <x v="3"/>
    <n v="6.8267817999999994E-2"/>
  </r>
  <r>
    <x v="0"/>
    <x v="11"/>
    <x v="8"/>
    <x v="18"/>
    <x v="3"/>
    <x v="3"/>
    <n v="6.8267817999999994E-2"/>
  </r>
  <r>
    <x v="0"/>
    <x v="11"/>
    <x v="8"/>
    <x v="19"/>
    <x v="3"/>
    <x v="3"/>
    <n v="6.8267817999999994E-2"/>
  </r>
  <r>
    <x v="0"/>
    <x v="11"/>
    <x v="8"/>
    <x v="20"/>
    <x v="3"/>
    <x v="3"/>
    <n v="6.8267817999999994E-2"/>
  </r>
  <r>
    <x v="0"/>
    <x v="11"/>
    <x v="8"/>
    <x v="21"/>
    <x v="3"/>
    <x v="3"/>
    <n v="6.8267817999999994E-2"/>
  </r>
  <r>
    <x v="0"/>
    <x v="11"/>
    <x v="8"/>
    <x v="22"/>
    <x v="3"/>
    <x v="3"/>
    <n v="6.8267817999999994E-2"/>
  </r>
  <r>
    <x v="0"/>
    <x v="11"/>
    <x v="8"/>
    <x v="23"/>
    <x v="3"/>
    <x v="3"/>
    <n v="6.8267817999999994E-2"/>
  </r>
  <r>
    <x v="0"/>
    <x v="11"/>
    <x v="8"/>
    <x v="24"/>
    <x v="3"/>
    <x v="3"/>
    <n v="6.8267817999999994E-2"/>
  </r>
  <r>
    <x v="0"/>
    <x v="11"/>
    <x v="8"/>
    <x v="25"/>
    <x v="3"/>
    <x v="3"/>
    <n v="6.8267817999999994E-2"/>
  </r>
  <r>
    <x v="0"/>
    <x v="11"/>
    <x v="8"/>
    <x v="26"/>
    <x v="3"/>
    <x v="3"/>
    <n v="6.8267817999999994E-2"/>
  </r>
  <r>
    <x v="0"/>
    <x v="11"/>
    <x v="8"/>
    <x v="27"/>
    <x v="3"/>
    <x v="3"/>
    <n v="6.8267817999999994E-2"/>
  </r>
  <r>
    <x v="0"/>
    <x v="11"/>
    <x v="8"/>
    <x v="28"/>
    <x v="3"/>
    <x v="3"/>
    <n v="6.8267817999999994E-2"/>
  </r>
  <r>
    <x v="0"/>
    <x v="11"/>
    <x v="8"/>
    <x v="29"/>
    <x v="3"/>
    <x v="3"/>
    <n v="6.8267817999999994E-2"/>
  </r>
  <r>
    <x v="0"/>
    <x v="11"/>
    <x v="8"/>
    <x v="30"/>
    <x v="3"/>
    <x v="3"/>
    <n v="6.8267817999999994E-2"/>
  </r>
  <r>
    <x v="0"/>
    <x v="11"/>
    <x v="8"/>
    <x v="31"/>
    <x v="3"/>
    <x v="3"/>
    <n v="6.8267817999999994E-2"/>
  </r>
  <r>
    <x v="0"/>
    <x v="11"/>
    <x v="8"/>
    <x v="32"/>
    <x v="3"/>
    <x v="3"/>
    <n v="6.8267817999999994E-2"/>
  </r>
  <r>
    <x v="0"/>
    <x v="11"/>
    <x v="8"/>
    <x v="33"/>
    <x v="3"/>
    <x v="3"/>
    <n v="6.8267817999999994E-2"/>
  </r>
  <r>
    <x v="0"/>
    <x v="11"/>
    <x v="8"/>
    <x v="34"/>
    <x v="3"/>
    <x v="3"/>
    <n v="6.8267817999999994E-2"/>
  </r>
  <r>
    <x v="0"/>
    <x v="11"/>
    <x v="8"/>
    <x v="35"/>
    <x v="3"/>
    <x v="3"/>
    <n v="6.8267817999999994E-2"/>
  </r>
  <r>
    <x v="0"/>
    <x v="11"/>
    <x v="8"/>
    <x v="36"/>
    <x v="3"/>
    <x v="3"/>
    <n v="6.8267817999999994E-2"/>
  </r>
  <r>
    <x v="0"/>
    <x v="11"/>
    <x v="8"/>
    <x v="37"/>
    <x v="3"/>
    <x v="3"/>
    <n v="6.8267817999999994E-2"/>
  </r>
  <r>
    <x v="0"/>
    <x v="11"/>
    <x v="8"/>
    <x v="38"/>
    <x v="3"/>
    <x v="3"/>
    <n v="6.8267817999999994E-2"/>
  </r>
  <r>
    <x v="0"/>
    <x v="11"/>
    <x v="8"/>
    <x v="39"/>
    <x v="3"/>
    <x v="3"/>
    <n v="6.8267817999999994E-2"/>
  </r>
  <r>
    <x v="0"/>
    <x v="11"/>
    <x v="8"/>
    <x v="40"/>
    <x v="3"/>
    <x v="3"/>
    <n v="6.8267817999999994E-2"/>
  </r>
  <r>
    <x v="0"/>
    <x v="11"/>
    <x v="8"/>
    <x v="41"/>
    <x v="3"/>
    <x v="3"/>
    <n v="6.8267817999999994E-2"/>
  </r>
  <r>
    <x v="0"/>
    <x v="11"/>
    <x v="9"/>
    <x v="42"/>
    <x v="4"/>
    <x v="4"/>
    <n v="76.368271567999997"/>
  </r>
  <r>
    <x v="0"/>
    <x v="11"/>
    <x v="9"/>
    <x v="42"/>
    <x v="5"/>
    <x v="4"/>
    <n v="1.0997139250000001"/>
  </r>
  <r>
    <x v="0"/>
    <x v="11"/>
    <x v="9"/>
    <x v="42"/>
    <x v="6"/>
    <x v="4"/>
    <n v="0"/>
  </r>
  <r>
    <x v="0"/>
    <x v="11"/>
    <x v="9"/>
    <x v="42"/>
    <x v="7"/>
    <x v="4"/>
    <n v="0"/>
  </r>
  <r>
    <x v="0"/>
    <x v="11"/>
    <x v="9"/>
    <x v="42"/>
    <x v="8"/>
    <x v="4"/>
    <n v="0"/>
  </r>
  <r>
    <x v="0"/>
    <x v="11"/>
    <x v="9"/>
    <x v="42"/>
    <x v="9"/>
    <x v="4"/>
    <n v="84.728337554000007"/>
  </r>
  <r>
    <x v="0"/>
    <x v="11"/>
    <x v="9"/>
    <x v="42"/>
    <x v="10"/>
    <x v="4"/>
    <n v="2.388775678"/>
  </r>
  <r>
    <x v="0"/>
    <x v="11"/>
    <x v="9"/>
    <x v="42"/>
    <x v="11"/>
    <x v="4"/>
    <n v="14.54935611"/>
  </r>
  <r>
    <x v="0"/>
    <x v="11"/>
    <x v="9"/>
    <x v="42"/>
    <x v="12"/>
    <x v="4"/>
    <n v="2.0629156270000002"/>
  </r>
  <r>
    <x v="0"/>
    <x v="11"/>
    <x v="9"/>
    <x v="42"/>
    <x v="13"/>
    <x v="4"/>
    <n v="3.313218145"/>
  </r>
  <r>
    <x v="0"/>
    <x v="11"/>
    <x v="9"/>
    <x v="42"/>
    <x v="14"/>
    <x v="4"/>
    <n v="2.6307334760000001"/>
  </r>
  <r>
    <x v="0"/>
    <x v="11"/>
    <x v="9"/>
    <x v="42"/>
    <x v="15"/>
    <x v="4"/>
    <n v="11.589777686"/>
  </r>
  <r>
    <x v="0"/>
    <x v="11"/>
    <x v="9"/>
    <x v="42"/>
    <x v="16"/>
    <x v="4"/>
    <n v="1.5587948579999999"/>
  </r>
  <r>
    <x v="0"/>
    <x v="11"/>
    <x v="9"/>
    <x v="42"/>
    <x v="17"/>
    <x v="4"/>
    <n v="0"/>
  </r>
  <r>
    <x v="0"/>
    <x v="11"/>
    <x v="9"/>
    <x v="42"/>
    <x v="18"/>
    <x v="4"/>
    <n v="0.95874955399999995"/>
  </r>
  <r>
    <x v="0"/>
    <x v="11"/>
    <x v="9"/>
    <x v="42"/>
    <x v="19"/>
    <x v="4"/>
    <n v="0.50060955799999995"/>
  </r>
  <r>
    <x v="0"/>
    <x v="11"/>
    <x v="9"/>
    <x v="42"/>
    <x v="20"/>
    <x v="4"/>
    <n v="0.12765030499999999"/>
  </r>
  <r>
    <x v="0"/>
    <x v="11"/>
    <x v="9"/>
    <x v="42"/>
    <x v="21"/>
    <x v="4"/>
    <n v="8.6362238169999994"/>
  </r>
  <r>
    <x v="0"/>
    <x v="11"/>
    <x v="9"/>
    <x v="42"/>
    <x v="22"/>
    <x v="4"/>
    <n v="9.2035659970000001"/>
  </r>
  <r>
    <x v="0"/>
    <x v="11"/>
    <x v="9"/>
    <x v="42"/>
    <x v="23"/>
    <x v="4"/>
    <n v="8.6259650010000009"/>
  </r>
  <r>
    <x v="0"/>
    <x v="11"/>
    <x v="9"/>
    <x v="42"/>
    <x v="24"/>
    <x v="4"/>
    <n v="0.61787264200000003"/>
  </r>
  <r>
    <x v="0"/>
    <x v="11"/>
    <x v="9"/>
    <x v="42"/>
    <x v="25"/>
    <x v="4"/>
    <n v="0.64214795999999996"/>
  </r>
  <r>
    <x v="0"/>
    <x v="11"/>
    <x v="9"/>
    <x v="42"/>
    <x v="26"/>
    <x v="4"/>
    <n v="0"/>
  </r>
  <r>
    <x v="0"/>
    <x v="11"/>
    <x v="9"/>
    <x v="42"/>
    <x v="27"/>
    <x v="4"/>
    <n v="0"/>
  </r>
  <r>
    <x v="0"/>
    <x v="11"/>
    <x v="9"/>
    <x v="42"/>
    <x v="28"/>
    <x v="4"/>
    <n v="8.3163517149999997"/>
  </r>
  <r>
    <x v="0"/>
    <x v="11"/>
    <x v="9"/>
    <x v="42"/>
    <x v="29"/>
    <x v="4"/>
    <n v="1.1501859640000001"/>
  </r>
  <r>
    <x v="0"/>
    <x v="11"/>
    <x v="9"/>
    <x v="42"/>
    <x v="30"/>
    <x v="4"/>
    <n v="0.47532639700000001"/>
  </r>
  <r>
    <x v="0"/>
    <x v="11"/>
    <x v="9"/>
    <x v="42"/>
    <x v="31"/>
    <x v="4"/>
    <n v="0"/>
  </r>
  <r>
    <x v="0"/>
    <x v="11"/>
    <x v="9"/>
    <x v="42"/>
    <x v="32"/>
    <x v="4"/>
    <n v="34.617006203999999"/>
  </r>
  <r>
    <x v="0"/>
    <x v="11"/>
    <x v="9"/>
    <x v="42"/>
    <x v="33"/>
    <x v="4"/>
    <n v="11.354457675000001"/>
  </r>
  <r>
    <x v="0"/>
    <x v="11"/>
    <x v="9"/>
    <x v="42"/>
    <x v="34"/>
    <x v="4"/>
    <n v="0.37277176000000001"/>
  </r>
  <r>
    <x v="0"/>
    <x v="11"/>
    <x v="9"/>
    <x v="42"/>
    <x v="35"/>
    <x v="4"/>
    <n v="17.362260888000002"/>
  </r>
  <r>
    <x v="0"/>
    <x v="11"/>
    <x v="9"/>
    <x v="42"/>
    <x v="36"/>
    <x v="4"/>
    <n v="22.498523417000001"/>
  </r>
  <r>
    <x v="0"/>
    <x v="11"/>
    <x v="9"/>
    <x v="42"/>
    <x v="37"/>
    <x v="4"/>
    <n v="162.74646215000001"/>
  </r>
  <r>
    <x v="0"/>
    <x v="11"/>
    <x v="9"/>
    <x v="42"/>
    <x v="38"/>
    <x v="4"/>
    <n v="0.41524915800000001"/>
  </r>
  <r>
    <x v="0"/>
    <x v="11"/>
    <x v="9"/>
    <x v="42"/>
    <x v="39"/>
    <x v="4"/>
    <n v="0.18052172799999999"/>
  </r>
  <r>
    <x v="0"/>
    <x v="11"/>
    <x v="9"/>
    <x v="42"/>
    <x v="40"/>
    <x v="4"/>
    <n v="0.22632464399999999"/>
  </r>
  <r>
    <x v="0"/>
    <x v="11"/>
    <x v="9"/>
    <x v="42"/>
    <x v="41"/>
    <x v="4"/>
    <n v="2.083759717"/>
  </r>
  <r>
    <x v="0"/>
    <x v="11"/>
    <x v="9"/>
    <x v="42"/>
    <x v="42"/>
    <x v="4"/>
    <n v="-5.9424904129999998"/>
  </r>
  <r>
    <x v="0"/>
    <x v="11"/>
    <x v="9"/>
    <x v="42"/>
    <x v="43"/>
    <x v="4"/>
    <n v="-2.3586276650000002"/>
  </r>
  <r>
    <x v="0"/>
    <x v="11"/>
    <x v="9"/>
    <x v="42"/>
    <x v="44"/>
    <x v="4"/>
    <n v="1.885433162"/>
  </r>
  <r>
    <x v="0"/>
    <x v="11"/>
    <x v="9"/>
    <x v="42"/>
    <x v="45"/>
    <x v="4"/>
    <n v="-0.13508245499999999"/>
  </r>
  <r>
    <x v="0"/>
    <x v="11"/>
    <x v="10"/>
    <x v="42"/>
    <x v="0"/>
    <x v="4"/>
    <n v="0.54085212400000005"/>
  </r>
  <r>
    <x v="0"/>
    <x v="11"/>
    <x v="11"/>
    <x v="42"/>
    <x v="0"/>
    <x v="4"/>
    <n v="13.196985079999999"/>
  </r>
  <r>
    <x v="0"/>
    <x v="11"/>
    <x v="9"/>
    <x v="43"/>
    <x v="4"/>
    <x v="4"/>
    <n v="138.15400077999999"/>
  </r>
  <r>
    <x v="0"/>
    <x v="11"/>
    <x v="9"/>
    <x v="43"/>
    <x v="5"/>
    <x v="4"/>
    <n v="0.70804468899999995"/>
  </r>
  <r>
    <x v="0"/>
    <x v="11"/>
    <x v="9"/>
    <x v="43"/>
    <x v="6"/>
    <x v="4"/>
    <n v="0"/>
  </r>
  <r>
    <x v="0"/>
    <x v="11"/>
    <x v="9"/>
    <x v="43"/>
    <x v="7"/>
    <x v="4"/>
    <n v="0"/>
  </r>
  <r>
    <x v="0"/>
    <x v="11"/>
    <x v="9"/>
    <x v="43"/>
    <x v="8"/>
    <x v="4"/>
    <n v="0"/>
  </r>
  <r>
    <x v="0"/>
    <x v="11"/>
    <x v="9"/>
    <x v="43"/>
    <x v="9"/>
    <x v="4"/>
    <n v="312.66145751599998"/>
  </r>
  <r>
    <x v="0"/>
    <x v="11"/>
    <x v="9"/>
    <x v="43"/>
    <x v="10"/>
    <x v="4"/>
    <n v="2.88284728"/>
  </r>
  <r>
    <x v="0"/>
    <x v="11"/>
    <x v="9"/>
    <x v="43"/>
    <x v="11"/>
    <x v="4"/>
    <n v="58.827728667999999"/>
  </r>
  <r>
    <x v="0"/>
    <x v="11"/>
    <x v="9"/>
    <x v="43"/>
    <x v="12"/>
    <x v="4"/>
    <n v="5.314868615"/>
  </r>
  <r>
    <x v="0"/>
    <x v="11"/>
    <x v="9"/>
    <x v="43"/>
    <x v="13"/>
    <x v="4"/>
    <n v="10.022363058"/>
  </r>
  <r>
    <x v="0"/>
    <x v="11"/>
    <x v="9"/>
    <x v="43"/>
    <x v="14"/>
    <x v="4"/>
    <n v="19.668505193000001"/>
  </r>
  <r>
    <x v="0"/>
    <x v="11"/>
    <x v="9"/>
    <x v="43"/>
    <x v="15"/>
    <x v="4"/>
    <n v="39.706324326999997"/>
  </r>
  <r>
    <x v="0"/>
    <x v="11"/>
    <x v="9"/>
    <x v="43"/>
    <x v="16"/>
    <x v="4"/>
    <n v="2.6167240239999998"/>
  </r>
  <r>
    <x v="0"/>
    <x v="11"/>
    <x v="9"/>
    <x v="43"/>
    <x v="17"/>
    <x v="4"/>
    <n v="0"/>
  </r>
  <r>
    <x v="0"/>
    <x v="11"/>
    <x v="9"/>
    <x v="43"/>
    <x v="18"/>
    <x v="4"/>
    <n v="3.0981245199999998"/>
  </r>
  <r>
    <x v="0"/>
    <x v="11"/>
    <x v="9"/>
    <x v="43"/>
    <x v="19"/>
    <x v="4"/>
    <n v="0.83155944999999998"/>
  </r>
  <r>
    <x v="0"/>
    <x v="11"/>
    <x v="9"/>
    <x v="43"/>
    <x v="20"/>
    <x v="4"/>
    <n v="0.82497308700000005"/>
  </r>
  <r>
    <x v="0"/>
    <x v="11"/>
    <x v="9"/>
    <x v="43"/>
    <x v="21"/>
    <x v="4"/>
    <n v="47.972618027999999"/>
  </r>
  <r>
    <x v="0"/>
    <x v="11"/>
    <x v="9"/>
    <x v="43"/>
    <x v="22"/>
    <x v="4"/>
    <n v="20.829888817000001"/>
  </r>
  <r>
    <x v="0"/>
    <x v="11"/>
    <x v="9"/>
    <x v="43"/>
    <x v="23"/>
    <x v="4"/>
    <n v="22.992993422000001"/>
  </r>
  <r>
    <x v="0"/>
    <x v="11"/>
    <x v="9"/>
    <x v="43"/>
    <x v="24"/>
    <x v="4"/>
    <n v="1.1050632309999999"/>
  </r>
  <r>
    <x v="0"/>
    <x v="11"/>
    <x v="9"/>
    <x v="43"/>
    <x v="25"/>
    <x v="4"/>
    <n v="1.0353819040000001"/>
  </r>
  <r>
    <x v="0"/>
    <x v="11"/>
    <x v="9"/>
    <x v="43"/>
    <x v="26"/>
    <x v="4"/>
    <n v="0"/>
  </r>
  <r>
    <x v="0"/>
    <x v="11"/>
    <x v="9"/>
    <x v="43"/>
    <x v="27"/>
    <x v="4"/>
    <n v="0"/>
  </r>
  <r>
    <x v="0"/>
    <x v="11"/>
    <x v="9"/>
    <x v="43"/>
    <x v="28"/>
    <x v="4"/>
    <n v="9.3318453750000003"/>
  </r>
  <r>
    <x v="0"/>
    <x v="11"/>
    <x v="9"/>
    <x v="43"/>
    <x v="29"/>
    <x v="4"/>
    <n v="8.3569424520000002"/>
  </r>
  <r>
    <x v="0"/>
    <x v="11"/>
    <x v="9"/>
    <x v="43"/>
    <x v="30"/>
    <x v="4"/>
    <n v="-0.35557578499999998"/>
  </r>
  <r>
    <x v="0"/>
    <x v="11"/>
    <x v="9"/>
    <x v="43"/>
    <x v="31"/>
    <x v="4"/>
    <n v="0"/>
  </r>
  <r>
    <x v="0"/>
    <x v="11"/>
    <x v="9"/>
    <x v="43"/>
    <x v="32"/>
    <x v="4"/>
    <n v="42.468551795000003"/>
  </r>
  <r>
    <x v="0"/>
    <x v="11"/>
    <x v="9"/>
    <x v="43"/>
    <x v="33"/>
    <x v="4"/>
    <n v="11.136750458"/>
  </r>
  <r>
    <x v="0"/>
    <x v="11"/>
    <x v="9"/>
    <x v="43"/>
    <x v="34"/>
    <x v="4"/>
    <n v="-24.928587605000001"/>
  </r>
  <r>
    <x v="0"/>
    <x v="11"/>
    <x v="9"/>
    <x v="43"/>
    <x v="35"/>
    <x v="4"/>
    <n v="28.425426830999999"/>
  </r>
  <r>
    <x v="0"/>
    <x v="11"/>
    <x v="9"/>
    <x v="43"/>
    <x v="36"/>
    <x v="4"/>
    <n v="54.790195910999998"/>
  </r>
  <r>
    <x v="0"/>
    <x v="11"/>
    <x v="9"/>
    <x v="43"/>
    <x v="37"/>
    <x v="4"/>
    <n v="288.17680775700001"/>
  </r>
  <r>
    <x v="0"/>
    <x v="11"/>
    <x v="9"/>
    <x v="43"/>
    <x v="38"/>
    <x v="4"/>
    <n v="0.47172915700000001"/>
  </r>
  <r>
    <x v="0"/>
    <x v="11"/>
    <x v="9"/>
    <x v="43"/>
    <x v="39"/>
    <x v="4"/>
    <n v="-0.188193464"/>
  </r>
  <r>
    <x v="0"/>
    <x v="11"/>
    <x v="9"/>
    <x v="43"/>
    <x v="40"/>
    <x v="4"/>
    <n v="-1.1427975319999999"/>
  </r>
  <r>
    <x v="0"/>
    <x v="11"/>
    <x v="9"/>
    <x v="43"/>
    <x v="41"/>
    <x v="4"/>
    <n v="-15.935182941000001"/>
  </r>
  <r>
    <x v="0"/>
    <x v="11"/>
    <x v="9"/>
    <x v="43"/>
    <x v="42"/>
    <x v="4"/>
    <n v="-32.905204867000002"/>
  </r>
  <r>
    <x v="0"/>
    <x v="11"/>
    <x v="9"/>
    <x v="43"/>
    <x v="43"/>
    <x v="4"/>
    <n v="-31.188965012000001"/>
  </r>
  <r>
    <x v="0"/>
    <x v="11"/>
    <x v="9"/>
    <x v="43"/>
    <x v="44"/>
    <x v="4"/>
    <n v="-2.3278732039999999"/>
  </r>
  <r>
    <x v="0"/>
    <x v="11"/>
    <x v="9"/>
    <x v="43"/>
    <x v="45"/>
    <x v="4"/>
    <n v="-2.1001627119999999"/>
  </r>
  <r>
    <x v="0"/>
    <x v="11"/>
    <x v="10"/>
    <x v="43"/>
    <x v="0"/>
    <x v="4"/>
    <n v="1.459455519"/>
  </r>
  <r>
    <x v="0"/>
    <x v="11"/>
    <x v="11"/>
    <x v="43"/>
    <x v="0"/>
    <x v="4"/>
    <n v="38.065337708000001"/>
  </r>
  <r>
    <x v="0"/>
    <x v="11"/>
    <x v="12"/>
    <x v="0"/>
    <x v="0"/>
    <x v="0"/>
    <n v="729.093264912"/>
  </r>
  <r>
    <x v="0"/>
    <x v="11"/>
    <x v="13"/>
    <x v="0"/>
    <x v="0"/>
    <x v="0"/>
    <n v="312.85200267099998"/>
  </r>
  <r>
    <x v="0"/>
    <x v="11"/>
    <x v="14"/>
    <x v="0"/>
    <x v="0"/>
    <x v="0"/>
    <n v="0.94580078300000003"/>
  </r>
  <r>
    <x v="0"/>
    <x v="11"/>
    <x v="15"/>
    <x v="0"/>
    <x v="0"/>
    <x v="1"/>
    <n v="9.4040138999999995E-2"/>
  </r>
  <r>
    <x v="0"/>
    <x v="11"/>
    <x v="16"/>
    <x v="0"/>
    <x v="0"/>
    <x v="1"/>
    <n v="0.10063174699999999"/>
  </r>
  <r>
    <x v="0"/>
    <x v="11"/>
    <x v="12"/>
    <x v="1"/>
    <x v="0"/>
    <x v="0"/>
    <n v="231.14119995900001"/>
  </r>
  <r>
    <x v="0"/>
    <x v="11"/>
    <x v="13"/>
    <x v="1"/>
    <x v="0"/>
    <x v="0"/>
    <n v="38.396246122000001"/>
  </r>
  <r>
    <x v="0"/>
    <x v="11"/>
    <x v="14"/>
    <x v="1"/>
    <x v="0"/>
    <x v="0"/>
    <n v="0.30996522100000001"/>
  </r>
  <r>
    <x v="0"/>
    <x v="11"/>
    <x v="15"/>
    <x v="1"/>
    <x v="0"/>
    <x v="1"/>
    <n v="5.3629023999999997E-2"/>
  </r>
  <r>
    <x v="0"/>
    <x v="11"/>
    <x v="16"/>
    <x v="1"/>
    <x v="0"/>
    <x v="1"/>
    <n v="5.4789073000000001E-2"/>
  </r>
  <r>
    <x v="0"/>
    <x v="11"/>
    <x v="12"/>
    <x v="2"/>
    <x v="0"/>
    <x v="0"/>
    <n v="294.96871415300001"/>
  </r>
  <r>
    <x v="0"/>
    <x v="11"/>
    <x v="13"/>
    <x v="2"/>
    <x v="0"/>
    <x v="0"/>
    <n v="100.79737840200001"/>
  </r>
  <r>
    <x v="0"/>
    <x v="11"/>
    <x v="14"/>
    <x v="2"/>
    <x v="0"/>
    <x v="0"/>
    <n v="2.4002579489999998"/>
  </r>
  <r>
    <x v="0"/>
    <x v="11"/>
    <x v="15"/>
    <x v="2"/>
    <x v="0"/>
    <x v="1"/>
    <n v="3.3073404000000001E-2"/>
  </r>
  <r>
    <x v="0"/>
    <x v="11"/>
    <x v="16"/>
    <x v="2"/>
    <x v="0"/>
    <x v="1"/>
    <n v="3.0751720999999999E-2"/>
  </r>
  <r>
    <x v="0"/>
    <x v="11"/>
    <x v="12"/>
    <x v="3"/>
    <x v="0"/>
    <x v="0"/>
    <n v="133.20412716999999"/>
  </r>
  <r>
    <x v="0"/>
    <x v="11"/>
    <x v="13"/>
    <x v="3"/>
    <x v="0"/>
    <x v="0"/>
    <n v="81.997895834999994"/>
  </r>
  <r>
    <x v="0"/>
    <x v="11"/>
    <x v="14"/>
    <x v="3"/>
    <x v="0"/>
    <x v="0"/>
    <n v="0.30272625399999997"/>
  </r>
  <r>
    <x v="0"/>
    <x v="11"/>
    <x v="15"/>
    <x v="3"/>
    <x v="0"/>
    <x v="1"/>
    <n v="4.1793842999999997E-2"/>
  </r>
  <r>
    <x v="0"/>
    <x v="11"/>
    <x v="16"/>
    <x v="3"/>
    <x v="0"/>
    <x v="1"/>
    <n v="4.2811356000000002E-2"/>
  </r>
  <r>
    <x v="0"/>
    <x v="11"/>
    <x v="12"/>
    <x v="4"/>
    <x v="0"/>
    <x v="0"/>
    <n v="61.154901697"/>
  </r>
  <r>
    <x v="0"/>
    <x v="11"/>
    <x v="13"/>
    <x v="4"/>
    <x v="0"/>
    <x v="0"/>
    <n v="6.9177779529999999"/>
  </r>
  <r>
    <x v="0"/>
    <x v="11"/>
    <x v="14"/>
    <x v="4"/>
    <x v="0"/>
    <x v="0"/>
    <n v="0.50017788100000005"/>
  </r>
  <r>
    <x v="0"/>
    <x v="11"/>
    <x v="15"/>
    <x v="4"/>
    <x v="0"/>
    <x v="1"/>
    <n v="4.8724141999999998E-2"/>
  </r>
  <r>
    <x v="0"/>
    <x v="11"/>
    <x v="16"/>
    <x v="4"/>
    <x v="0"/>
    <x v="1"/>
    <n v="4.9279617999999997E-2"/>
  </r>
  <r>
    <x v="0"/>
    <x v="11"/>
    <x v="12"/>
    <x v="5"/>
    <x v="0"/>
    <x v="0"/>
    <n v="586.74300822800001"/>
  </r>
  <r>
    <x v="0"/>
    <x v="11"/>
    <x v="13"/>
    <x v="5"/>
    <x v="0"/>
    <x v="0"/>
    <n v="159.815154315"/>
  </r>
  <r>
    <x v="0"/>
    <x v="11"/>
    <x v="14"/>
    <x v="5"/>
    <x v="0"/>
    <x v="0"/>
    <n v="4.9969389399999997"/>
  </r>
  <r>
    <x v="0"/>
    <x v="11"/>
    <x v="15"/>
    <x v="5"/>
    <x v="0"/>
    <x v="1"/>
    <n v="7.0694939999999998E-2"/>
  </r>
  <r>
    <x v="0"/>
    <x v="11"/>
    <x v="16"/>
    <x v="5"/>
    <x v="0"/>
    <x v="1"/>
    <n v="7.3333517000000001E-2"/>
  </r>
  <r>
    <x v="0"/>
    <x v="11"/>
    <x v="12"/>
    <x v="6"/>
    <x v="0"/>
    <x v="0"/>
    <n v="181.79822222499999"/>
  </r>
  <r>
    <x v="0"/>
    <x v="11"/>
    <x v="13"/>
    <x v="6"/>
    <x v="0"/>
    <x v="0"/>
    <n v="24.717048921"/>
  </r>
  <r>
    <x v="0"/>
    <x v="11"/>
    <x v="14"/>
    <x v="6"/>
    <x v="0"/>
    <x v="0"/>
    <n v="9.2770723929999992"/>
  </r>
  <r>
    <x v="0"/>
    <x v="11"/>
    <x v="15"/>
    <x v="6"/>
    <x v="0"/>
    <x v="1"/>
    <n v="6.4124867000000002E-2"/>
  </r>
  <r>
    <x v="0"/>
    <x v="11"/>
    <x v="16"/>
    <x v="6"/>
    <x v="0"/>
    <x v="1"/>
    <n v="6.5259587999999993E-2"/>
  </r>
  <r>
    <x v="0"/>
    <x v="11"/>
    <x v="12"/>
    <x v="7"/>
    <x v="0"/>
    <x v="0"/>
    <n v="100.241651354"/>
  </r>
  <r>
    <x v="0"/>
    <x v="11"/>
    <x v="13"/>
    <x v="7"/>
    <x v="0"/>
    <x v="0"/>
    <n v="39.531566722000001"/>
  </r>
  <r>
    <x v="0"/>
    <x v="11"/>
    <x v="14"/>
    <x v="7"/>
    <x v="0"/>
    <x v="0"/>
    <n v="19.252044220999998"/>
  </r>
  <r>
    <x v="0"/>
    <x v="11"/>
    <x v="15"/>
    <x v="7"/>
    <x v="0"/>
    <x v="1"/>
    <n v="6.5955318999999998E-2"/>
  </r>
  <r>
    <x v="0"/>
    <x v="11"/>
    <x v="16"/>
    <x v="7"/>
    <x v="0"/>
    <x v="1"/>
    <n v="6.9342843000000001E-2"/>
  </r>
  <r>
    <x v="0"/>
    <x v="11"/>
    <x v="12"/>
    <x v="8"/>
    <x v="0"/>
    <x v="0"/>
    <n v="80.510546782999995"/>
  </r>
  <r>
    <x v="0"/>
    <x v="11"/>
    <x v="13"/>
    <x v="8"/>
    <x v="0"/>
    <x v="0"/>
    <n v="10.860385382"/>
  </r>
  <r>
    <x v="0"/>
    <x v="11"/>
    <x v="14"/>
    <x v="8"/>
    <x v="0"/>
    <x v="0"/>
    <n v="7.39509507"/>
  </r>
  <r>
    <x v="0"/>
    <x v="11"/>
    <x v="15"/>
    <x v="8"/>
    <x v="0"/>
    <x v="1"/>
    <n v="5.9615201999999999E-2"/>
  </r>
  <r>
    <x v="0"/>
    <x v="11"/>
    <x v="16"/>
    <x v="8"/>
    <x v="0"/>
    <x v="1"/>
    <n v="6.0627792E-2"/>
  </r>
  <r>
    <x v="0"/>
    <x v="11"/>
    <x v="12"/>
    <x v="9"/>
    <x v="0"/>
    <x v="0"/>
    <n v="211.376198346"/>
  </r>
  <r>
    <x v="0"/>
    <x v="11"/>
    <x v="13"/>
    <x v="9"/>
    <x v="0"/>
    <x v="0"/>
    <n v="38.062997132"/>
  </r>
  <r>
    <x v="0"/>
    <x v="11"/>
    <x v="14"/>
    <x v="9"/>
    <x v="0"/>
    <x v="0"/>
    <n v="17.394095303"/>
  </r>
  <r>
    <x v="0"/>
    <x v="11"/>
    <x v="15"/>
    <x v="9"/>
    <x v="0"/>
    <x v="1"/>
    <n v="5.2585017999999997E-2"/>
  </r>
  <r>
    <x v="0"/>
    <x v="11"/>
    <x v="16"/>
    <x v="9"/>
    <x v="0"/>
    <x v="1"/>
    <n v="5.3599471000000003E-2"/>
  </r>
  <r>
    <x v="0"/>
    <x v="11"/>
    <x v="12"/>
    <x v="10"/>
    <x v="0"/>
    <x v="0"/>
    <n v="345.33819266500001"/>
  </r>
  <r>
    <x v="0"/>
    <x v="11"/>
    <x v="13"/>
    <x v="10"/>
    <x v="0"/>
    <x v="0"/>
    <n v="35.868049061999997"/>
  </r>
  <r>
    <x v="0"/>
    <x v="11"/>
    <x v="14"/>
    <x v="10"/>
    <x v="0"/>
    <x v="0"/>
    <n v="6.7690222560000004"/>
  </r>
  <r>
    <x v="0"/>
    <x v="11"/>
    <x v="15"/>
    <x v="10"/>
    <x v="0"/>
    <x v="1"/>
    <n v="3.7076047000000001E-2"/>
  </r>
  <r>
    <x v="0"/>
    <x v="11"/>
    <x v="16"/>
    <x v="10"/>
    <x v="0"/>
    <x v="1"/>
    <n v="3.6933760000000003E-2"/>
  </r>
  <r>
    <x v="0"/>
    <x v="11"/>
    <x v="12"/>
    <x v="11"/>
    <x v="0"/>
    <x v="0"/>
    <n v="885.012312114"/>
  </r>
  <r>
    <x v="0"/>
    <x v="11"/>
    <x v="13"/>
    <x v="11"/>
    <x v="0"/>
    <x v="0"/>
    <n v="204.739424052"/>
  </r>
  <r>
    <x v="0"/>
    <x v="11"/>
    <x v="14"/>
    <x v="11"/>
    <x v="0"/>
    <x v="0"/>
    <n v="37.213176101999998"/>
  </r>
  <r>
    <x v="0"/>
    <x v="11"/>
    <x v="15"/>
    <x v="11"/>
    <x v="0"/>
    <x v="1"/>
    <n v="4.5429316999999997E-2"/>
  </r>
  <r>
    <x v="0"/>
    <x v="11"/>
    <x v="16"/>
    <x v="11"/>
    <x v="0"/>
    <x v="1"/>
    <n v="4.6122486999999997E-2"/>
  </r>
  <r>
    <x v="0"/>
    <x v="11"/>
    <x v="12"/>
    <x v="12"/>
    <x v="0"/>
    <x v="0"/>
    <n v="239.137523235"/>
  </r>
  <r>
    <x v="0"/>
    <x v="11"/>
    <x v="13"/>
    <x v="12"/>
    <x v="0"/>
    <x v="0"/>
    <n v="8.0665910390000004"/>
  </r>
  <r>
    <x v="0"/>
    <x v="11"/>
    <x v="14"/>
    <x v="12"/>
    <x v="0"/>
    <x v="0"/>
    <n v="8.3392322379999992"/>
  </r>
  <r>
    <x v="0"/>
    <x v="11"/>
    <x v="15"/>
    <x v="12"/>
    <x v="0"/>
    <x v="1"/>
    <n v="4.6489438000000001E-2"/>
  </r>
  <r>
    <x v="0"/>
    <x v="11"/>
    <x v="16"/>
    <x v="12"/>
    <x v="0"/>
    <x v="1"/>
    <n v="4.6606694999999997E-2"/>
  </r>
  <r>
    <x v="0"/>
    <x v="11"/>
    <x v="12"/>
    <x v="13"/>
    <x v="0"/>
    <x v="0"/>
    <n v="669.84567485499997"/>
  </r>
  <r>
    <x v="0"/>
    <x v="11"/>
    <x v="13"/>
    <x v="13"/>
    <x v="0"/>
    <x v="0"/>
    <n v="79.795670979999997"/>
  </r>
  <r>
    <x v="0"/>
    <x v="11"/>
    <x v="14"/>
    <x v="13"/>
    <x v="0"/>
    <x v="0"/>
    <n v="20.974764537999999"/>
  </r>
  <r>
    <x v="0"/>
    <x v="11"/>
    <x v="15"/>
    <x v="13"/>
    <x v="0"/>
    <x v="1"/>
    <n v="3.7915469E-2"/>
  </r>
  <r>
    <x v="0"/>
    <x v="11"/>
    <x v="16"/>
    <x v="13"/>
    <x v="0"/>
    <x v="1"/>
    <n v="3.7815136999999999E-2"/>
  </r>
  <r>
    <x v="0"/>
    <x v="11"/>
    <x v="12"/>
    <x v="14"/>
    <x v="0"/>
    <x v="0"/>
    <n v="170.42175471199999"/>
  </r>
  <r>
    <x v="0"/>
    <x v="11"/>
    <x v="13"/>
    <x v="14"/>
    <x v="0"/>
    <x v="0"/>
    <n v="10.679271174"/>
  </r>
  <r>
    <x v="0"/>
    <x v="11"/>
    <x v="14"/>
    <x v="14"/>
    <x v="0"/>
    <x v="0"/>
    <n v="15.365352723000001"/>
  </r>
  <r>
    <x v="0"/>
    <x v="11"/>
    <x v="15"/>
    <x v="14"/>
    <x v="0"/>
    <x v="1"/>
    <n v="4.4366272999999998E-2"/>
  </r>
  <r>
    <x v="0"/>
    <x v="11"/>
    <x v="16"/>
    <x v="14"/>
    <x v="0"/>
    <x v="1"/>
    <n v="4.4522473999999999E-2"/>
  </r>
  <r>
    <x v="0"/>
    <x v="11"/>
    <x v="12"/>
    <x v="15"/>
    <x v="0"/>
    <x v="0"/>
    <n v="175.752890092"/>
  </r>
  <r>
    <x v="0"/>
    <x v="11"/>
    <x v="13"/>
    <x v="15"/>
    <x v="0"/>
    <x v="0"/>
    <n v="68.896656015999994"/>
  </r>
  <r>
    <x v="0"/>
    <x v="11"/>
    <x v="14"/>
    <x v="15"/>
    <x v="0"/>
    <x v="0"/>
    <n v="21.679244385000001"/>
  </r>
  <r>
    <x v="0"/>
    <x v="11"/>
    <x v="15"/>
    <x v="15"/>
    <x v="0"/>
    <x v="1"/>
    <n v="4.7207686999999998E-2"/>
  </r>
  <r>
    <x v="0"/>
    <x v="11"/>
    <x v="16"/>
    <x v="15"/>
    <x v="0"/>
    <x v="1"/>
    <n v="4.8671448999999999E-2"/>
  </r>
  <r>
    <x v="0"/>
    <x v="11"/>
    <x v="12"/>
    <x v="16"/>
    <x v="0"/>
    <x v="0"/>
    <n v="111.567229039"/>
  </r>
  <r>
    <x v="0"/>
    <x v="11"/>
    <x v="13"/>
    <x v="16"/>
    <x v="0"/>
    <x v="0"/>
    <n v="58.982471725000003"/>
  </r>
  <r>
    <x v="0"/>
    <x v="11"/>
    <x v="14"/>
    <x v="16"/>
    <x v="0"/>
    <x v="0"/>
    <n v="10.171706369000001"/>
  </r>
  <r>
    <x v="0"/>
    <x v="11"/>
    <x v="15"/>
    <x v="16"/>
    <x v="0"/>
    <x v="1"/>
    <n v="4.9123938999999998E-2"/>
  </r>
  <r>
    <x v="0"/>
    <x v="11"/>
    <x v="16"/>
    <x v="16"/>
    <x v="0"/>
    <x v="1"/>
    <n v="5.1451814999999998E-2"/>
  </r>
  <r>
    <x v="0"/>
    <x v="11"/>
    <x v="12"/>
    <x v="17"/>
    <x v="0"/>
    <x v="0"/>
    <n v="273.9134009"/>
  </r>
  <r>
    <x v="0"/>
    <x v="11"/>
    <x v="13"/>
    <x v="17"/>
    <x v="0"/>
    <x v="0"/>
    <n v="98.609199169999997"/>
  </r>
  <r>
    <x v="0"/>
    <x v="11"/>
    <x v="14"/>
    <x v="17"/>
    <x v="0"/>
    <x v="0"/>
    <n v="16.829542793000002"/>
  </r>
  <r>
    <x v="0"/>
    <x v="11"/>
    <x v="15"/>
    <x v="17"/>
    <x v="0"/>
    <x v="1"/>
    <n v="4.9445615999999998E-2"/>
  </r>
  <r>
    <x v="0"/>
    <x v="11"/>
    <x v="16"/>
    <x v="17"/>
    <x v="0"/>
    <x v="1"/>
    <n v="5.1063162000000002E-2"/>
  </r>
  <r>
    <x v="0"/>
    <x v="11"/>
    <x v="12"/>
    <x v="18"/>
    <x v="0"/>
    <x v="0"/>
    <n v="216.67138724"/>
  </r>
  <r>
    <x v="0"/>
    <x v="11"/>
    <x v="13"/>
    <x v="18"/>
    <x v="0"/>
    <x v="0"/>
    <n v="53.713655318999997"/>
  </r>
  <r>
    <x v="0"/>
    <x v="11"/>
    <x v="14"/>
    <x v="18"/>
    <x v="0"/>
    <x v="0"/>
    <n v="37.304005482999997"/>
  </r>
  <r>
    <x v="0"/>
    <x v="11"/>
    <x v="15"/>
    <x v="18"/>
    <x v="0"/>
    <x v="1"/>
    <n v="4.4712839999999997E-2"/>
  </r>
  <r>
    <x v="0"/>
    <x v="11"/>
    <x v="16"/>
    <x v="18"/>
    <x v="0"/>
    <x v="1"/>
    <n v="4.5364795999999999E-2"/>
  </r>
  <r>
    <x v="0"/>
    <x v="11"/>
    <x v="12"/>
    <x v="19"/>
    <x v="0"/>
    <x v="0"/>
    <n v="207.05726961900001"/>
  </r>
  <r>
    <x v="0"/>
    <x v="11"/>
    <x v="13"/>
    <x v="19"/>
    <x v="0"/>
    <x v="0"/>
    <n v="287.098589801"/>
  </r>
  <r>
    <x v="0"/>
    <x v="11"/>
    <x v="14"/>
    <x v="19"/>
    <x v="0"/>
    <x v="0"/>
    <n v="94.930059302999993"/>
  </r>
  <r>
    <x v="0"/>
    <x v="11"/>
    <x v="15"/>
    <x v="19"/>
    <x v="0"/>
    <x v="1"/>
    <n v="4.4913858000000001E-2"/>
  </r>
  <r>
    <x v="0"/>
    <x v="11"/>
    <x v="16"/>
    <x v="19"/>
    <x v="0"/>
    <x v="1"/>
    <n v="4.8795677000000003E-2"/>
  </r>
  <r>
    <x v="0"/>
    <x v="11"/>
    <x v="12"/>
    <x v="20"/>
    <x v="0"/>
    <x v="0"/>
    <n v="33.161133945000003"/>
  </r>
  <r>
    <x v="0"/>
    <x v="11"/>
    <x v="13"/>
    <x v="20"/>
    <x v="0"/>
    <x v="0"/>
    <n v="40.54485038"/>
  </r>
  <r>
    <x v="0"/>
    <x v="11"/>
    <x v="14"/>
    <x v="20"/>
    <x v="0"/>
    <x v="0"/>
    <n v="7.4724332809999998"/>
  </r>
  <r>
    <x v="0"/>
    <x v="11"/>
    <x v="15"/>
    <x v="20"/>
    <x v="0"/>
    <x v="1"/>
    <n v="4.3454011000000001E-2"/>
  </r>
  <r>
    <x v="0"/>
    <x v="11"/>
    <x v="16"/>
    <x v="20"/>
    <x v="0"/>
    <x v="1"/>
    <n v="4.6293317E-2"/>
  </r>
  <r>
    <x v="0"/>
    <x v="11"/>
    <x v="12"/>
    <x v="21"/>
    <x v="0"/>
    <x v="0"/>
    <n v="15.106847386"/>
  </r>
  <r>
    <x v="0"/>
    <x v="11"/>
    <x v="13"/>
    <x v="21"/>
    <x v="0"/>
    <x v="0"/>
    <n v="0.94056048800000003"/>
  </r>
  <r>
    <x v="0"/>
    <x v="11"/>
    <x v="14"/>
    <x v="21"/>
    <x v="0"/>
    <x v="0"/>
    <n v="1.3413916420000001"/>
  </r>
  <r>
    <x v="0"/>
    <x v="11"/>
    <x v="15"/>
    <x v="21"/>
    <x v="0"/>
    <x v="1"/>
    <n v="5.5576782999999998E-2"/>
  </r>
  <r>
    <x v="0"/>
    <x v="11"/>
    <x v="16"/>
    <x v="21"/>
    <x v="0"/>
    <x v="1"/>
    <n v="5.5975506000000001E-2"/>
  </r>
  <r>
    <x v="0"/>
    <x v="11"/>
    <x v="12"/>
    <x v="22"/>
    <x v="0"/>
    <x v="0"/>
    <n v="80.486410020999998"/>
  </r>
  <r>
    <x v="0"/>
    <x v="11"/>
    <x v="13"/>
    <x v="22"/>
    <x v="0"/>
    <x v="0"/>
    <n v="1.3346816699999999"/>
  </r>
  <r>
    <x v="0"/>
    <x v="11"/>
    <x v="14"/>
    <x v="22"/>
    <x v="0"/>
    <x v="0"/>
    <n v="4.6688498440000004"/>
  </r>
  <r>
    <x v="0"/>
    <x v="11"/>
    <x v="15"/>
    <x v="22"/>
    <x v="0"/>
    <x v="1"/>
    <n v="1.1075513E-2"/>
  </r>
  <r>
    <x v="0"/>
    <x v="11"/>
    <x v="16"/>
    <x v="22"/>
    <x v="0"/>
    <x v="1"/>
    <n v="9.3571929999999998E-3"/>
  </r>
  <r>
    <x v="0"/>
    <x v="11"/>
    <x v="12"/>
    <x v="23"/>
    <x v="0"/>
    <x v="0"/>
    <n v="7.5562569079999999"/>
  </r>
  <r>
    <x v="0"/>
    <x v="11"/>
    <x v="13"/>
    <x v="23"/>
    <x v="0"/>
    <x v="0"/>
    <n v="0"/>
  </r>
  <r>
    <x v="0"/>
    <x v="11"/>
    <x v="14"/>
    <x v="23"/>
    <x v="0"/>
    <x v="0"/>
    <n v="0"/>
  </r>
  <r>
    <x v="0"/>
    <x v="11"/>
    <x v="15"/>
    <x v="23"/>
    <x v="0"/>
    <x v="1"/>
    <n v="5.3261459999999997E-2"/>
  </r>
  <r>
    <x v="0"/>
    <x v="11"/>
    <x v="16"/>
    <x v="23"/>
    <x v="0"/>
    <x v="1"/>
    <n v="5.3261459999999997E-2"/>
  </r>
  <r>
    <x v="0"/>
    <x v="11"/>
    <x v="12"/>
    <x v="24"/>
    <x v="0"/>
    <x v="0"/>
    <n v="396.75201314700001"/>
  </r>
  <r>
    <x v="0"/>
    <x v="11"/>
    <x v="13"/>
    <x v="24"/>
    <x v="0"/>
    <x v="0"/>
    <n v="0.30852085099999998"/>
  </r>
  <r>
    <x v="0"/>
    <x v="11"/>
    <x v="14"/>
    <x v="24"/>
    <x v="0"/>
    <x v="0"/>
    <n v="0.36223866599999999"/>
  </r>
  <r>
    <x v="0"/>
    <x v="11"/>
    <x v="15"/>
    <x v="24"/>
    <x v="0"/>
    <x v="1"/>
    <n v="4.1106707999999999E-2"/>
  </r>
  <r>
    <x v="0"/>
    <x v="11"/>
    <x v="16"/>
    <x v="24"/>
    <x v="0"/>
    <x v="1"/>
    <n v="4.1107462999999997E-2"/>
  </r>
  <r>
    <x v="0"/>
    <x v="11"/>
    <x v="12"/>
    <x v="25"/>
    <x v="0"/>
    <x v="0"/>
    <n v="20.217140608000001"/>
  </r>
  <r>
    <x v="0"/>
    <x v="11"/>
    <x v="13"/>
    <x v="25"/>
    <x v="0"/>
    <x v="0"/>
    <n v="1.7599999999999999E-7"/>
  </r>
  <r>
    <x v="0"/>
    <x v="11"/>
    <x v="14"/>
    <x v="25"/>
    <x v="0"/>
    <x v="0"/>
    <n v="0"/>
  </r>
  <r>
    <x v="0"/>
    <x v="11"/>
    <x v="15"/>
    <x v="25"/>
    <x v="0"/>
    <x v="1"/>
    <n v="3.6933593000000001E-2"/>
  </r>
  <r>
    <x v="0"/>
    <x v="11"/>
    <x v="16"/>
    <x v="25"/>
    <x v="0"/>
    <x v="1"/>
    <n v="3.6933593000000001E-2"/>
  </r>
  <r>
    <x v="0"/>
    <x v="11"/>
    <x v="12"/>
    <x v="26"/>
    <x v="0"/>
    <x v="0"/>
    <n v="9.4284104020000008"/>
  </r>
  <r>
    <x v="0"/>
    <x v="11"/>
    <x v="13"/>
    <x v="26"/>
    <x v="0"/>
    <x v="0"/>
    <n v="0"/>
  </r>
  <r>
    <x v="0"/>
    <x v="11"/>
    <x v="14"/>
    <x v="26"/>
    <x v="0"/>
    <x v="0"/>
    <n v="0"/>
  </r>
  <r>
    <x v="0"/>
    <x v="11"/>
    <x v="15"/>
    <x v="26"/>
    <x v="0"/>
    <x v="1"/>
    <n v="5.3067397000000002E-2"/>
  </r>
  <r>
    <x v="0"/>
    <x v="11"/>
    <x v="16"/>
    <x v="26"/>
    <x v="0"/>
    <x v="1"/>
    <n v="5.3067397000000002E-2"/>
  </r>
  <r>
    <x v="0"/>
    <x v="11"/>
    <x v="12"/>
    <x v="27"/>
    <x v="0"/>
    <x v="0"/>
    <n v="448.12892844499999"/>
  </r>
  <r>
    <x v="0"/>
    <x v="11"/>
    <x v="13"/>
    <x v="27"/>
    <x v="0"/>
    <x v="0"/>
    <n v="5.016901635"/>
  </r>
  <r>
    <x v="0"/>
    <x v="11"/>
    <x v="14"/>
    <x v="27"/>
    <x v="0"/>
    <x v="0"/>
    <n v="1.6196647230000001"/>
  </r>
  <r>
    <x v="0"/>
    <x v="11"/>
    <x v="15"/>
    <x v="27"/>
    <x v="0"/>
    <x v="1"/>
    <n v="6.0588929E-2"/>
  </r>
  <r>
    <x v="0"/>
    <x v="11"/>
    <x v="16"/>
    <x v="27"/>
    <x v="0"/>
    <x v="1"/>
    <n v="6.0677913999999999E-2"/>
  </r>
  <r>
    <x v="0"/>
    <x v="11"/>
    <x v="12"/>
    <x v="28"/>
    <x v="0"/>
    <x v="0"/>
    <n v="528.01951034599995"/>
  </r>
  <r>
    <x v="0"/>
    <x v="11"/>
    <x v="13"/>
    <x v="28"/>
    <x v="0"/>
    <x v="0"/>
    <n v="0"/>
  </r>
  <r>
    <x v="0"/>
    <x v="11"/>
    <x v="14"/>
    <x v="28"/>
    <x v="0"/>
    <x v="0"/>
    <n v="66.101829258999999"/>
  </r>
  <r>
    <x v="0"/>
    <x v="11"/>
    <x v="15"/>
    <x v="28"/>
    <x v="0"/>
    <x v="1"/>
    <n v="4.2632098E-2"/>
  </r>
  <r>
    <x v="0"/>
    <x v="11"/>
    <x v="16"/>
    <x v="28"/>
    <x v="0"/>
    <x v="1"/>
    <n v="4.2632098E-2"/>
  </r>
  <r>
    <x v="0"/>
    <x v="11"/>
    <x v="12"/>
    <x v="29"/>
    <x v="0"/>
    <x v="0"/>
    <n v="490.27817453099999"/>
  </r>
  <r>
    <x v="0"/>
    <x v="11"/>
    <x v="13"/>
    <x v="29"/>
    <x v="0"/>
    <x v="0"/>
    <n v="58.080431599999997"/>
  </r>
  <r>
    <x v="0"/>
    <x v="11"/>
    <x v="14"/>
    <x v="29"/>
    <x v="0"/>
    <x v="0"/>
    <n v="22.834029499"/>
  </r>
  <r>
    <x v="0"/>
    <x v="11"/>
    <x v="15"/>
    <x v="29"/>
    <x v="0"/>
    <x v="1"/>
    <n v="4.7130665000000002E-2"/>
  </r>
  <r>
    <x v="0"/>
    <x v="11"/>
    <x v="16"/>
    <x v="29"/>
    <x v="0"/>
    <x v="1"/>
    <n v="4.7607861000000001E-2"/>
  </r>
  <r>
    <x v="0"/>
    <x v="11"/>
    <x v="12"/>
    <x v="30"/>
    <x v="0"/>
    <x v="0"/>
    <n v="118.498443878"/>
  </r>
  <r>
    <x v="0"/>
    <x v="11"/>
    <x v="13"/>
    <x v="30"/>
    <x v="0"/>
    <x v="0"/>
    <n v="36.847658891999998"/>
  </r>
  <r>
    <x v="0"/>
    <x v="11"/>
    <x v="14"/>
    <x v="30"/>
    <x v="0"/>
    <x v="0"/>
    <n v="0.88947133700000003"/>
  </r>
  <r>
    <x v="0"/>
    <x v="11"/>
    <x v="15"/>
    <x v="30"/>
    <x v="0"/>
    <x v="1"/>
    <n v="7.3025751E-2"/>
  </r>
  <r>
    <x v="0"/>
    <x v="11"/>
    <x v="16"/>
    <x v="30"/>
    <x v="0"/>
    <x v="1"/>
    <n v="7.6472332000000004E-2"/>
  </r>
  <r>
    <x v="0"/>
    <x v="11"/>
    <x v="12"/>
    <x v="31"/>
    <x v="0"/>
    <x v="0"/>
    <n v="178.27465266799999"/>
  </r>
  <r>
    <x v="0"/>
    <x v="11"/>
    <x v="13"/>
    <x v="31"/>
    <x v="0"/>
    <x v="0"/>
    <n v="8.1594990450000005"/>
  </r>
  <r>
    <x v="0"/>
    <x v="11"/>
    <x v="14"/>
    <x v="31"/>
    <x v="0"/>
    <x v="0"/>
    <n v="6.2392982049999999"/>
  </r>
  <r>
    <x v="0"/>
    <x v="11"/>
    <x v="15"/>
    <x v="31"/>
    <x v="0"/>
    <x v="1"/>
    <n v="3.8155750000000002E-2"/>
  </r>
  <r>
    <x v="0"/>
    <x v="11"/>
    <x v="16"/>
    <x v="31"/>
    <x v="0"/>
    <x v="1"/>
    <n v="3.8118850000000003E-2"/>
  </r>
  <r>
    <x v="0"/>
    <x v="11"/>
    <x v="12"/>
    <x v="32"/>
    <x v="0"/>
    <x v="0"/>
    <n v="626.32105264999996"/>
  </r>
  <r>
    <x v="0"/>
    <x v="11"/>
    <x v="13"/>
    <x v="32"/>
    <x v="0"/>
    <x v="0"/>
    <n v="4.5787897219999998"/>
  </r>
  <r>
    <x v="0"/>
    <x v="11"/>
    <x v="14"/>
    <x v="32"/>
    <x v="0"/>
    <x v="0"/>
    <n v="2.9772410370000002"/>
  </r>
  <r>
    <x v="0"/>
    <x v="11"/>
    <x v="15"/>
    <x v="32"/>
    <x v="0"/>
    <x v="1"/>
    <n v="3.7323796999999999E-2"/>
  </r>
  <r>
    <x v="0"/>
    <x v="11"/>
    <x v="16"/>
    <x v="32"/>
    <x v="0"/>
    <x v="1"/>
    <n v="3.7312708999999999E-2"/>
  </r>
  <r>
    <x v="0"/>
    <x v="11"/>
    <x v="12"/>
    <x v="33"/>
    <x v="0"/>
    <x v="0"/>
    <n v="567.90804207099995"/>
  </r>
  <r>
    <x v="0"/>
    <x v="11"/>
    <x v="13"/>
    <x v="33"/>
    <x v="0"/>
    <x v="0"/>
    <n v="0"/>
  </r>
  <r>
    <x v="0"/>
    <x v="11"/>
    <x v="14"/>
    <x v="33"/>
    <x v="0"/>
    <x v="0"/>
    <n v="0"/>
  </r>
  <r>
    <x v="0"/>
    <x v="11"/>
    <x v="15"/>
    <x v="33"/>
    <x v="0"/>
    <x v="1"/>
    <n v="2.2917856E-2"/>
  </r>
  <r>
    <x v="0"/>
    <x v="11"/>
    <x v="16"/>
    <x v="33"/>
    <x v="0"/>
    <x v="1"/>
    <n v="2.2917856E-2"/>
  </r>
  <r>
    <x v="0"/>
    <x v="11"/>
    <x v="12"/>
    <x v="34"/>
    <x v="0"/>
    <x v="0"/>
    <n v="288.85193755400002"/>
  </r>
  <r>
    <x v="0"/>
    <x v="11"/>
    <x v="13"/>
    <x v="34"/>
    <x v="0"/>
    <x v="0"/>
    <n v="60.705894135000001"/>
  </r>
  <r>
    <x v="0"/>
    <x v="11"/>
    <x v="14"/>
    <x v="34"/>
    <x v="0"/>
    <x v="0"/>
    <n v="14.643067529"/>
  </r>
  <r>
    <x v="0"/>
    <x v="11"/>
    <x v="15"/>
    <x v="34"/>
    <x v="0"/>
    <x v="1"/>
    <n v="5.0130018999999998E-2"/>
  </r>
  <r>
    <x v="0"/>
    <x v="11"/>
    <x v="16"/>
    <x v="34"/>
    <x v="0"/>
    <x v="1"/>
    <n v="5.120334E-2"/>
  </r>
  <r>
    <x v="0"/>
    <x v="11"/>
    <x v="12"/>
    <x v="35"/>
    <x v="0"/>
    <x v="0"/>
    <n v="236.55665858200001"/>
  </r>
  <r>
    <x v="0"/>
    <x v="11"/>
    <x v="13"/>
    <x v="35"/>
    <x v="0"/>
    <x v="0"/>
    <n v="6.3896854449999996"/>
  </r>
  <r>
    <x v="0"/>
    <x v="11"/>
    <x v="14"/>
    <x v="35"/>
    <x v="0"/>
    <x v="0"/>
    <n v="9.0656355999999994E-2"/>
  </r>
  <r>
    <x v="0"/>
    <x v="11"/>
    <x v="15"/>
    <x v="35"/>
    <x v="0"/>
    <x v="1"/>
    <n v="5.4104879000000002E-2"/>
  </r>
  <r>
    <x v="0"/>
    <x v="11"/>
    <x v="16"/>
    <x v="35"/>
    <x v="0"/>
    <x v="1"/>
    <n v="5.4282609000000002E-2"/>
  </r>
  <r>
    <x v="0"/>
    <x v="11"/>
    <x v="12"/>
    <x v="36"/>
    <x v="0"/>
    <x v="0"/>
    <n v="73.698107812999993"/>
  </r>
  <r>
    <x v="0"/>
    <x v="11"/>
    <x v="13"/>
    <x v="36"/>
    <x v="0"/>
    <x v="0"/>
    <n v="13.484341639"/>
  </r>
  <r>
    <x v="0"/>
    <x v="11"/>
    <x v="14"/>
    <x v="36"/>
    <x v="0"/>
    <x v="0"/>
    <n v="0.36949764299999999"/>
  </r>
  <r>
    <x v="0"/>
    <x v="11"/>
    <x v="15"/>
    <x v="36"/>
    <x v="0"/>
    <x v="1"/>
    <n v="6.1293302000000001E-2"/>
  </r>
  <r>
    <x v="0"/>
    <x v="11"/>
    <x v="16"/>
    <x v="36"/>
    <x v="0"/>
    <x v="1"/>
    <n v="6.2898362999999999E-2"/>
  </r>
  <r>
    <x v="0"/>
    <x v="11"/>
    <x v="12"/>
    <x v="37"/>
    <x v="0"/>
    <x v="0"/>
    <n v="85.500113724000002"/>
  </r>
  <r>
    <x v="0"/>
    <x v="11"/>
    <x v="13"/>
    <x v="37"/>
    <x v="0"/>
    <x v="0"/>
    <n v="3.2271730829999998"/>
  </r>
  <r>
    <x v="0"/>
    <x v="11"/>
    <x v="14"/>
    <x v="37"/>
    <x v="0"/>
    <x v="0"/>
    <n v="0.24188537199999999"/>
  </r>
  <r>
    <x v="0"/>
    <x v="11"/>
    <x v="15"/>
    <x v="37"/>
    <x v="0"/>
    <x v="1"/>
    <n v="6.7105169000000006E-2"/>
  </r>
  <r>
    <x v="0"/>
    <x v="11"/>
    <x v="16"/>
    <x v="37"/>
    <x v="0"/>
    <x v="1"/>
    <n v="6.7518572999999998E-2"/>
  </r>
  <r>
    <x v="0"/>
    <x v="11"/>
    <x v="12"/>
    <x v="38"/>
    <x v="0"/>
    <x v="0"/>
    <n v="255.640769672"/>
  </r>
  <r>
    <x v="0"/>
    <x v="11"/>
    <x v="13"/>
    <x v="38"/>
    <x v="0"/>
    <x v="0"/>
    <n v="14.469500047"/>
  </r>
  <r>
    <x v="0"/>
    <x v="11"/>
    <x v="14"/>
    <x v="38"/>
    <x v="0"/>
    <x v="0"/>
    <n v="8.1619458000000006E-2"/>
  </r>
  <r>
    <x v="0"/>
    <x v="11"/>
    <x v="15"/>
    <x v="38"/>
    <x v="0"/>
    <x v="1"/>
    <n v="9.7590836E-2"/>
  </r>
  <r>
    <x v="0"/>
    <x v="11"/>
    <x v="16"/>
    <x v="38"/>
    <x v="0"/>
    <x v="1"/>
    <n v="9.8630947999999996E-2"/>
  </r>
  <r>
    <x v="0"/>
    <x v="11"/>
    <x v="12"/>
    <x v="39"/>
    <x v="0"/>
    <x v="0"/>
    <n v="129.00912307499999"/>
  </r>
  <r>
    <x v="0"/>
    <x v="11"/>
    <x v="13"/>
    <x v="39"/>
    <x v="0"/>
    <x v="0"/>
    <n v="5.3904369430000001"/>
  </r>
  <r>
    <x v="0"/>
    <x v="11"/>
    <x v="14"/>
    <x v="39"/>
    <x v="0"/>
    <x v="0"/>
    <n v="7.9338166000000002E-2"/>
  </r>
  <r>
    <x v="0"/>
    <x v="11"/>
    <x v="15"/>
    <x v="39"/>
    <x v="0"/>
    <x v="1"/>
    <n v="7.9481601999999998E-2"/>
  </r>
  <r>
    <x v="0"/>
    <x v="11"/>
    <x v="16"/>
    <x v="39"/>
    <x v="0"/>
    <x v="1"/>
    <n v="8.0008389999999999E-2"/>
  </r>
  <r>
    <x v="0"/>
    <x v="11"/>
    <x v="12"/>
    <x v="40"/>
    <x v="0"/>
    <x v="0"/>
    <n v="51.347482225"/>
  </r>
  <r>
    <x v="0"/>
    <x v="11"/>
    <x v="13"/>
    <x v="40"/>
    <x v="0"/>
    <x v="0"/>
    <n v="33.880233568999998"/>
  </r>
  <r>
    <x v="0"/>
    <x v="11"/>
    <x v="14"/>
    <x v="40"/>
    <x v="0"/>
    <x v="0"/>
    <n v="1.673879503"/>
  </r>
  <r>
    <x v="0"/>
    <x v="11"/>
    <x v="15"/>
    <x v="40"/>
    <x v="0"/>
    <x v="1"/>
    <n v="5.5783689999999997E-2"/>
  </r>
  <r>
    <x v="0"/>
    <x v="11"/>
    <x v="16"/>
    <x v="40"/>
    <x v="0"/>
    <x v="1"/>
    <n v="6.0728875000000002E-2"/>
  </r>
  <r>
    <x v="0"/>
    <x v="11"/>
    <x v="12"/>
    <x v="41"/>
    <x v="0"/>
    <x v="0"/>
    <n v="555.69535700999995"/>
  </r>
  <r>
    <x v="0"/>
    <x v="11"/>
    <x v="13"/>
    <x v="41"/>
    <x v="0"/>
    <x v="0"/>
    <n v="11.777784586999999"/>
  </r>
  <r>
    <x v="0"/>
    <x v="11"/>
    <x v="14"/>
    <x v="41"/>
    <x v="0"/>
    <x v="0"/>
    <n v="0.14145155400000001"/>
  </r>
  <r>
    <x v="0"/>
    <x v="11"/>
    <x v="15"/>
    <x v="41"/>
    <x v="0"/>
    <x v="1"/>
    <n v="9.3681954999999997E-2"/>
  </r>
  <r>
    <x v="0"/>
    <x v="11"/>
    <x v="16"/>
    <x v="41"/>
    <x v="0"/>
    <x v="1"/>
    <n v="9.402576E-2"/>
  </r>
  <r>
    <x v="0"/>
    <x v="11"/>
    <x v="17"/>
    <x v="0"/>
    <x v="46"/>
    <x v="1"/>
    <n v="73.437299827000004"/>
  </r>
  <r>
    <x v="0"/>
    <x v="11"/>
    <x v="17"/>
    <x v="0"/>
    <x v="47"/>
    <x v="1"/>
    <n v="73.437299827000004"/>
  </r>
  <r>
    <x v="0"/>
    <x v="11"/>
    <x v="17"/>
    <x v="0"/>
    <x v="48"/>
    <x v="1"/>
    <n v="73.437299827000004"/>
  </r>
  <r>
    <x v="0"/>
    <x v="11"/>
    <x v="17"/>
    <x v="0"/>
    <x v="49"/>
    <x v="1"/>
    <n v="0"/>
  </r>
  <r>
    <x v="0"/>
    <x v="11"/>
    <x v="17"/>
    <x v="0"/>
    <x v="50"/>
    <x v="1"/>
    <n v="0"/>
  </r>
  <r>
    <x v="0"/>
    <x v="11"/>
    <x v="17"/>
    <x v="0"/>
    <x v="51"/>
    <x v="1"/>
    <n v="0"/>
  </r>
  <r>
    <x v="0"/>
    <x v="11"/>
    <x v="17"/>
    <x v="0"/>
    <x v="52"/>
    <x v="1"/>
    <n v="0"/>
  </r>
  <r>
    <x v="0"/>
    <x v="11"/>
    <x v="17"/>
    <x v="0"/>
    <x v="53"/>
    <x v="1"/>
    <n v="0"/>
  </r>
  <r>
    <x v="0"/>
    <x v="11"/>
    <x v="17"/>
    <x v="0"/>
    <x v="54"/>
    <x v="1"/>
    <n v="0"/>
  </r>
  <r>
    <x v="0"/>
    <x v="11"/>
    <x v="17"/>
    <x v="0"/>
    <x v="55"/>
    <x v="1"/>
    <n v="0"/>
  </r>
  <r>
    <x v="0"/>
    <x v="11"/>
    <x v="17"/>
    <x v="1"/>
    <x v="46"/>
    <x v="1"/>
    <n v="12.67938552"/>
  </r>
  <r>
    <x v="0"/>
    <x v="11"/>
    <x v="17"/>
    <x v="1"/>
    <x v="47"/>
    <x v="1"/>
    <n v="12.67938552"/>
  </r>
  <r>
    <x v="0"/>
    <x v="11"/>
    <x v="17"/>
    <x v="1"/>
    <x v="48"/>
    <x v="1"/>
    <n v="12.67938552"/>
  </r>
  <r>
    <x v="0"/>
    <x v="11"/>
    <x v="17"/>
    <x v="1"/>
    <x v="49"/>
    <x v="1"/>
    <n v="0"/>
  </r>
  <r>
    <x v="0"/>
    <x v="11"/>
    <x v="17"/>
    <x v="1"/>
    <x v="50"/>
    <x v="1"/>
    <n v="0"/>
  </r>
  <r>
    <x v="0"/>
    <x v="11"/>
    <x v="17"/>
    <x v="1"/>
    <x v="51"/>
    <x v="1"/>
    <n v="0"/>
  </r>
  <r>
    <x v="0"/>
    <x v="11"/>
    <x v="17"/>
    <x v="1"/>
    <x v="52"/>
    <x v="1"/>
    <n v="0"/>
  </r>
  <r>
    <x v="0"/>
    <x v="11"/>
    <x v="17"/>
    <x v="1"/>
    <x v="53"/>
    <x v="1"/>
    <n v="0"/>
  </r>
  <r>
    <x v="0"/>
    <x v="11"/>
    <x v="17"/>
    <x v="1"/>
    <x v="54"/>
    <x v="1"/>
    <n v="0"/>
  </r>
  <r>
    <x v="0"/>
    <x v="11"/>
    <x v="17"/>
    <x v="1"/>
    <x v="55"/>
    <x v="1"/>
    <n v="0"/>
  </r>
  <r>
    <x v="0"/>
    <x v="11"/>
    <x v="17"/>
    <x v="2"/>
    <x v="46"/>
    <x v="1"/>
    <n v="9.1530768560000002"/>
  </r>
  <r>
    <x v="0"/>
    <x v="11"/>
    <x v="17"/>
    <x v="2"/>
    <x v="47"/>
    <x v="1"/>
    <n v="9.1530768560000002"/>
  </r>
  <r>
    <x v="0"/>
    <x v="11"/>
    <x v="17"/>
    <x v="2"/>
    <x v="48"/>
    <x v="1"/>
    <n v="9.1530768560000002"/>
  </r>
  <r>
    <x v="0"/>
    <x v="11"/>
    <x v="17"/>
    <x v="2"/>
    <x v="49"/>
    <x v="1"/>
    <n v="0"/>
  </r>
  <r>
    <x v="0"/>
    <x v="11"/>
    <x v="17"/>
    <x v="2"/>
    <x v="50"/>
    <x v="1"/>
    <n v="0"/>
  </r>
  <r>
    <x v="0"/>
    <x v="11"/>
    <x v="17"/>
    <x v="2"/>
    <x v="51"/>
    <x v="1"/>
    <n v="0"/>
  </r>
  <r>
    <x v="0"/>
    <x v="11"/>
    <x v="17"/>
    <x v="2"/>
    <x v="52"/>
    <x v="1"/>
    <n v="0"/>
  </r>
  <r>
    <x v="0"/>
    <x v="11"/>
    <x v="17"/>
    <x v="2"/>
    <x v="53"/>
    <x v="1"/>
    <n v="0"/>
  </r>
  <r>
    <x v="0"/>
    <x v="11"/>
    <x v="17"/>
    <x v="2"/>
    <x v="54"/>
    <x v="1"/>
    <n v="0"/>
  </r>
  <r>
    <x v="0"/>
    <x v="11"/>
    <x v="17"/>
    <x v="2"/>
    <x v="55"/>
    <x v="1"/>
    <n v="0"/>
  </r>
  <r>
    <x v="0"/>
    <x v="11"/>
    <x v="17"/>
    <x v="3"/>
    <x v="46"/>
    <x v="1"/>
    <n v="5.7160823440000001"/>
  </r>
  <r>
    <x v="0"/>
    <x v="11"/>
    <x v="17"/>
    <x v="3"/>
    <x v="47"/>
    <x v="1"/>
    <n v="5.7160823440000001"/>
  </r>
  <r>
    <x v="0"/>
    <x v="11"/>
    <x v="17"/>
    <x v="3"/>
    <x v="48"/>
    <x v="1"/>
    <n v="5.7160823440000001"/>
  </r>
  <r>
    <x v="0"/>
    <x v="11"/>
    <x v="17"/>
    <x v="3"/>
    <x v="49"/>
    <x v="1"/>
    <n v="0"/>
  </r>
  <r>
    <x v="0"/>
    <x v="11"/>
    <x v="17"/>
    <x v="3"/>
    <x v="50"/>
    <x v="1"/>
    <n v="0"/>
  </r>
  <r>
    <x v="0"/>
    <x v="11"/>
    <x v="17"/>
    <x v="3"/>
    <x v="51"/>
    <x v="1"/>
    <n v="0"/>
  </r>
  <r>
    <x v="0"/>
    <x v="11"/>
    <x v="17"/>
    <x v="3"/>
    <x v="52"/>
    <x v="1"/>
    <n v="0"/>
  </r>
  <r>
    <x v="0"/>
    <x v="11"/>
    <x v="17"/>
    <x v="3"/>
    <x v="53"/>
    <x v="1"/>
    <n v="0"/>
  </r>
  <r>
    <x v="0"/>
    <x v="11"/>
    <x v="17"/>
    <x v="3"/>
    <x v="54"/>
    <x v="1"/>
    <n v="0"/>
  </r>
  <r>
    <x v="0"/>
    <x v="11"/>
    <x v="17"/>
    <x v="3"/>
    <x v="55"/>
    <x v="1"/>
    <n v="0"/>
  </r>
  <r>
    <x v="0"/>
    <x v="11"/>
    <x v="17"/>
    <x v="4"/>
    <x v="46"/>
    <x v="1"/>
    <n v="3.037085093"/>
  </r>
  <r>
    <x v="0"/>
    <x v="11"/>
    <x v="17"/>
    <x v="4"/>
    <x v="47"/>
    <x v="1"/>
    <n v="3.037085093"/>
  </r>
  <r>
    <x v="0"/>
    <x v="11"/>
    <x v="17"/>
    <x v="4"/>
    <x v="48"/>
    <x v="1"/>
    <n v="3.037085093"/>
  </r>
  <r>
    <x v="0"/>
    <x v="11"/>
    <x v="17"/>
    <x v="4"/>
    <x v="49"/>
    <x v="1"/>
    <n v="0"/>
  </r>
  <r>
    <x v="0"/>
    <x v="11"/>
    <x v="17"/>
    <x v="4"/>
    <x v="50"/>
    <x v="1"/>
    <n v="0"/>
  </r>
  <r>
    <x v="0"/>
    <x v="11"/>
    <x v="17"/>
    <x v="4"/>
    <x v="51"/>
    <x v="1"/>
    <n v="0"/>
  </r>
  <r>
    <x v="0"/>
    <x v="11"/>
    <x v="17"/>
    <x v="4"/>
    <x v="52"/>
    <x v="1"/>
    <n v="0"/>
  </r>
  <r>
    <x v="0"/>
    <x v="11"/>
    <x v="17"/>
    <x v="4"/>
    <x v="53"/>
    <x v="1"/>
    <n v="0"/>
  </r>
  <r>
    <x v="0"/>
    <x v="11"/>
    <x v="17"/>
    <x v="4"/>
    <x v="54"/>
    <x v="1"/>
    <n v="0"/>
  </r>
  <r>
    <x v="0"/>
    <x v="11"/>
    <x v="17"/>
    <x v="4"/>
    <x v="55"/>
    <x v="1"/>
    <n v="0"/>
  </r>
  <r>
    <x v="0"/>
    <x v="11"/>
    <x v="17"/>
    <x v="5"/>
    <x v="46"/>
    <x v="1"/>
    <n v="43.318486243000002"/>
  </r>
  <r>
    <x v="0"/>
    <x v="11"/>
    <x v="17"/>
    <x v="5"/>
    <x v="47"/>
    <x v="1"/>
    <n v="43.318486243000002"/>
  </r>
  <r>
    <x v="0"/>
    <x v="11"/>
    <x v="17"/>
    <x v="5"/>
    <x v="48"/>
    <x v="1"/>
    <n v="43.318486243000002"/>
  </r>
  <r>
    <x v="0"/>
    <x v="11"/>
    <x v="17"/>
    <x v="5"/>
    <x v="49"/>
    <x v="1"/>
    <n v="0"/>
  </r>
  <r>
    <x v="0"/>
    <x v="11"/>
    <x v="17"/>
    <x v="5"/>
    <x v="50"/>
    <x v="1"/>
    <n v="0"/>
  </r>
  <r>
    <x v="0"/>
    <x v="11"/>
    <x v="17"/>
    <x v="5"/>
    <x v="51"/>
    <x v="1"/>
    <n v="0"/>
  </r>
  <r>
    <x v="0"/>
    <x v="11"/>
    <x v="17"/>
    <x v="5"/>
    <x v="52"/>
    <x v="1"/>
    <n v="0"/>
  </r>
  <r>
    <x v="0"/>
    <x v="11"/>
    <x v="17"/>
    <x v="5"/>
    <x v="53"/>
    <x v="1"/>
    <n v="0"/>
  </r>
  <r>
    <x v="0"/>
    <x v="11"/>
    <x v="17"/>
    <x v="5"/>
    <x v="54"/>
    <x v="1"/>
    <n v="0"/>
  </r>
  <r>
    <x v="0"/>
    <x v="11"/>
    <x v="17"/>
    <x v="5"/>
    <x v="55"/>
    <x v="1"/>
    <n v="0"/>
  </r>
  <r>
    <x v="0"/>
    <x v="11"/>
    <x v="17"/>
    <x v="6"/>
    <x v="46"/>
    <x v="1"/>
    <n v="12.397144554"/>
  </r>
  <r>
    <x v="0"/>
    <x v="11"/>
    <x v="17"/>
    <x v="6"/>
    <x v="47"/>
    <x v="1"/>
    <n v="12.397144554"/>
  </r>
  <r>
    <x v="0"/>
    <x v="11"/>
    <x v="17"/>
    <x v="6"/>
    <x v="48"/>
    <x v="1"/>
    <n v="12.397144554"/>
  </r>
  <r>
    <x v="0"/>
    <x v="11"/>
    <x v="17"/>
    <x v="6"/>
    <x v="49"/>
    <x v="1"/>
    <n v="0"/>
  </r>
  <r>
    <x v="0"/>
    <x v="11"/>
    <x v="17"/>
    <x v="6"/>
    <x v="50"/>
    <x v="1"/>
    <n v="0"/>
  </r>
  <r>
    <x v="0"/>
    <x v="11"/>
    <x v="17"/>
    <x v="6"/>
    <x v="51"/>
    <x v="1"/>
    <n v="0"/>
  </r>
  <r>
    <x v="0"/>
    <x v="11"/>
    <x v="17"/>
    <x v="6"/>
    <x v="52"/>
    <x v="1"/>
    <n v="0"/>
  </r>
  <r>
    <x v="0"/>
    <x v="11"/>
    <x v="17"/>
    <x v="6"/>
    <x v="53"/>
    <x v="1"/>
    <n v="0"/>
  </r>
  <r>
    <x v="0"/>
    <x v="11"/>
    <x v="17"/>
    <x v="6"/>
    <x v="54"/>
    <x v="1"/>
    <n v="0"/>
  </r>
  <r>
    <x v="0"/>
    <x v="11"/>
    <x v="17"/>
    <x v="6"/>
    <x v="55"/>
    <x v="1"/>
    <n v="0"/>
  </r>
  <r>
    <x v="0"/>
    <x v="11"/>
    <x v="17"/>
    <x v="7"/>
    <x v="46"/>
    <x v="1"/>
    <n v="8.0647203229999995"/>
  </r>
  <r>
    <x v="0"/>
    <x v="11"/>
    <x v="17"/>
    <x v="7"/>
    <x v="47"/>
    <x v="1"/>
    <n v="8.0647203229999995"/>
  </r>
  <r>
    <x v="0"/>
    <x v="11"/>
    <x v="17"/>
    <x v="7"/>
    <x v="48"/>
    <x v="1"/>
    <n v="8.0647203229999995"/>
  </r>
  <r>
    <x v="0"/>
    <x v="11"/>
    <x v="17"/>
    <x v="7"/>
    <x v="49"/>
    <x v="1"/>
    <n v="0"/>
  </r>
  <r>
    <x v="0"/>
    <x v="11"/>
    <x v="17"/>
    <x v="7"/>
    <x v="50"/>
    <x v="1"/>
    <n v="0"/>
  </r>
  <r>
    <x v="0"/>
    <x v="11"/>
    <x v="17"/>
    <x v="7"/>
    <x v="51"/>
    <x v="1"/>
    <n v="0"/>
  </r>
  <r>
    <x v="0"/>
    <x v="11"/>
    <x v="17"/>
    <x v="7"/>
    <x v="52"/>
    <x v="1"/>
    <n v="0"/>
  </r>
  <r>
    <x v="0"/>
    <x v="11"/>
    <x v="17"/>
    <x v="7"/>
    <x v="53"/>
    <x v="1"/>
    <n v="0"/>
  </r>
  <r>
    <x v="0"/>
    <x v="11"/>
    <x v="17"/>
    <x v="7"/>
    <x v="54"/>
    <x v="1"/>
    <n v="0"/>
  </r>
  <r>
    <x v="0"/>
    <x v="11"/>
    <x v="17"/>
    <x v="7"/>
    <x v="55"/>
    <x v="1"/>
    <n v="0"/>
  </r>
  <r>
    <x v="0"/>
    <x v="11"/>
    <x v="17"/>
    <x v="8"/>
    <x v="46"/>
    <x v="1"/>
    <n v="5.2907436099999998"/>
  </r>
  <r>
    <x v="0"/>
    <x v="11"/>
    <x v="17"/>
    <x v="8"/>
    <x v="47"/>
    <x v="1"/>
    <n v="5.2907436099999998"/>
  </r>
  <r>
    <x v="0"/>
    <x v="11"/>
    <x v="17"/>
    <x v="8"/>
    <x v="48"/>
    <x v="1"/>
    <n v="5.2907436099999998"/>
  </r>
  <r>
    <x v="0"/>
    <x v="11"/>
    <x v="17"/>
    <x v="8"/>
    <x v="49"/>
    <x v="1"/>
    <n v="0"/>
  </r>
  <r>
    <x v="0"/>
    <x v="11"/>
    <x v="17"/>
    <x v="8"/>
    <x v="50"/>
    <x v="1"/>
    <n v="0"/>
  </r>
  <r>
    <x v="0"/>
    <x v="11"/>
    <x v="17"/>
    <x v="8"/>
    <x v="51"/>
    <x v="1"/>
    <n v="0"/>
  </r>
  <r>
    <x v="0"/>
    <x v="11"/>
    <x v="17"/>
    <x v="8"/>
    <x v="52"/>
    <x v="1"/>
    <n v="0"/>
  </r>
  <r>
    <x v="0"/>
    <x v="11"/>
    <x v="17"/>
    <x v="8"/>
    <x v="53"/>
    <x v="1"/>
    <n v="0"/>
  </r>
  <r>
    <x v="0"/>
    <x v="11"/>
    <x v="17"/>
    <x v="8"/>
    <x v="54"/>
    <x v="1"/>
    <n v="0"/>
  </r>
  <r>
    <x v="0"/>
    <x v="11"/>
    <x v="17"/>
    <x v="8"/>
    <x v="55"/>
    <x v="1"/>
    <n v="0"/>
  </r>
  <r>
    <x v="0"/>
    <x v="11"/>
    <x v="17"/>
    <x v="9"/>
    <x v="46"/>
    <x v="1"/>
    <n v="12.171570540999999"/>
  </r>
  <r>
    <x v="0"/>
    <x v="11"/>
    <x v="17"/>
    <x v="9"/>
    <x v="47"/>
    <x v="1"/>
    <n v="12.171570540999999"/>
  </r>
  <r>
    <x v="0"/>
    <x v="11"/>
    <x v="17"/>
    <x v="9"/>
    <x v="48"/>
    <x v="1"/>
    <n v="12.171570540999999"/>
  </r>
  <r>
    <x v="0"/>
    <x v="11"/>
    <x v="17"/>
    <x v="9"/>
    <x v="49"/>
    <x v="1"/>
    <n v="0"/>
  </r>
  <r>
    <x v="0"/>
    <x v="11"/>
    <x v="17"/>
    <x v="9"/>
    <x v="50"/>
    <x v="1"/>
    <n v="0"/>
  </r>
  <r>
    <x v="0"/>
    <x v="11"/>
    <x v="17"/>
    <x v="9"/>
    <x v="51"/>
    <x v="1"/>
    <n v="0"/>
  </r>
  <r>
    <x v="0"/>
    <x v="11"/>
    <x v="17"/>
    <x v="9"/>
    <x v="52"/>
    <x v="1"/>
    <n v="0"/>
  </r>
  <r>
    <x v="0"/>
    <x v="11"/>
    <x v="17"/>
    <x v="9"/>
    <x v="53"/>
    <x v="1"/>
    <n v="0"/>
  </r>
  <r>
    <x v="0"/>
    <x v="11"/>
    <x v="17"/>
    <x v="9"/>
    <x v="54"/>
    <x v="1"/>
    <n v="0"/>
  </r>
  <r>
    <x v="0"/>
    <x v="11"/>
    <x v="17"/>
    <x v="9"/>
    <x v="55"/>
    <x v="1"/>
    <n v="0"/>
  </r>
  <r>
    <x v="0"/>
    <x v="11"/>
    <x v="17"/>
    <x v="10"/>
    <x v="46"/>
    <x v="1"/>
    <n v="13.019691238"/>
  </r>
  <r>
    <x v="0"/>
    <x v="11"/>
    <x v="17"/>
    <x v="10"/>
    <x v="47"/>
    <x v="1"/>
    <n v="13.019691238"/>
  </r>
  <r>
    <x v="0"/>
    <x v="11"/>
    <x v="17"/>
    <x v="10"/>
    <x v="48"/>
    <x v="1"/>
    <n v="13.019691238"/>
  </r>
  <r>
    <x v="0"/>
    <x v="11"/>
    <x v="17"/>
    <x v="10"/>
    <x v="49"/>
    <x v="1"/>
    <n v="0"/>
  </r>
  <r>
    <x v="0"/>
    <x v="11"/>
    <x v="17"/>
    <x v="10"/>
    <x v="50"/>
    <x v="1"/>
    <n v="0"/>
  </r>
  <r>
    <x v="0"/>
    <x v="11"/>
    <x v="17"/>
    <x v="10"/>
    <x v="51"/>
    <x v="1"/>
    <n v="0"/>
  </r>
  <r>
    <x v="0"/>
    <x v="11"/>
    <x v="17"/>
    <x v="10"/>
    <x v="52"/>
    <x v="1"/>
    <n v="0"/>
  </r>
  <r>
    <x v="0"/>
    <x v="11"/>
    <x v="17"/>
    <x v="10"/>
    <x v="53"/>
    <x v="1"/>
    <n v="0"/>
  </r>
  <r>
    <x v="0"/>
    <x v="11"/>
    <x v="17"/>
    <x v="10"/>
    <x v="54"/>
    <x v="1"/>
    <n v="0"/>
  </r>
  <r>
    <x v="0"/>
    <x v="11"/>
    <x v="17"/>
    <x v="10"/>
    <x v="55"/>
    <x v="1"/>
    <n v="0"/>
  </r>
  <r>
    <x v="0"/>
    <x v="11"/>
    <x v="17"/>
    <x v="11"/>
    <x v="46"/>
    <x v="1"/>
    <n v="42.506679261999999"/>
  </r>
  <r>
    <x v="0"/>
    <x v="11"/>
    <x v="17"/>
    <x v="11"/>
    <x v="47"/>
    <x v="1"/>
    <n v="42.506679261999999"/>
  </r>
  <r>
    <x v="0"/>
    <x v="11"/>
    <x v="17"/>
    <x v="11"/>
    <x v="48"/>
    <x v="1"/>
    <n v="42.506679261999999"/>
  </r>
  <r>
    <x v="0"/>
    <x v="11"/>
    <x v="17"/>
    <x v="11"/>
    <x v="49"/>
    <x v="1"/>
    <n v="0"/>
  </r>
  <r>
    <x v="0"/>
    <x v="11"/>
    <x v="17"/>
    <x v="11"/>
    <x v="50"/>
    <x v="1"/>
    <n v="0"/>
  </r>
  <r>
    <x v="0"/>
    <x v="11"/>
    <x v="17"/>
    <x v="11"/>
    <x v="51"/>
    <x v="1"/>
    <n v="0"/>
  </r>
  <r>
    <x v="0"/>
    <x v="11"/>
    <x v="17"/>
    <x v="11"/>
    <x v="52"/>
    <x v="1"/>
    <n v="0"/>
  </r>
  <r>
    <x v="0"/>
    <x v="11"/>
    <x v="17"/>
    <x v="11"/>
    <x v="53"/>
    <x v="1"/>
    <n v="0"/>
  </r>
  <r>
    <x v="0"/>
    <x v="11"/>
    <x v="17"/>
    <x v="11"/>
    <x v="54"/>
    <x v="1"/>
    <n v="0"/>
  </r>
  <r>
    <x v="0"/>
    <x v="11"/>
    <x v="17"/>
    <x v="11"/>
    <x v="55"/>
    <x v="1"/>
    <n v="0"/>
  </r>
  <r>
    <x v="0"/>
    <x v="11"/>
    <x v="17"/>
    <x v="12"/>
    <x v="46"/>
    <x v="1"/>
    <n v="11.547867996000001"/>
  </r>
  <r>
    <x v="0"/>
    <x v="11"/>
    <x v="17"/>
    <x v="12"/>
    <x v="47"/>
    <x v="1"/>
    <n v="11.547867996000001"/>
  </r>
  <r>
    <x v="0"/>
    <x v="11"/>
    <x v="17"/>
    <x v="12"/>
    <x v="48"/>
    <x v="1"/>
    <n v="11.547867996000001"/>
  </r>
  <r>
    <x v="0"/>
    <x v="11"/>
    <x v="17"/>
    <x v="12"/>
    <x v="49"/>
    <x v="1"/>
    <n v="0"/>
  </r>
  <r>
    <x v="0"/>
    <x v="11"/>
    <x v="17"/>
    <x v="12"/>
    <x v="50"/>
    <x v="1"/>
    <n v="0"/>
  </r>
  <r>
    <x v="0"/>
    <x v="11"/>
    <x v="17"/>
    <x v="12"/>
    <x v="51"/>
    <x v="1"/>
    <n v="0"/>
  </r>
  <r>
    <x v="0"/>
    <x v="11"/>
    <x v="17"/>
    <x v="12"/>
    <x v="52"/>
    <x v="1"/>
    <n v="0"/>
  </r>
  <r>
    <x v="0"/>
    <x v="11"/>
    <x v="17"/>
    <x v="12"/>
    <x v="53"/>
    <x v="1"/>
    <n v="0"/>
  </r>
  <r>
    <x v="0"/>
    <x v="11"/>
    <x v="17"/>
    <x v="12"/>
    <x v="54"/>
    <x v="1"/>
    <n v="0"/>
  </r>
  <r>
    <x v="0"/>
    <x v="11"/>
    <x v="17"/>
    <x v="12"/>
    <x v="55"/>
    <x v="1"/>
    <n v="0"/>
  </r>
  <r>
    <x v="0"/>
    <x v="11"/>
    <x v="17"/>
    <x v="13"/>
    <x v="46"/>
    <x v="1"/>
    <n v="26.209246947"/>
  </r>
  <r>
    <x v="0"/>
    <x v="11"/>
    <x v="17"/>
    <x v="13"/>
    <x v="47"/>
    <x v="1"/>
    <n v="26.209246947"/>
  </r>
  <r>
    <x v="0"/>
    <x v="11"/>
    <x v="17"/>
    <x v="13"/>
    <x v="48"/>
    <x v="1"/>
    <n v="26.209246947"/>
  </r>
  <r>
    <x v="0"/>
    <x v="11"/>
    <x v="17"/>
    <x v="13"/>
    <x v="49"/>
    <x v="1"/>
    <n v="0"/>
  </r>
  <r>
    <x v="0"/>
    <x v="11"/>
    <x v="17"/>
    <x v="13"/>
    <x v="50"/>
    <x v="1"/>
    <n v="0"/>
  </r>
  <r>
    <x v="0"/>
    <x v="11"/>
    <x v="17"/>
    <x v="13"/>
    <x v="51"/>
    <x v="1"/>
    <n v="0"/>
  </r>
  <r>
    <x v="0"/>
    <x v="11"/>
    <x v="17"/>
    <x v="13"/>
    <x v="52"/>
    <x v="1"/>
    <n v="0"/>
  </r>
  <r>
    <x v="0"/>
    <x v="11"/>
    <x v="17"/>
    <x v="13"/>
    <x v="53"/>
    <x v="1"/>
    <n v="0"/>
  </r>
  <r>
    <x v="0"/>
    <x v="11"/>
    <x v="17"/>
    <x v="13"/>
    <x v="54"/>
    <x v="1"/>
    <n v="0"/>
  </r>
  <r>
    <x v="0"/>
    <x v="11"/>
    <x v="17"/>
    <x v="13"/>
    <x v="55"/>
    <x v="1"/>
    <n v="0"/>
  </r>
  <r>
    <x v="0"/>
    <x v="11"/>
    <x v="17"/>
    <x v="14"/>
    <x v="46"/>
    <x v="1"/>
    <n v="8.2895398409999999"/>
  </r>
  <r>
    <x v="0"/>
    <x v="11"/>
    <x v="17"/>
    <x v="14"/>
    <x v="47"/>
    <x v="1"/>
    <n v="8.2895398409999999"/>
  </r>
  <r>
    <x v="0"/>
    <x v="11"/>
    <x v="17"/>
    <x v="14"/>
    <x v="48"/>
    <x v="1"/>
    <n v="8.2895398409999999"/>
  </r>
  <r>
    <x v="0"/>
    <x v="11"/>
    <x v="17"/>
    <x v="14"/>
    <x v="49"/>
    <x v="1"/>
    <n v="0"/>
  </r>
  <r>
    <x v="0"/>
    <x v="11"/>
    <x v="17"/>
    <x v="14"/>
    <x v="50"/>
    <x v="1"/>
    <n v="0"/>
  </r>
  <r>
    <x v="0"/>
    <x v="11"/>
    <x v="17"/>
    <x v="14"/>
    <x v="51"/>
    <x v="1"/>
    <n v="0"/>
  </r>
  <r>
    <x v="0"/>
    <x v="11"/>
    <x v="17"/>
    <x v="14"/>
    <x v="52"/>
    <x v="1"/>
    <n v="0"/>
  </r>
  <r>
    <x v="0"/>
    <x v="11"/>
    <x v="17"/>
    <x v="14"/>
    <x v="53"/>
    <x v="1"/>
    <n v="0"/>
  </r>
  <r>
    <x v="0"/>
    <x v="11"/>
    <x v="17"/>
    <x v="14"/>
    <x v="54"/>
    <x v="1"/>
    <n v="0"/>
  </r>
  <r>
    <x v="0"/>
    <x v="11"/>
    <x v="17"/>
    <x v="14"/>
    <x v="55"/>
    <x v="1"/>
    <n v="0"/>
  </r>
  <r>
    <x v="0"/>
    <x v="11"/>
    <x v="17"/>
    <x v="15"/>
    <x v="46"/>
    <x v="1"/>
    <n v="9.6125170799999999"/>
  </r>
  <r>
    <x v="0"/>
    <x v="11"/>
    <x v="17"/>
    <x v="15"/>
    <x v="47"/>
    <x v="1"/>
    <n v="9.6125170799999999"/>
  </r>
  <r>
    <x v="0"/>
    <x v="11"/>
    <x v="17"/>
    <x v="15"/>
    <x v="48"/>
    <x v="1"/>
    <n v="9.6125170799999999"/>
  </r>
  <r>
    <x v="0"/>
    <x v="11"/>
    <x v="17"/>
    <x v="15"/>
    <x v="49"/>
    <x v="1"/>
    <n v="0"/>
  </r>
  <r>
    <x v="0"/>
    <x v="11"/>
    <x v="17"/>
    <x v="15"/>
    <x v="50"/>
    <x v="1"/>
    <n v="0"/>
  </r>
  <r>
    <x v="0"/>
    <x v="11"/>
    <x v="17"/>
    <x v="15"/>
    <x v="51"/>
    <x v="1"/>
    <n v="0"/>
  </r>
  <r>
    <x v="0"/>
    <x v="11"/>
    <x v="17"/>
    <x v="15"/>
    <x v="52"/>
    <x v="1"/>
    <n v="0"/>
  </r>
  <r>
    <x v="0"/>
    <x v="11"/>
    <x v="17"/>
    <x v="15"/>
    <x v="53"/>
    <x v="1"/>
    <n v="0"/>
  </r>
  <r>
    <x v="0"/>
    <x v="11"/>
    <x v="17"/>
    <x v="15"/>
    <x v="54"/>
    <x v="1"/>
    <n v="0"/>
  </r>
  <r>
    <x v="0"/>
    <x v="11"/>
    <x v="17"/>
    <x v="15"/>
    <x v="55"/>
    <x v="1"/>
    <n v="0"/>
  </r>
  <r>
    <x v="0"/>
    <x v="11"/>
    <x v="17"/>
    <x v="16"/>
    <x v="46"/>
    <x v="1"/>
    <n v="6.2509071260000004"/>
  </r>
  <r>
    <x v="0"/>
    <x v="11"/>
    <x v="17"/>
    <x v="16"/>
    <x v="47"/>
    <x v="1"/>
    <n v="6.2509071260000004"/>
  </r>
  <r>
    <x v="0"/>
    <x v="11"/>
    <x v="17"/>
    <x v="16"/>
    <x v="48"/>
    <x v="1"/>
    <n v="6.2509071260000004"/>
  </r>
  <r>
    <x v="0"/>
    <x v="11"/>
    <x v="17"/>
    <x v="16"/>
    <x v="49"/>
    <x v="1"/>
    <n v="0"/>
  </r>
  <r>
    <x v="0"/>
    <x v="11"/>
    <x v="17"/>
    <x v="16"/>
    <x v="50"/>
    <x v="1"/>
    <n v="0"/>
  </r>
  <r>
    <x v="0"/>
    <x v="11"/>
    <x v="17"/>
    <x v="16"/>
    <x v="51"/>
    <x v="1"/>
    <n v="0"/>
  </r>
  <r>
    <x v="0"/>
    <x v="11"/>
    <x v="17"/>
    <x v="16"/>
    <x v="52"/>
    <x v="1"/>
    <n v="0"/>
  </r>
  <r>
    <x v="0"/>
    <x v="11"/>
    <x v="17"/>
    <x v="16"/>
    <x v="53"/>
    <x v="1"/>
    <n v="0"/>
  </r>
  <r>
    <x v="0"/>
    <x v="11"/>
    <x v="17"/>
    <x v="16"/>
    <x v="54"/>
    <x v="1"/>
    <n v="0"/>
  </r>
  <r>
    <x v="0"/>
    <x v="11"/>
    <x v="17"/>
    <x v="16"/>
    <x v="55"/>
    <x v="1"/>
    <n v="0"/>
  </r>
  <r>
    <x v="0"/>
    <x v="11"/>
    <x v="17"/>
    <x v="17"/>
    <x v="46"/>
    <x v="1"/>
    <n v="14.821512525999999"/>
  </r>
  <r>
    <x v="0"/>
    <x v="11"/>
    <x v="17"/>
    <x v="17"/>
    <x v="47"/>
    <x v="1"/>
    <n v="14.821512525999999"/>
  </r>
  <r>
    <x v="0"/>
    <x v="11"/>
    <x v="17"/>
    <x v="17"/>
    <x v="48"/>
    <x v="1"/>
    <n v="14.821512525999999"/>
  </r>
  <r>
    <x v="0"/>
    <x v="11"/>
    <x v="17"/>
    <x v="17"/>
    <x v="49"/>
    <x v="1"/>
    <n v="0"/>
  </r>
  <r>
    <x v="0"/>
    <x v="11"/>
    <x v="17"/>
    <x v="17"/>
    <x v="50"/>
    <x v="1"/>
    <n v="0"/>
  </r>
  <r>
    <x v="0"/>
    <x v="11"/>
    <x v="17"/>
    <x v="17"/>
    <x v="51"/>
    <x v="1"/>
    <n v="0"/>
  </r>
  <r>
    <x v="0"/>
    <x v="11"/>
    <x v="17"/>
    <x v="17"/>
    <x v="52"/>
    <x v="1"/>
    <n v="0"/>
  </r>
  <r>
    <x v="0"/>
    <x v="11"/>
    <x v="17"/>
    <x v="17"/>
    <x v="53"/>
    <x v="1"/>
    <n v="0"/>
  </r>
  <r>
    <x v="0"/>
    <x v="11"/>
    <x v="17"/>
    <x v="17"/>
    <x v="54"/>
    <x v="1"/>
    <n v="0"/>
  </r>
  <r>
    <x v="0"/>
    <x v="11"/>
    <x v="17"/>
    <x v="17"/>
    <x v="55"/>
    <x v="1"/>
    <n v="0"/>
  </r>
  <r>
    <x v="0"/>
    <x v="11"/>
    <x v="17"/>
    <x v="18"/>
    <x v="46"/>
    <x v="1"/>
    <n v="11.55371409"/>
  </r>
  <r>
    <x v="0"/>
    <x v="11"/>
    <x v="17"/>
    <x v="18"/>
    <x v="47"/>
    <x v="1"/>
    <n v="11.55371409"/>
  </r>
  <r>
    <x v="0"/>
    <x v="11"/>
    <x v="17"/>
    <x v="18"/>
    <x v="48"/>
    <x v="1"/>
    <n v="11.55371409"/>
  </r>
  <r>
    <x v="0"/>
    <x v="11"/>
    <x v="17"/>
    <x v="18"/>
    <x v="49"/>
    <x v="1"/>
    <n v="0"/>
  </r>
  <r>
    <x v="0"/>
    <x v="11"/>
    <x v="17"/>
    <x v="18"/>
    <x v="50"/>
    <x v="1"/>
    <n v="0"/>
  </r>
  <r>
    <x v="0"/>
    <x v="11"/>
    <x v="17"/>
    <x v="18"/>
    <x v="51"/>
    <x v="1"/>
    <n v="0"/>
  </r>
  <r>
    <x v="0"/>
    <x v="11"/>
    <x v="17"/>
    <x v="18"/>
    <x v="52"/>
    <x v="1"/>
    <n v="0"/>
  </r>
  <r>
    <x v="0"/>
    <x v="11"/>
    <x v="17"/>
    <x v="18"/>
    <x v="53"/>
    <x v="1"/>
    <n v="0"/>
  </r>
  <r>
    <x v="0"/>
    <x v="11"/>
    <x v="17"/>
    <x v="18"/>
    <x v="54"/>
    <x v="1"/>
    <n v="0"/>
  </r>
  <r>
    <x v="0"/>
    <x v="11"/>
    <x v="17"/>
    <x v="18"/>
    <x v="55"/>
    <x v="1"/>
    <n v="0"/>
  </r>
  <r>
    <x v="0"/>
    <x v="11"/>
    <x v="17"/>
    <x v="19"/>
    <x v="46"/>
    <x v="1"/>
    <n v="14.788375715999999"/>
  </r>
  <r>
    <x v="0"/>
    <x v="11"/>
    <x v="17"/>
    <x v="19"/>
    <x v="47"/>
    <x v="1"/>
    <n v="14.788375715999999"/>
  </r>
  <r>
    <x v="0"/>
    <x v="11"/>
    <x v="17"/>
    <x v="19"/>
    <x v="48"/>
    <x v="1"/>
    <n v="14.788375715999999"/>
  </r>
  <r>
    <x v="0"/>
    <x v="11"/>
    <x v="17"/>
    <x v="19"/>
    <x v="49"/>
    <x v="1"/>
    <n v="0"/>
  </r>
  <r>
    <x v="0"/>
    <x v="11"/>
    <x v="17"/>
    <x v="19"/>
    <x v="50"/>
    <x v="1"/>
    <n v="0"/>
  </r>
  <r>
    <x v="0"/>
    <x v="11"/>
    <x v="17"/>
    <x v="19"/>
    <x v="51"/>
    <x v="1"/>
    <n v="0"/>
  </r>
  <r>
    <x v="0"/>
    <x v="11"/>
    <x v="17"/>
    <x v="19"/>
    <x v="52"/>
    <x v="1"/>
    <n v="0"/>
  </r>
  <r>
    <x v="0"/>
    <x v="11"/>
    <x v="17"/>
    <x v="19"/>
    <x v="53"/>
    <x v="1"/>
    <n v="0"/>
  </r>
  <r>
    <x v="0"/>
    <x v="11"/>
    <x v="17"/>
    <x v="19"/>
    <x v="54"/>
    <x v="1"/>
    <n v="0"/>
  </r>
  <r>
    <x v="0"/>
    <x v="11"/>
    <x v="17"/>
    <x v="19"/>
    <x v="55"/>
    <x v="1"/>
    <n v="0"/>
  </r>
  <r>
    <x v="0"/>
    <x v="11"/>
    <x v="17"/>
    <x v="20"/>
    <x v="46"/>
    <x v="1"/>
    <n v="1.876781687"/>
  </r>
  <r>
    <x v="0"/>
    <x v="11"/>
    <x v="17"/>
    <x v="20"/>
    <x v="47"/>
    <x v="1"/>
    <n v="1.876781687"/>
  </r>
  <r>
    <x v="0"/>
    <x v="11"/>
    <x v="17"/>
    <x v="20"/>
    <x v="48"/>
    <x v="1"/>
    <n v="1.876781687"/>
  </r>
  <r>
    <x v="0"/>
    <x v="11"/>
    <x v="17"/>
    <x v="20"/>
    <x v="49"/>
    <x v="1"/>
    <n v="0"/>
  </r>
  <r>
    <x v="0"/>
    <x v="11"/>
    <x v="17"/>
    <x v="20"/>
    <x v="50"/>
    <x v="1"/>
    <n v="0"/>
  </r>
  <r>
    <x v="0"/>
    <x v="11"/>
    <x v="17"/>
    <x v="20"/>
    <x v="51"/>
    <x v="1"/>
    <n v="0"/>
  </r>
  <r>
    <x v="0"/>
    <x v="11"/>
    <x v="17"/>
    <x v="20"/>
    <x v="52"/>
    <x v="1"/>
    <n v="0"/>
  </r>
  <r>
    <x v="0"/>
    <x v="11"/>
    <x v="17"/>
    <x v="20"/>
    <x v="53"/>
    <x v="1"/>
    <n v="0"/>
  </r>
  <r>
    <x v="0"/>
    <x v="11"/>
    <x v="17"/>
    <x v="20"/>
    <x v="54"/>
    <x v="1"/>
    <n v="0"/>
  </r>
  <r>
    <x v="0"/>
    <x v="11"/>
    <x v="17"/>
    <x v="20"/>
    <x v="55"/>
    <x v="1"/>
    <n v="0"/>
  </r>
  <r>
    <x v="0"/>
    <x v="11"/>
    <x v="17"/>
    <x v="21"/>
    <x v="46"/>
    <x v="1"/>
    <n v="0.91279700200000002"/>
  </r>
  <r>
    <x v="0"/>
    <x v="11"/>
    <x v="17"/>
    <x v="21"/>
    <x v="47"/>
    <x v="1"/>
    <n v="0.91279700200000002"/>
  </r>
  <r>
    <x v="0"/>
    <x v="11"/>
    <x v="17"/>
    <x v="21"/>
    <x v="48"/>
    <x v="1"/>
    <n v="0.91279700200000002"/>
  </r>
  <r>
    <x v="0"/>
    <x v="11"/>
    <x v="17"/>
    <x v="21"/>
    <x v="49"/>
    <x v="1"/>
    <n v="0"/>
  </r>
  <r>
    <x v="0"/>
    <x v="11"/>
    <x v="17"/>
    <x v="21"/>
    <x v="50"/>
    <x v="1"/>
    <n v="0"/>
  </r>
  <r>
    <x v="0"/>
    <x v="11"/>
    <x v="17"/>
    <x v="21"/>
    <x v="51"/>
    <x v="1"/>
    <n v="0"/>
  </r>
  <r>
    <x v="0"/>
    <x v="11"/>
    <x v="17"/>
    <x v="21"/>
    <x v="52"/>
    <x v="1"/>
    <n v="0"/>
  </r>
  <r>
    <x v="0"/>
    <x v="11"/>
    <x v="17"/>
    <x v="21"/>
    <x v="53"/>
    <x v="1"/>
    <n v="0"/>
  </r>
  <r>
    <x v="0"/>
    <x v="11"/>
    <x v="17"/>
    <x v="21"/>
    <x v="54"/>
    <x v="1"/>
    <n v="0"/>
  </r>
  <r>
    <x v="0"/>
    <x v="11"/>
    <x v="17"/>
    <x v="21"/>
    <x v="55"/>
    <x v="1"/>
    <n v="0"/>
  </r>
  <r>
    <x v="0"/>
    <x v="11"/>
    <x v="17"/>
    <x v="22"/>
    <x v="46"/>
    <x v="1"/>
    <n v="0.83527514400000002"/>
  </r>
  <r>
    <x v="0"/>
    <x v="11"/>
    <x v="17"/>
    <x v="22"/>
    <x v="47"/>
    <x v="1"/>
    <n v="0.83527514400000002"/>
  </r>
  <r>
    <x v="0"/>
    <x v="11"/>
    <x v="17"/>
    <x v="22"/>
    <x v="48"/>
    <x v="1"/>
    <n v="0.83527514400000002"/>
  </r>
  <r>
    <x v="0"/>
    <x v="11"/>
    <x v="17"/>
    <x v="22"/>
    <x v="49"/>
    <x v="1"/>
    <n v="0"/>
  </r>
  <r>
    <x v="0"/>
    <x v="11"/>
    <x v="17"/>
    <x v="22"/>
    <x v="50"/>
    <x v="1"/>
    <n v="0"/>
  </r>
  <r>
    <x v="0"/>
    <x v="11"/>
    <x v="17"/>
    <x v="22"/>
    <x v="51"/>
    <x v="1"/>
    <n v="0"/>
  </r>
  <r>
    <x v="0"/>
    <x v="11"/>
    <x v="17"/>
    <x v="22"/>
    <x v="52"/>
    <x v="1"/>
    <n v="0"/>
  </r>
  <r>
    <x v="0"/>
    <x v="11"/>
    <x v="17"/>
    <x v="22"/>
    <x v="53"/>
    <x v="1"/>
    <n v="0"/>
  </r>
  <r>
    <x v="0"/>
    <x v="11"/>
    <x v="17"/>
    <x v="22"/>
    <x v="54"/>
    <x v="1"/>
    <n v="0"/>
  </r>
  <r>
    <x v="0"/>
    <x v="11"/>
    <x v="17"/>
    <x v="22"/>
    <x v="55"/>
    <x v="1"/>
    <n v="0"/>
  </r>
  <r>
    <x v="0"/>
    <x v="11"/>
    <x v="17"/>
    <x v="23"/>
    <x v="46"/>
    <x v="1"/>
    <n v="0.40245727599999997"/>
  </r>
  <r>
    <x v="0"/>
    <x v="11"/>
    <x v="17"/>
    <x v="23"/>
    <x v="47"/>
    <x v="1"/>
    <n v="0.40245727599999997"/>
  </r>
  <r>
    <x v="0"/>
    <x v="11"/>
    <x v="17"/>
    <x v="23"/>
    <x v="48"/>
    <x v="1"/>
    <n v="0.40245727599999997"/>
  </r>
  <r>
    <x v="0"/>
    <x v="11"/>
    <x v="17"/>
    <x v="23"/>
    <x v="49"/>
    <x v="1"/>
    <n v="0"/>
  </r>
  <r>
    <x v="0"/>
    <x v="11"/>
    <x v="17"/>
    <x v="23"/>
    <x v="50"/>
    <x v="1"/>
    <n v="0"/>
  </r>
  <r>
    <x v="0"/>
    <x v="11"/>
    <x v="17"/>
    <x v="23"/>
    <x v="51"/>
    <x v="1"/>
    <n v="0"/>
  </r>
  <r>
    <x v="0"/>
    <x v="11"/>
    <x v="17"/>
    <x v="23"/>
    <x v="52"/>
    <x v="1"/>
    <n v="0"/>
  </r>
  <r>
    <x v="0"/>
    <x v="11"/>
    <x v="17"/>
    <x v="23"/>
    <x v="53"/>
    <x v="1"/>
    <n v="0"/>
  </r>
  <r>
    <x v="0"/>
    <x v="11"/>
    <x v="17"/>
    <x v="23"/>
    <x v="54"/>
    <x v="1"/>
    <n v="0"/>
  </r>
  <r>
    <x v="0"/>
    <x v="11"/>
    <x v="17"/>
    <x v="23"/>
    <x v="55"/>
    <x v="1"/>
    <n v="0"/>
  </r>
  <r>
    <x v="0"/>
    <x v="11"/>
    <x v="17"/>
    <x v="24"/>
    <x v="46"/>
    <x v="1"/>
    <n v="16.324750247000001"/>
  </r>
  <r>
    <x v="0"/>
    <x v="11"/>
    <x v="17"/>
    <x v="24"/>
    <x v="47"/>
    <x v="1"/>
    <n v="16.324750247000001"/>
  </r>
  <r>
    <x v="0"/>
    <x v="11"/>
    <x v="17"/>
    <x v="24"/>
    <x v="48"/>
    <x v="1"/>
    <n v="16.324750247000001"/>
  </r>
  <r>
    <x v="0"/>
    <x v="11"/>
    <x v="17"/>
    <x v="24"/>
    <x v="49"/>
    <x v="1"/>
    <n v="0"/>
  </r>
  <r>
    <x v="0"/>
    <x v="11"/>
    <x v="17"/>
    <x v="24"/>
    <x v="50"/>
    <x v="1"/>
    <n v="0"/>
  </r>
  <r>
    <x v="0"/>
    <x v="11"/>
    <x v="17"/>
    <x v="24"/>
    <x v="51"/>
    <x v="1"/>
    <n v="0"/>
  </r>
  <r>
    <x v="0"/>
    <x v="11"/>
    <x v="17"/>
    <x v="24"/>
    <x v="52"/>
    <x v="1"/>
    <n v="0"/>
  </r>
  <r>
    <x v="0"/>
    <x v="11"/>
    <x v="17"/>
    <x v="24"/>
    <x v="53"/>
    <x v="1"/>
    <n v="0"/>
  </r>
  <r>
    <x v="0"/>
    <x v="11"/>
    <x v="17"/>
    <x v="24"/>
    <x v="54"/>
    <x v="1"/>
    <n v="0"/>
  </r>
  <r>
    <x v="0"/>
    <x v="11"/>
    <x v="17"/>
    <x v="24"/>
    <x v="55"/>
    <x v="1"/>
    <n v="0"/>
  </r>
  <r>
    <x v="0"/>
    <x v="11"/>
    <x v="17"/>
    <x v="25"/>
    <x v="46"/>
    <x v="1"/>
    <n v="0.74669164300000002"/>
  </r>
  <r>
    <x v="0"/>
    <x v="11"/>
    <x v="17"/>
    <x v="25"/>
    <x v="47"/>
    <x v="1"/>
    <n v="0.74669164300000002"/>
  </r>
  <r>
    <x v="0"/>
    <x v="11"/>
    <x v="17"/>
    <x v="25"/>
    <x v="48"/>
    <x v="1"/>
    <n v="0.74669164300000002"/>
  </r>
  <r>
    <x v="0"/>
    <x v="11"/>
    <x v="17"/>
    <x v="25"/>
    <x v="49"/>
    <x v="1"/>
    <n v="0"/>
  </r>
  <r>
    <x v="0"/>
    <x v="11"/>
    <x v="17"/>
    <x v="25"/>
    <x v="50"/>
    <x v="1"/>
    <n v="0"/>
  </r>
  <r>
    <x v="0"/>
    <x v="11"/>
    <x v="17"/>
    <x v="25"/>
    <x v="51"/>
    <x v="1"/>
    <n v="0"/>
  </r>
  <r>
    <x v="0"/>
    <x v="11"/>
    <x v="17"/>
    <x v="25"/>
    <x v="52"/>
    <x v="1"/>
    <n v="0"/>
  </r>
  <r>
    <x v="0"/>
    <x v="11"/>
    <x v="17"/>
    <x v="25"/>
    <x v="53"/>
    <x v="1"/>
    <n v="0"/>
  </r>
  <r>
    <x v="0"/>
    <x v="11"/>
    <x v="17"/>
    <x v="25"/>
    <x v="54"/>
    <x v="1"/>
    <n v="0"/>
  </r>
  <r>
    <x v="0"/>
    <x v="11"/>
    <x v="17"/>
    <x v="25"/>
    <x v="55"/>
    <x v="1"/>
    <n v="0"/>
  </r>
  <r>
    <x v="0"/>
    <x v="11"/>
    <x v="17"/>
    <x v="26"/>
    <x v="46"/>
    <x v="1"/>
    <n v="0.50034119799999999"/>
  </r>
  <r>
    <x v="0"/>
    <x v="11"/>
    <x v="17"/>
    <x v="26"/>
    <x v="47"/>
    <x v="1"/>
    <n v="0.50034119799999999"/>
  </r>
  <r>
    <x v="0"/>
    <x v="11"/>
    <x v="17"/>
    <x v="26"/>
    <x v="48"/>
    <x v="1"/>
    <n v="0.50034119799999999"/>
  </r>
  <r>
    <x v="0"/>
    <x v="11"/>
    <x v="17"/>
    <x v="26"/>
    <x v="49"/>
    <x v="1"/>
    <n v="0"/>
  </r>
  <r>
    <x v="0"/>
    <x v="11"/>
    <x v="17"/>
    <x v="26"/>
    <x v="50"/>
    <x v="1"/>
    <n v="0"/>
  </r>
  <r>
    <x v="0"/>
    <x v="11"/>
    <x v="17"/>
    <x v="26"/>
    <x v="51"/>
    <x v="1"/>
    <n v="0"/>
  </r>
  <r>
    <x v="0"/>
    <x v="11"/>
    <x v="17"/>
    <x v="26"/>
    <x v="52"/>
    <x v="1"/>
    <n v="0"/>
  </r>
  <r>
    <x v="0"/>
    <x v="11"/>
    <x v="17"/>
    <x v="26"/>
    <x v="53"/>
    <x v="1"/>
    <n v="0"/>
  </r>
  <r>
    <x v="0"/>
    <x v="11"/>
    <x v="17"/>
    <x v="26"/>
    <x v="54"/>
    <x v="1"/>
    <n v="0"/>
  </r>
  <r>
    <x v="0"/>
    <x v="11"/>
    <x v="17"/>
    <x v="26"/>
    <x v="55"/>
    <x v="1"/>
    <n v="0"/>
  </r>
  <r>
    <x v="0"/>
    <x v="11"/>
    <x v="17"/>
    <x v="27"/>
    <x v="46"/>
    <x v="1"/>
    <n v="27.280834864999999"/>
  </r>
  <r>
    <x v="0"/>
    <x v="11"/>
    <x v="17"/>
    <x v="27"/>
    <x v="47"/>
    <x v="1"/>
    <n v="27.280834864999999"/>
  </r>
  <r>
    <x v="0"/>
    <x v="11"/>
    <x v="17"/>
    <x v="27"/>
    <x v="48"/>
    <x v="1"/>
    <n v="27.280834864999999"/>
  </r>
  <r>
    <x v="0"/>
    <x v="11"/>
    <x v="17"/>
    <x v="27"/>
    <x v="49"/>
    <x v="1"/>
    <n v="0"/>
  </r>
  <r>
    <x v="0"/>
    <x v="11"/>
    <x v="17"/>
    <x v="27"/>
    <x v="50"/>
    <x v="1"/>
    <n v="0"/>
  </r>
  <r>
    <x v="0"/>
    <x v="11"/>
    <x v="17"/>
    <x v="27"/>
    <x v="51"/>
    <x v="1"/>
    <n v="0"/>
  </r>
  <r>
    <x v="0"/>
    <x v="11"/>
    <x v="17"/>
    <x v="27"/>
    <x v="52"/>
    <x v="1"/>
    <n v="0"/>
  </r>
  <r>
    <x v="0"/>
    <x v="11"/>
    <x v="17"/>
    <x v="27"/>
    <x v="53"/>
    <x v="1"/>
    <n v="0"/>
  </r>
  <r>
    <x v="0"/>
    <x v="11"/>
    <x v="17"/>
    <x v="27"/>
    <x v="54"/>
    <x v="1"/>
    <n v="0"/>
  </r>
  <r>
    <x v="0"/>
    <x v="11"/>
    <x v="17"/>
    <x v="27"/>
    <x v="55"/>
    <x v="1"/>
    <n v="0"/>
  </r>
  <r>
    <x v="0"/>
    <x v="11"/>
    <x v="17"/>
    <x v="28"/>
    <x v="46"/>
    <x v="1"/>
    <n v="25.391765596999999"/>
  </r>
  <r>
    <x v="0"/>
    <x v="11"/>
    <x v="17"/>
    <x v="28"/>
    <x v="47"/>
    <x v="1"/>
    <n v="25.391765596999999"/>
  </r>
  <r>
    <x v="0"/>
    <x v="11"/>
    <x v="17"/>
    <x v="28"/>
    <x v="48"/>
    <x v="1"/>
    <n v="25.391765596999999"/>
  </r>
  <r>
    <x v="0"/>
    <x v="11"/>
    <x v="17"/>
    <x v="28"/>
    <x v="49"/>
    <x v="1"/>
    <n v="0"/>
  </r>
  <r>
    <x v="0"/>
    <x v="11"/>
    <x v="17"/>
    <x v="28"/>
    <x v="50"/>
    <x v="1"/>
    <n v="0"/>
  </r>
  <r>
    <x v="0"/>
    <x v="11"/>
    <x v="17"/>
    <x v="28"/>
    <x v="51"/>
    <x v="1"/>
    <n v="0"/>
  </r>
  <r>
    <x v="0"/>
    <x v="11"/>
    <x v="17"/>
    <x v="28"/>
    <x v="52"/>
    <x v="1"/>
    <n v="0"/>
  </r>
  <r>
    <x v="0"/>
    <x v="11"/>
    <x v="17"/>
    <x v="28"/>
    <x v="53"/>
    <x v="1"/>
    <n v="0"/>
  </r>
  <r>
    <x v="0"/>
    <x v="11"/>
    <x v="17"/>
    <x v="28"/>
    <x v="54"/>
    <x v="1"/>
    <n v="0"/>
  </r>
  <r>
    <x v="0"/>
    <x v="11"/>
    <x v="17"/>
    <x v="28"/>
    <x v="55"/>
    <x v="1"/>
    <n v="0"/>
  </r>
  <r>
    <x v="0"/>
    <x v="11"/>
    <x v="17"/>
    <x v="29"/>
    <x v="46"/>
    <x v="1"/>
    <n v="24.382952737"/>
  </r>
  <r>
    <x v="0"/>
    <x v="11"/>
    <x v="17"/>
    <x v="29"/>
    <x v="47"/>
    <x v="1"/>
    <n v="24.382952737"/>
  </r>
  <r>
    <x v="0"/>
    <x v="11"/>
    <x v="17"/>
    <x v="29"/>
    <x v="48"/>
    <x v="1"/>
    <n v="24.382952737"/>
  </r>
  <r>
    <x v="0"/>
    <x v="11"/>
    <x v="17"/>
    <x v="29"/>
    <x v="49"/>
    <x v="1"/>
    <n v="0"/>
  </r>
  <r>
    <x v="0"/>
    <x v="11"/>
    <x v="17"/>
    <x v="29"/>
    <x v="50"/>
    <x v="1"/>
    <n v="0"/>
  </r>
  <r>
    <x v="0"/>
    <x v="11"/>
    <x v="17"/>
    <x v="29"/>
    <x v="51"/>
    <x v="1"/>
    <n v="0"/>
  </r>
  <r>
    <x v="0"/>
    <x v="11"/>
    <x v="17"/>
    <x v="29"/>
    <x v="52"/>
    <x v="1"/>
    <n v="0"/>
  </r>
  <r>
    <x v="0"/>
    <x v="11"/>
    <x v="17"/>
    <x v="29"/>
    <x v="53"/>
    <x v="1"/>
    <n v="0"/>
  </r>
  <r>
    <x v="0"/>
    <x v="11"/>
    <x v="17"/>
    <x v="29"/>
    <x v="54"/>
    <x v="1"/>
    <n v="0"/>
  </r>
  <r>
    <x v="0"/>
    <x v="11"/>
    <x v="17"/>
    <x v="29"/>
    <x v="55"/>
    <x v="1"/>
    <n v="0"/>
  </r>
  <r>
    <x v="0"/>
    <x v="11"/>
    <x v="17"/>
    <x v="30"/>
    <x v="46"/>
    <x v="1"/>
    <n v="9.1177023330000004"/>
  </r>
  <r>
    <x v="0"/>
    <x v="11"/>
    <x v="17"/>
    <x v="30"/>
    <x v="47"/>
    <x v="1"/>
    <n v="9.1177023330000004"/>
  </r>
  <r>
    <x v="0"/>
    <x v="11"/>
    <x v="17"/>
    <x v="30"/>
    <x v="48"/>
    <x v="1"/>
    <n v="9.1177023330000004"/>
  </r>
  <r>
    <x v="0"/>
    <x v="11"/>
    <x v="17"/>
    <x v="30"/>
    <x v="49"/>
    <x v="1"/>
    <n v="0"/>
  </r>
  <r>
    <x v="0"/>
    <x v="11"/>
    <x v="17"/>
    <x v="30"/>
    <x v="50"/>
    <x v="1"/>
    <n v="0"/>
  </r>
  <r>
    <x v="0"/>
    <x v="11"/>
    <x v="17"/>
    <x v="30"/>
    <x v="51"/>
    <x v="1"/>
    <n v="0"/>
  </r>
  <r>
    <x v="0"/>
    <x v="11"/>
    <x v="17"/>
    <x v="30"/>
    <x v="52"/>
    <x v="1"/>
    <n v="0"/>
  </r>
  <r>
    <x v="0"/>
    <x v="11"/>
    <x v="17"/>
    <x v="30"/>
    <x v="53"/>
    <x v="1"/>
    <n v="0"/>
  </r>
  <r>
    <x v="0"/>
    <x v="11"/>
    <x v="17"/>
    <x v="30"/>
    <x v="54"/>
    <x v="1"/>
    <n v="0"/>
  </r>
  <r>
    <x v="0"/>
    <x v="11"/>
    <x v="17"/>
    <x v="30"/>
    <x v="55"/>
    <x v="1"/>
    <n v="0"/>
  </r>
  <r>
    <x v="0"/>
    <x v="11"/>
    <x v="17"/>
    <x v="31"/>
    <x v="46"/>
    <x v="1"/>
    <n v="7.0455623809999999"/>
  </r>
  <r>
    <x v="0"/>
    <x v="11"/>
    <x v="17"/>
    <x v="31"/>
    <x v="47"/>
    <x v="1"/>
    <n v="7.0455623809999999"/>
  </r>
  <r>
    <x v="0"/>
    <x v="11"/>
    <x v="17"/>
    <x v="31"/>
    <x v="48"/>
    <x v="1"/>
    <n v="7.0455623809999999"/>
  </r>
  <r>
    <x v="0"/>
    <x v="11"/>
    <x v="17"/>
    <x v="31"/>
    <x v="49"/>
    <x v="1"/>
    <n v="0"/>
  </r>
  <r>
    <x v="0"/>
    <x v="11"/>
    <x v="17"/>
    <x v="31"/>
    <x v="50"/>
    <x v="1"/>
    <n v="0"/>
  </r>
  <r>
    <x v="0"/>
    <x v="11"/>
    <x v="17"/>
    <x v="31"/>
    <x v="51"/>
    <x v="1"/>
    <n v="0"/>
  </r>
  <r>
    <x v="0"/>
    <x v="11"/>
    <x v="17"/>
    <x v="31"/>
    <x v="52"/>
    <x v="1"/>
    <n v="0"/>
  </r>
  <r>
    <x v="0"/>
    <x v="11"/>
    <x v="17"/>
    <x v="31"/>
    <x v="53"/>
    <x v="1"/>
    <n v="0"/>
  </r>
  <r>
    <x v="0"/>
    <x v="11"/>
    <x v="17"/>
    <x v="31"/>
    <x v="54"/>
    <x v="1"/>
    <n v="0"/>
  </r>
  <r>
    <x v="0"/>
    <x v="11"/>
    <x v="17"/>
    <x v="31"/>
    <x v="55"/>
    <x v="1"/>
    <n v="0"/>
  </r>
  <r>
    <x v="0"/>
    <x v="11"/>
    <x v="17"/>
    <x v="32"/>
    <x v="46"/>
    <x v="1"/>
    <n v="23.486647640000001"/>
  </r>
  <r>
    <x v="0"/>
    <x v="11"/>
    <x v="17"/>
    <x v="32"/>
    <x v="47"/>
    <x v="1"/>
    <n v="23.486647640000001"/>
  </r>
  <r>
    <x v="0"/>
    <x v="11"/>
    <x v="17"/>
    <x v="32"/>
    <x v="48"/>
    <x v="1"/>
    <n v="23.486647640000001"/>
  </r>
  <r>
    <x v="0"/>
    <x v="11"/>
    <x v="17"/>
    <x v="32"/>
    <x v="49"/>
    <x v="1"/>
    <n v="0"/>
  </r>
  <r>
    <x v="0"/>
    <x v="11"/>
    <x v="17"/>
    <x v="32"/>
    <x v="50"/>
    <x v="1"/>
    <n v="0"/>
  </r>
  <r>
    <x v="0"/>
    <x v="11"/>
    <x v="17"/>
    <x v="32"/>
    <x v="51"/>
    <x v="1"/>
    <n v="0"/>
  </r>
  <r>
    <x v="0"/>
    <x v="11"/>
    <x v="17"/>
    <x v="32"/>
    <x v="52"/>
    <x v="1"/>
    <n v="0"/>
  </r>
  <r>
    <x v="0"/>
    <x v="11"/>
    <x v="17"/>
    <x v="32"/>
    <x v="53"/>
    <x v="1"/>
    <n v="0"/>
  </r>
  <r>
    <x v="0"/>
    <x v="11"/>
    <x v="17"/>
    <x v="32"/>
    <x v="54"/>
    <x v="1"/>
    <n v="0"/>
  </r>
  <r>
    <x v="0"/>
    <x v="11"/>
    <x v="17"/>
    <x v="32"/>
    <x v="55"/>
    <x v="1"/>
    <n v="0"/>
  </r>
  <r>
    <x v="0"/>
    <x v="11"/>
    <x v="17"/>
    <x v="33"/>
    <x v="46"/>
    <x v="1"/>
    <n v="13.01523057"/>
  </r>
  <r>
    <x v="0"/>
    <x v="11"/>
    <x v="17"/>
    <x v="33"/>
    <x v="47"/>
    <x v="1"/>
    <n v="13.01523057"/>
  </r>
  <r>
    <x v="0"/>
    <x v="11"/>
    <x v="17"/>
    <x v="33"/>
    <x v="48"/>
    <x v="1"/>
    <n v="13.01523057"/>
  </r>
  <r>
    <x v="0"/>
    <x v="11"/>
    <x v="17"/>
    <x v="33"/>
    <x v="49"/>
    <x v="1"/>
    <n v="0"/>
  </r>
  <r>
    <x v="0"/>
    <x v="11"/>
    <x v="17"/>
    <x v="33"/>
    <x v="50"/>
    <x v="1"/>
    <n v="0"/>
  </r>
  <r>
    <x v="0"/>
    <x v="11"/>
    <x v="17"/>
    <x v="33"/>
    <x v="51"/>
    <x v="1"/>
    <n v="0"/>
  </r>
  <r>
    <x v="0"/>
    <x v="11"/>
    <x v="17"/>
    <x v="33"/>
    <x v="52"/>
    <x v="1"/>
    <n v="0"/>
  </r>
  <r>
    <x v="0"/>
    <x v="11"/>
    <x v="17"/>
    <x v="33"/>
    <x v="53"/>
    <x v="1"/>
    <n v="0"/>
  </r>
  <r>
    <x v="0"/>
    <x v="11"/>
    <x v="17"/>
    <x v="33"/>
    <x v="54"/>
    <x v="1"/>
    <n v="0"/>
  </r>
  <r>
    <x v="0"/>
    <x v="11"/>
    <x v="17"/>
    <x v="33"/>
    <x v="55"/>
    <x v="1"/>
    <n v="0"/>
  </r>
  <r>
    <x v="0"/>
    <x v="11"/>
    <x v="17"/>
    <x v="34"/>
    <x v="46"/>
    <x v="1"/>
    <n v="15.482849402999999"/>
  </r>
  <r>
    <x v="0"/>
    <x v="11"/>
    <x v="17"/>
    <x v="34"/>
    <x v="47"/>
    <x v="1"/>
    <n v="15.482849402999999"/>
  </r>
  <r>
    <x v="0"/>
    <x v="11"/>
    <x v="17"/>
    <x v="34"/>
    <x v="48"/>
    <x v="1"/>
    <n v="15.482849402999999"/>
  </r>
  <r>
    <x v="0"/>
    <x v="11"/>
    <x v="17"/>
    <x v="34"/>
    <x v="49"/>
    <x v="1"/>
    <n v="0"/>
  </r>
  <r>
    <x v="0"/>
    <x v="11"/>
    <x v="17"/>
    <x v="34"/>
    <x v="50"/>
    <x v="1"/>
    <n v="0"/>
  </r>
  <r>
    <x v="0"/>
    <x v="11"/>
    <x v="17"/>
    <x v="34"/>
    <x v="51"/>
    <x v="1"/>
    <n v="0"/>
  </r>
  <r>
    <x v="0"/>
    <x v="11"/>
    <x v="17"/>
    <x v="34"/>
    <x v="52"/>
    <x v="1"/>
    <n v="0"/>
  </r>
  <r>
    <x v="0"/>
    <x v="11"/>
    <x v="17"/>
    <x v="34"/>
    <x v="53"/>
    <x v="1"/>
    <n v="0"/>
  </r>
  <r>
    <x v="0"/>
    <x v="11"/>
    <x v="17"/>
    <x v="34"/>
    <x v="54"/>
    <x v="1"/>
    <n v="0"/>
  </r>
  <r>
    <x v="0"/>
    <x v="11"/>
    <x v="17"/>
    <x v="34"/>
    <x v="55"/>
    <x v="1"/>
    <n v="0"/>
  </r>
  <r>
    <x v="0"/>
    <x v="11"/>
    <x v="17"/>
    <x v="35"/>
    <x v="46"/>
    <x v="1"/>
    <n v="12.845251528"/>
  </r>
  <r>
    <x v="0"/>
    <x v="11"/>
    <x v="17"/>
    <x v="35"/>
    <x v="47"/>
    <x v="1"/>
    <n v="12.845251528"/>
  </r>
  <r>
    <x v="0"/>
    <x v="11"/>
    <x v="17"/>
    <x v="35"/>
    <x v="48"/>
    <x v="1"/>
    <n v="12.845251528"/>
  </r>
  <r>
    <x v="0"/>
    <x v="11"/>
    <x v="17"/>
    <x v="35"/>
    <x v="49"/>
    <x v="1"/>
    <n v="0"/>
  </r>
  <r>
    <x v="0"/>
    <x v="11"/>
    <x v="17"/>
    <x v="35"/>
    <x v="50"/>
    <x v="1"/>
    <n v="0"/>
  </r>
  <r>
    <x v="0"/>
    <x v="11"/>
    <x v="17"/>
    <x v="35"/>
    <x v="51"/>
    <x v="1"/>
    <n v="0"/>
  </r>
  <r>
    <x v="0"/>
    <x v="11"/>
    <x v="17"/>
    <x v="35"/>
    <x v="52"/>
    <x v="1"/>
    <n v="0"/>
  </r>
  <r>
    <x v="0"/>
    <x v="11"/>
    <x v="17"/>
    <x v="35"/>
    <x v="53"/>
    <x v="1"/>
    <n v="0"/>
  </r>
  <r>
    <x v="0"/>
    <x v="11"/>
    <x v="17"/>
    <x v="35"/>
    <x v="54"/>
    <x v="1"/>
    <n v="0"/>
  </r>
  <r>
    <x v="0"/>
    <x v="11"/>
    <x v="17"/>
    <x v="35"/>
    <x v="55"/>
    <x v="1"/>
    <n v="0"/>
  </r>
  <r>
    <x v="0"/>
    <x v="11"/>
    <x v="17"/>
    <x v="36"/>
    <x v="46"/>
    <x v="1"/>
    <n v="4.6533642720000001"/>
  </r>
  <r>
    <x v="0"/>
    <x v="11"/>
    <x v="17"/>
    <x v="36"/>
    <x v="47"/>
    <x v="1"/>
    <n v="4.6533642720000001"/>
  </r>
  <r>
    <x v="0"/>
    <x v="11"/>
    <x v="17"/>
    <x v="36"/>
    <x v="48"/>
    <x v="1"/>
    <n v="4.6533642720000001"/>
  </r>
  <r>
    <x v="0"/>
    <x v="11"/>
    <x v="17"/>
    <x v="36"/>
    <x v="49"/>
    <x v="1"/>
    <n v="0"/>
  </r>
  <r>
    <x v="0"/>
    <x v="11"/>
    <x v="17"/>
    <x v="36"/>
    <x v="50"/>
    <x v="1"/>
    <n v="0"/>
  </r>
  <r>
    <x v="0"/>
    <x v="11"/>
    <x v="17"/>
    <x v="36"/>
    <x v="51"/>
    <x v="1"/>
    <n v="0"/>
  </r>
  <r>
    <x v="0"/>
    <x v="11"/>
    <x v="17"/>
    <x v="36"/>
    <x v="52"/>
    <x v="1"/>
    <n v="0"/>
  </r>
  <r>
    <x v="0"/>
    <x v="11"/>
    <x v="17"/>
    <x v="36"/>
    <x v="53"/>
    <x v="1"/>
    <n v="0"/>
  </r>
  <r>
    <x v="0"/>
    <x v="11"/>
    <x v="17"/>
    <x v="36"/>
    <x v="54"/>
    <x v="1"/>
    <n v="0"/>
  </r>
  <r>
    <x v="0"/>
    <x v="11"/>
    <x v="17"/>
    <x v="36"/>
    <x v="55"/>
    <x v="1"/>
    <n v="0"/>
  </r>
  <r>
    <x v="0"/>
    <x v="11"/>
    <x v="17"/>
    <x v="37"/>
    <x v="46"/>
    <x v="1"/>
    <n v="5.7869808989999996"/>
  </r>
  <r>
    <x v="0"/>
    <x v="11"/>
    <x v="17"/>
    <x v="37"/>
    <x v="47"/>
    <x v="1"/>
    <n v="5.7869808989999996"/>
  </r>
  <r>
    <x v="0"/>
    <x v="11"/>
    <x v="17"/>
    <x v="37"/>
    <x v="48"/>
    <x v="1"/>
    <n v="5.7869808989999996"/>
  </r>
  <r>
    <x v="0"/>
    <x v="11"/>
    <x v="17"/>
    <x v="37"/>
    <x v="49"/>
    <x v="1"/>
    <n v="0"/>
  </r>
  <r>
    <x v="0"/>
    <x v="11"/>
    <x v="17"/>
    <x v="37"/>
    <x v="50"/>
    <x v="1"/>
    <n v="0"/>
  </r>
  <r>
    <x v="0"/>
    <x v="11"/>
    <x v="17"/>
    <x v="37"/>
    <x v="51"/>
    <x v="1"/>
    <n v="0"/>
  </r>
  <r>
    <x v="0"/>
    <x v="11"/>
    <x v="17"/>
    <x v="37"/>
    <x v="52"/>
    <x v="1"/>
    <n v="0"/>
  </r>
  <r>
    <x v="0"/>
    <x v="11"/>
    <x v="17"/>
    <x v="37"/>
    <x v="53"/>
    <x v="1"/>
    <n v="0"/>
  </r>
  <r>
    <x v="0"/>
    <x v="11"/>
    <x v="17"/>
    <x v="37"/>
    <x v="54"/>
    <x v="1"/>
    <n v="0"/>
  </r>
  <r>
    <x v="0"/>
    <x v="11"/>
    <x v="17"/>
    <x v="37"/>
    <x v="55"/>
    <x v="1"/>
    <n v="0"/>
  </r>
  <r>
    <x v="0"/>
    <x v="11"/>
    <x v="17"/>
    <x v="38"/>
    <x v="46"/>
    <x v="1"/>
    <n v="25.219274377000001"/>
  </r>
  <r>
    <x v="0"/>
    <x v="11"/>
    <x v="17"/>
    <x v="38"/>
    <x v="47"/>
    <x v="1"/>
    <n v="25.219274377000001"/>
  </r>
  <r>
    <x v="0"/>
    <x v="11"/>
    <x v="17"/>
    <x v="38"/>
    <x v="48"/>
    <x v="1"/>
    <n v="25.219274377000001"/>
  </r>
  <r>
    <x v="0"/>
    <x v="11"/>
    <x v="17"/>
    <x v="38"/>
    <x v="49"/>
    <x v="1"/>
    <n v="0"/>
  </r>
  <r>
    <x v="0"/>
    <x v="11"/>
    <x v="17"/>
    <x v="38"/>
    <x v="50"/>
    <x v="1"/>
    <n v="0"/>
  </r>
  <r>
    <x v="0"/>
    <x v="11"/>
    <x v="17"/>
    <x v="38"/>
    <x v="51"/>
    <x v="1"/>
    <n v="0"/>
  </r>
  <r>
    <x v="0"/>
    <x v="11"/>
    <x v="17"/>
    <x v="38"/>
    <x v="52"/>
    <x v="1"/>
    <n v="0"/>
  </r>
  <r>
    <x v="0"/>
    <x v="11"/>
    <x v="17"/>
    <x v="38"/>
    <x v="53"/>
    <x v="1"/>
    <n v="0"/>
  </r>
  <r>
    <x v="0"/>
    <x v="11"/>
    <x v="17"/>
    <x v="38"/>
    <x v="54"/>
    <x v="1"/>
    <n v="0"/>
  </r>
  <r>
    <x v="0"/>
    <x v="11"/>
    <x v="17"/>
    <x v="38"/>
    <x v="55"/>
    <x v="1"/>
    <n v="0"/>
  </r>
  <r>
    <x v="0"/>
    <x v="11"/>
    <x v="17"/>
    <x v="39"/>
    <x v="46"/>
    <x v="1"/>
    <n v="10.326526247"/>
  </r>
  <r>
    <x v="0"/>
    <x v="11"/>
    <x v="17"/>
    <x v="39"/>
    <x v="47"/>
    <x v="1"/>
    <n v="10.326526247"/>
  </r>
  <r>
    <x v="0"/>
    <x v="11"/>
    <x v="17"/>
    <x v="39"/>
    <x v="48"/>
    <x v="1"/>
    <n v="10.326526247"/>
  </r>
  <r>
    <x v="0"/>
    <x v="11"/>
    <x v="17"/>
    <x v="39"/>
    <x v="49"/>
    <x v="1"/>
    <n v="0"/>
  </r>
  <r>
    <x v="0"/>
    <x v="11"/>
    <x v="17"/>
    <x v="39"/>
    <x v="50"/>
    <x v="1"/>
    <n v="0"/>
  </r>
  <r>
    <x v="0"/>
    <x v="11"/>
    <x v="17"/>
    <x v="39"/>
    <x v="51"/>
    <x v="1"/>
    <n v="0"/>
  </r>
  <r>
    <x v="0"/>
    <x v="11"/>
    <x v="17"/>
    <x v="39"/>
    <x v="52"/>
    <x v="1"/>
    <n v="0"/>
  </r>
  <r>
    <x v="0"/>
    <x v="11"/>
    <x v="17"/>
    <x v="39"/>
    <x v="53"/>
    <x v="1"/>
    <n v="0"/>
  </r>
  <r>
    <x v="0"/>
    <x v="11"/>
    <x v="17"/>
    <x v="39"/>
    <x v="54"/>
    <x v="1"/>
    <n v="0"/>
  </r>
  <r>
    <x v="0"/>
    <x v="11"/>
    <x v="17"/>
    <x v="39"/>
    <x v="55"/>
    <x v="1"/>
    <n v="0"/>
  </r>
  <r>
    <x v="0"/>
    <x v="11"/>
    <x v="17"/>
    <x v="40"/>
    <x v="46"/>
    <x v="1"/>
    <n v="3.2053130479999998"/>
  </r>
  <r>
    <x v="0"/>
    <x v="11"/>
    <x v="17"/>
    <x v="40"/>
    <x v="47"/>
    <x v="1"/>
    <n v="3.2053130479999998"/>
  </r>
  <r>
    <x v="0"/>
    <x v="11"/>
    <x v="17"/>
    <x v="40"/>
    <x v="48"/>
    <x v="1"/>
    <n v="3.2053130479999998"/>
  </r>
  <r>
    <x v="0"/>
    <x v="11"/>
    <x v="17"/>
    <x v="40"/>
    <x v="49"/>
    <x v="1"/>
    <n v="0"/>
  </r>
  <r>
    <x v="0"/>
    <x v="11"/>
    <x v="17"/>
    <x v="40"/>
    <x v="50"/>
    <x v="1"/>
    <n v="0"/>
  </r>
  <r>
    <x v="0"/>
    <x v="11"/>
    <x v="17"/>
    <x v="40"/>
    <x v="51"/>
    <x v="1"/>
    <n v="0"/>
  </r>
  <r>
    <x v="0"/>
    <x v="11"/>
    <x v="17"/>
    <x v="40"/>
    <x v="52"/>
    <x v="1"/>
    <n v="0"/>
  </r>
  <r>
    <x v="0"/>
    <x v="11"/>
    <x v="17"/>
    <x v="40"/>
    <x v="53"/>
    <x v="1"/>
    <n v="0"/>
  </r>
  <r>
    <x v="0"/>
    <x v="11"/>
    <x v="17"/>
    <x v="40"/>
    <x v="54"/>
    <x v="1"/>
    <n v="0"/>
  </r>
  <r>
    <x v="0"/>
    <x v="11"/>
    <x v="17"/>
    <x v="40"/>
    <x v="55"/>
    <x v="1"/>
    <n v="0"/>
  </r>
  <r>
    <x v="0"/>
    <x v="11"/>
    <x v="17"/>
    <x v="41"/>
    <x v="46"/>
    <x v="1"/>
    <n v="52.257837297999998"/>
  </r>
  <r>
    <x v="0"/>
    <x v="11"/>
    <x v="17"/>
    <x v="41"/>
    <x v="47"/>
    <x v="1"/>
    <n v="52.257837297999998"/>
  </r>
  <r>
    <x v="0"/>
    <x v="11"/>
    <x v="17"/>
    <x v="41"/>
    <x v="48"/>
    <x v="1"/>
    <n v="52.257837297999998"/>
  </r>
  <r>
    <x v="0"/>
    <x v="11"/>
    <x v="17"/>
    <x v="41"/>
    <x v="49"/>
    <x v="1"/>
    <n v="0"/>
  </r>
  <r>
    <x v="0"/>
    <x v="11"/>
    <x v="17"/>
    <x v="41"/>
    <x v="50"/>
    <x v="1"/>
    <n v="0"/>
  </r>
  <r>
    <x v="0"/>
    <x v="11"/>
    <x v="17"/>
    <x v="41"/>
    <x v="51"/>
    <x v="1"/>
    <n v="0"/>
  </r>
  <r>
    <x v="0"/>
    <x v="11"/>
    <x v="17"/>
    <x v="41"/>
    <x v="52"/>
    <x v="1"/>
    <n v="0"/>
  </r>
  <r>
    <x v="0"/>
    <x v="11"/>
    <x v="17"/>
    <x v="41"/>
    <x v="53"/>
    <x v="1"/>
    <n v="0"/>
  </r>
  <r>
    <x v="0"/>
    <x v="11"/>
    <x v="17"/>
    <x v="41"/>
    <x v="54"/>
    <x v="1"/>
    <n v="0"/>
  </r>
  <r>
    <x v="0"/>
    <x v="11"/>
    <x v="17"/>
    <x v="41"/>
    <x v="55"/>
    <x v="1"/>
    <n v="0"/>
  </r>
  <r>
    <x v="0"/>
    <x v="11"/>
    <x v="18"/>
    <x v="42"/>
    <x v="46"/>
    <x v="1"/>
    <n v="23.887114110999999"/>
  </r>
  <r>
    <x v="0"/>
    <x v="11"/>
    <x v="18"/>
    <x v="42"/>
    <x v="47"/>
    <x v="1"/>
    <n v="23.887114110999999"/>
  </r>
  <r>
    <x v="0"/>
    <x v="11"/>
    <x v="18"/>
    <x v="42"/>
    <x v="48"/>
    <x v="1"/>
    <n v="23.887114110999999"/>
  </r>
  <r>
    <x v="0"/>
    <x v="11"/>
    <x v="18"/>
    <x v="42"/>
    <x v="49"/>
    <x v="1"/>
    <n v="0"/>
  </r>
  <r>
    <x v="0"/>
    <x v="11"/>
    <x v="18"/>
    <x v="42"/>
    <x v="50"/>
    <x v="1"/>
    <n v="0"/>
  </r>
  <r>
    <x v="0"/>
    <x v="11"/>
    <x v="18"/>
    <x v="42"/>
    <x v="51"/>
    <x v="1"/>
    <n v="0"/>
  </r>
  <r>
    <x v="0"/>
    <x v="11"/>
    <x v="18"/>
    <x v="42"/>
    <x v="52"/>
    <x v="1"/>
    <n v="0"/>
  </r>
  <r>
    <x v="0"/>
    <x v="11"/>
    <x v="18"/>
    <x v="42"/>
    <x v="53"/>
    <x v="1"/>
    <n v="0"/>
  </r>
  <r>
    <x v="0"/>
    <x v="11"/>
    <x v="18"/>
    <x v="42"/>
    <x v="54"/>
    <x v="1"/>
    <n v="0"/>
  </r>
  <r>
    <x v="0"/>
    <x v="11"/>
    <x v="18"/>
    <x v="42"/>
    <x v="55"/>
    <x v="1"/>
    <n v="0"/>
  </r>
  <r>
    <x v="0"/>
    <x v="11"/>
    <x v="18"/>
    <x v="43"/>
    <x v="46"/>
    <x v="1"/>
    <n v="51.135538472999997"/>
  </r>
  <r>
    <x v="0"/>
    <x v="11"/>
    <x v="18"/>
    <x v="43"/>
    <x v="47"/>
    <x v="1"/>
    <n v="51.135538472999997"/>
  </r>
  <r>
    <x v="0"/>
    <x v="11"/>
    <x v="18"/>
    <x v="43"/>
    <x v="48"/>
    <x v="1"/>
    <n v="51.135538472999997"/>
  </r>
  <r>
    <x v="0"/>
    <x v="11"/>
    <x v="18"/>
    <x v="43"/>
    <x v="49"/>
    <x v="1"/>
    <n v="0"/>
  </r>
  <r>
    <x v="0"/>
    <x v="11"/>
    <x v="18"/>
    <x v="43"/>
    <x v="50"/>
    <x v="1"/>
    <n v="0"/>
  </r>
  <r>
    <x v="0"/>
    <x v="11"/>
    <x v="18"/>
    <x v="43"/>
    <x v="51"/>
    <x v="1"/>
    <n v="0"/>
  </r>
  <r>
    <x v="0"/>
    <x v="11"/>
    <x v="18"/>
    <x v="43"/>
    <x v="52"/>
    <x v="1"/>
    <n v="0"/>
  </r>
  <r>
    <x v="0"/>
    <x v="11"/>
    <x v="18"/>
    <x v="43"/>
    <x v="53"/>
    <x v="1"/>
    <n v="0"/>
  </r>
  <r>
    <x v="0"/>
    <x v="11"/>
    <x v="18"/>
    <x v="43"/>
    <x v="54"/>
    <x v="1"/>
    <n v="0"/>
  </r>
  <r>
    <x v="0"/>
    <x v="11"/>
    <x v="18"/>
    <x v="43"/>
    <x v="55"/>
    <x v="1"/>
    <n v="0"/>
  </r>
  <r>
    <x v="0"/>
    <x v="11"/>
    <x v="19"/>
    <x v="44"/>
    <x v="46"/>
    <x v="5"/>
    <n v="699.98548670399998"/>
  </r>
  <r>
    <x v="0"/>
    <x v="11"/>
    <x v="19"/>
    <x v="44"/>
    <x v="47"/>
    <x v="5"/>
    <n v="699.98548670399998"/>
  </r>
  <r>
    <x v="0"/>
    <x v="11"/>
    <x v="19"/>
    <x v="44"/>
    <x v="48"/>
    <x v="5"/>
    <n v="699.98548670399998"/>
  </r>
  <r>
    <x v="0"/>
    <x v="11"/>
    <x v="19"/>
    <x v="44"/>
    <x v="49"/>
    <x v="5"/>
    <n v="0"/>
  </r>
  <r>
    <x v="0"/>
    <x v="11"/>
    <x v="19"/>
    <x v="44"/>
    <x v="50"/>
    <x v="5"/>
    <n v="0"/>
  </r>
  <r>
    <x v="0"/>
    <x v="11"/>
    <x v="19"/>
    <x v="44"/>
    <x v="51"/>
    <x v="5"/>
    <n v="0"/>
  </r>
  <r>
    <x v="0"/>
    <x v="11"/>
    <x v="19"/>
    <x v="44"/>
    <x v="52"/>
    <x v="5"/>
    <n v="0"/>
  </r>
  <r>
    <x v="0"/>
    <x v="11"/>
    <x v="19"/>
    <x v="44"/>
    <x v="53"/>
    <x v="5"/>
    <n v="0"/>
  </r>
  <r>
    <x v="0"/>
    <x v="11"/>
    <x v="19"/>
    <x v="44"/>
    <x v="54"/>
    <x v="5"/>
    <n v="0"/>
  </r>
  <r>
    <x v="0"/>
    <x v="11"/>
    <x v="19"/>
    <x v="44"/>
    <x v="55"/>
    <x v="5"/>
    <n v="0"/>
  </r>
  <r>
    <x v="0"/>
    <x v="11"/>
    <x v="20"/>
    <x v="44"/>
    <x v="0"/>
    <x v="6"/>
    <n v="274.211659994"/>
  </r>
  <r>
    <x v="0"/>
    <x v="11"/>
    <x v="21"/>
    <x v="44"/>
    <x v="0"/>
    <x v="6"/>
    <n v="3969.574472672"/>
  </r>
  <r>
    <x v="0"/>
    <x v="11"/>
    <x v="22"/>
    <x v="44"/>
    <x v="0"/>
    <x v="5"/>
    <n v="6.9078350999999996E-2"/>
  </r>
  <r>
    <x v="0"/>
    <x v="11"/>
    <x v="23"/>
    <x v="44"/>
    <x v="0"/>
    <x v="5"/>
    <n v="867.56547883999997"/>
  </r>
  <r>
    <x v="0"/>
    <x v="11"/>
    <x v="24"/>
    <x v="44"/>
    <x v="0"/>
    <x v="6"/>
    <n v="1506.190286732"/>
  </r>
  <r>
    <x v="0"/>
    <x v="11"/>
    <x v="25"/>
    <x v="45"/>
    <x v="0"/>
    <x v="6"/>
    <n v="1743.029087329"/>
  </r>
  <r>
    <x v="0"/>
    <x v="11"/>
    <x v="26"/>
    <x v="44"/>
    <x v="0"/>
    <x v="6"/>
    <n v="1260.0234710980001"/>
  </r>
  <r>
    <x v="0"/>
    <x v="11"/>
    <x v="27"/>
    <x v="44"/>
    <x v="0"/>
    <x v="6"/>
    <n v="753.07774331400003"/>
  </r>
  <r>
    <x v="0"/>
    <x v="11"/>
    <x v="28"/>
    <x v="44"/>
    <x v="0"/>
    <x v="6"/>
    <n v="1292.7461158010001"/>
  </r>
  <r>
    <x v="0"/>
    <x v="11"/>
    <x v="29"/>
    <x v="44"/>
    <x v="0"/>
    <x v="6"/>
    <n v="5.9790317269999997"/>
  </r>
  <r>
    <x v="0"/>
    <x v="11"/>
    <x v="30"/>
    <x v="44"/>
    <x v="0"/>
    <x v="6"/>
    <n v="247.14877884000001"/>
  </r>
  <r>
    <x v="0"/>
    <x v="11"/>
    <x v="31"/>
    <x v="44"/>
    <x v="0"/>
    <x v="6"/>
    <n v="11032.258905372"/>
  </r>
  <r>
    <x v="0"/>
    <x v="11"/>
    <x v="32"/>
    <x v="44"/>
    <x v="0"/>
    <x v="5"/>
    <n v="2.2402373E-2"/>
  </r>
  <r>
    <x v="0"/>
    <x v="11"/>
    <x v="33"/>
    <x v="44"/>
    <x v="0"/>
    <x v="5"/>
    <n v="2.6035999999999999E-5"/>
  </r>
  <r>
    <x v="0"/>
    <x v="11"/>
    <x v="34"/>
    <x v="44"/>
    <x v="0"/>
    <x v="5"/>
    <n v="1"/>
  </r>
  <r>
    <x v="0"/>
    <x v="11"/>
    <x v="35"/>
    <x v="44"/>
    <x v="0"/>
    <x v="5"/>
    <n v="1.075"/>
  </r>
  <r>
    <x v="0"/>
    <x v="11"/>
    <x v="36"/>
    <x v="44"/>
    <x v="0"/>
    <x v="5"/>
    <n v="2.3252697999999999E-2"/>
  </r>
  <r>
    <x v="0"/>
    <x v="11"/>
    <x v="37"/>
    <x v="45"/>
    <x v="0"/>
    <x v="6"/>
    <n v="0"/>
  </r>
  <r>
    <x v="0"/>
    <x v="11"/>
    <x v="38"/>
    <x v="45"/>
    <x v="0"/>
    <x v="6"/>
    <n v="0"/>
  </r>
  <r>
    <x v="0"/>
    <x v="11"/>
    <x v="39"/>
    <x v="45"/>
    <x v="0"/>
    <x v="6"/>
    <n v="1"/>
  </r>
  <r>
    <x v="0"/>
    <x v="11"/>
    <x v="40"/>
    <x v="45"/>
    <x v="0"/>
    <x v="6"/>
    <n v="177.20140972999999"/>
  </r>
  <r>
    <x v="0"/>
    <x v="11"/>
    <x v="41"/>
    <x v="45"/>
    <x v="0"/>
    <x v="6"/>
    <n v="162.05512638499999"/>
  </r>
  <r>
    <x v="0"/>
    <x v="11"/>
    <x v="42"/>
    <x v="45"/>
    <x v="0"/>
    <x v="6"/>
    <n v="15.146283345000001"/>
  </r>
  <r>
    <x v="0"/>
    <x v="11"/>
    <x v="43"/>
    <x v="45"/>
    <x v="0"/>
    <x v="6"/>
    <n v="293.35566010000002"/>
  </r>
  <r>
    <x v="0"/>
    <x v="11"/>
    <x v="44"/>
    <x v="45"/>
    <x v="0"/>
    <x v="6"/>
    <n v="0"/>
  </r>
  <r>
    <x v="0"/>
    <x v="11"/>
    <x v="45"/>
    <x v="44"/>
    <x v="0"/>
    <x v="5"/>
    <n v="5.1631126999999999E-2"/>
  </r>
  <r>
    <x v="0"/>
    <x v="11"/>
    <x v="46"/>
    <x v="45"/>
    <x v="0"/>
    <x v="5"/>
    <n v="4.3184246699999997"/>
  </r>
  <r>
    <x v="0"/>
    <x v="11"/>
    <x v="47"/>
    <x v="46"/>
    <x v="0"/>
    <x v="6"/>
    <n v="0.493057262"/>
  </r>
  <r>
    <x v="0"/>
    <x v="11"/>
    <x v="48"/>
    <x v="47"/>
    <x v="0"/>
    <x v="6"/>
    <n v="0"/>
  </r>
  <r>
    <x v="0"/>
    <x v="11"/>
    <x v="49"/>
    <x v="47"/>
    <x v="0"/>
    <x v="6"/>
    <n v="0"/>
  </r>
  <r>
    <x v="0"/>
    <x v="11"/>
    <x v="50"/>
    <x v="48"/>
    <x v="0"/>
    <x v="7"/>
    <n v="127.445098231"/>
  </r>
  <r>
    <x v="0"/>
    <x v="11"/>
    <x v="50"/>
    <x v="49"/>
    <x v="0"/>
    <x v="7"/>
    <n v="119.21062334699999"/>
  </r>
  <r>
    <x v="0"/>
    <x v="11"/>
    <x v="51"/>
    <x v="42"/>
    <x v="0"/>
    <x v="4"/>
    <n v="60.879149189000003"/>
  </r>
  <r>
    <x v="0"/>
    <x v="11"/>
    <x v="51"/>
    <x v="43"/>
    <x v="0"/>
    <x v="4"/>
    <n v="202.43359242899999"/>
  </r>
  <r>
    <x v="0"/>
    <x v="11"/>
    <x v="52"/>
    <x v="42"/>
    <x v="0"/>
    <x v="4"/>
    <n v="33.711796843000002"/>
  </r>
  <r>
    <x v="0"/>
    <x v="11"/>
    <x v="52"/>
    <x v="43"/>
    <x v="0"/>
    <x v="4"/>
    <n v="67.053894702999997"/>
  </r>
  <r>
    <x v="0"/>
    <x v="11"/>
    <x v="53"/>
    <x v="42"/>
    <x v="0"/>
    <x v="4"/>
    <n v="9.8246827319999994"/>
  </r>
  <r>
    <x v="0"/>
    <x v="11"/>
    <x v="53"/>
    <x v="43"/>
    <x v="0"/>
    <x v="4"/>
    <n v="15.918356231000001"/>
  </r>
  <r>
    <x v="0"/>
    <x v="11"/>
    <x v="54"/>
    <x v="42"/>
    <x v="56"/>
    <x v="4"/>
    <n v="22.38993134"/>
  </r>
  <r>
    <x v="0"/>
    <x v="11"/>
    <x v="54"/>
    <x v="43"/>
    <x v="56"/>
    <x v="4"/>
    <n v="127.709360887"/>
  </r>
  <r>
    <x v="0"/>
    <x v="11"/>
    <x v="55"/>
    <x v="42"/>
    <x v="0"/>
    <x v="4"/>
    <n v="6.3450099999999995E-2"/>
  </r>
  <r>
    <x v="0"/>
    <x v="11"/>
    <x v="55"/>
    <x v="43"/>
    <x v="0"/>
    <x v="4"/>
    <n v="5.8710793999999997E-2"/>
  </r>
  <r>
    <x v="0"/>
    <x v="11"/>
    <x v="56"/>
    <x v="42"/>
    <x v="0"/>
    <x v="4"/>
    <n v="8.0867662000000007E-2"/>
  </r>
  <r>
    <x v="0"/>
    <x v="11"/>
    <x v="56"/>
    <x v="43"/>
    <x v="0"/>
    <x v="4"/>
    <n v="7.8062609000000005E-2"/>
  </r>
  <r>
    <x v="0"/>
    <x v="11"/>
    <x v="57"/>
    <x v="42"/>
    <x v="0"/>
    <x v="4"/>
    <n v="4.1240938999999997E-2"/>
  </r>
  <r>
    <x v="0"/>
    <x v="11"/>
    <x v="57"/>
    <x v="43"/>
    <x v="0"/>
    <x v="4"/>
    <n v="3.8791923999999998E-2"/>
  </r>
  <r>
    <x v="0"/>
    <x v="11"/>
    <x v="58"/>
    <x v="44"/>
    <x v="57"/>
    <x v="5"/>
    <n v="3.9338875000000002E-2"/>
  </r>
  <r>
    <x v="0"/>
    <x v="11"/>
    <x v="59"/>
    <x v="44"/>
    <x v="57"/>
    <x v="6"/>
    <n v="704.06799999999998"/>
  </r>
  <r>
    <x v="0"/>
    <x v="11"/>
    <x v="60"/>
    <x v="0"/>
    <x v="57"/>
    <x v="8"/>
    <n v="224.745091301"/>
  </r>
  <r>
    <x v="0"/>
    <x v="11"/>
    <x v="60"/>
    <x v="1"/>
    <x v="57"/>
    <x v="8"/>
    <n v="26.132992152"/>
  </r>
  <r>
    <x v="0"/>
    <x v="11"/>
    <x v="60"/>
    <x v="2"/>
    <x v="57"/>
    <x v="8"/>
    <n v="85.442227109000001"/>
  </r>
  <r>
    <x v="0"/>
    <x v="11"/>
    <x v="60"/>
    <x v="3"/>
    <x v="57"/>
    <x v="8"/>
    <n v="60.082666484000001"/>
  </r>
  <r>
    <x v="0"/>
    <x v="11"/>
    <x v="60"/>
    <x v="4"/>
    <x v="57"/>
    <x v="8"/>
    <n v="4.5341501949999996"/>
  </r>
  <r>
    <x v="0"/>
    <x v="11"/>
    <x v="60"/>
    <x v="5"/>
    <x v="57"/>
    <x v="8"/>
    <n v="92.039999660000007"/>
  </r>
  <r>
    <x v="0"/>
    <x v="11"/>
    <x v="60"/>
    <x v="6"/>
    <x v="57"/>
    <x v="8"/>
    <n v="13.806853825999999"/>
  </r>
  <r>
    <x v="0"/>
    <x v="11"/>
    <x v="60"/>
    <x v="7"/>
    <x v="57"/>
    <x v="8"/>
    <n v="22.488488819000001"/>
  </r>
  <r>
    <x v="0"/>
    <x v="11"/>
    <x v="60"/>
    <x v="8"/>
    <x v="57"/>
    <x v="8"/>
    <n v="6.1965070100000004"/>
  </r>
  <r>
    <x v="0"/>
    <x v="11"/>
    <x v="60"/>
    <x v="9"/>
    <x v="57"/>
    <x v="8"/>
    <n v="22.056529660999999"/>
  </r>
  <r>
    <x v="0"/>
    <x v="11"/>
    <x v="60"/>
    <x v="10"/>
    <x v="57"/>
    <x v="8"/>
    <n v="20.387247188"/>
  </r>
  <r>
    <x v="0"/>
    <x v="11"/>
    <x v="60"/>
    <x v="11"/>
    <x v="57"/>
    <x v="8"/>
    <n v="118.09485395999999"/>
  </r>
  <r>
    <x v="0"/>
    <x v="11"/>
    <x v="60"/>
    <x v="12"/>
    <x v="57"/>
    <x v="8"/>
    <n v="4.645930978"/>
  </r>
  <r>
    <x v="0"/>
    <x v="11"/>
    <x v="60"/>
    <x v="13"/>
    <x v="57"/>
    <x v="8"/>
    <n v="45.387077281000003"/>
  </r>
  <r>
    <x v="0"/>
    <x v="11"/>
    <x v="60"/>
    <x v="14"/>
    <x v="57"/>
    <x v="8"/>
    <n v="5.9927063629999999"/>
  </r>
  <r>
    <x v="0"/>
    <x v="11"/>
    <x v="60"/>
    <x v="15"/>
    <x v="57"/>
    <x v="8"/>
    <n v="40.449764344000002"/>
  </r>
  <r>
    <x v="0"/>
    <x v="11"/>
    <x v="60"/>
    <x v="16"/>
    <x v="57"/>
    <x v="8"/>
    <n v="34.714539776000002"/>
  </r>
  <r>
    <x v="0"/>
    <x v="11"/>
    <x v="60"/>
    <x v="17"/>
    <x v="57"/>
    <x v="8"/>
    <n v="56.904215526000002"/>
  </r>
  <r>
    <x v="0"/>
    <x v="11"/>
    <x v="60"/>
    <x v="18"/>
    <x v="57"/>
    <x v="8"/>
    <n v="30.31252331"/>
  </r>
  <r>
    <x v="0"/>
    <x v="11"/>
    <x v="60"/>
    <x v="19"/>
    <x v="57"/>
    <x v="8"/>
    <n v="178.83046341599999"/>
  </r>
  <r>
    <x v="0"/>
    <x v="11"/>
    <x v="60"/>
    <x v="20"/>
    <x v="57"/>
    <x v="8"/>
    <n v="26.924885252999999"/>
  </r>
  <r>
    <x v="0"/>
    <x v="11"/>
    <x v="60"/>
    <x v="21"/>
    <x v="57"/>
    <x v="8"/>
    <n v="0.52782685299999998"/>
  </r>
  <r>
    <x v="0"/>
    <x v="11"/>
    <x v="60"/>
    <x v="22"/>
    <x v="57"/>
    <x v="8"/>
    <n v="1.16392893"/>
  </r>
  <r>
    <x v="0"/>
    <x v="11"/>
    <x v="60"/>
    <x v="23"/>
    <x v="57"/>
    <x v="8"/>
    <n v="0"/>
  </r>
  <r>
    <x v="0"/>
    <x v="11"/>
    <x v="60"/>
    <x v="24"/>
    <x v="57"/>
    <x v="8"/>
    <n v="0.17712362300000001"/>
  </r>
  <r>
    <x v="0"/>
    <x v="11"/>
    <x v="60"/>
    <x v="25"/>
    <x v="57"/>
    <x v="8"/>
    <n v="3.2999999999999998E-8"/>
  </r>
  <r>
    <x v="0"/>
    <x v="11"/>
    <x v="60"/>
    <x v="26"/>
    <x v="57"/>
    <x v="8"/>
    <n v="0"/>
  </r>
  <r>
    <x v="0"/>
    <x v="11"/>
    <x v="60"/>
    <x v="27"/>
    <x v="57"/>
    <x v="8"/>
    <n v="2.8944736469999999"/>
  </r>
  <r>
    <x v="0"/>
    <x v="11"/>
    <x v="60"/>
    <x v="28"/>
    <x v="57"/>
    <x v="8"/>
    <n v="0"/>
  </r>
  <r>
    <x v="0"/>
    <x v="11"/>
    <x v="60"/>
    <x v="29"/>
    <x v="57"/>
    <x v="8"/>
    <n v="36.337794701999997"/>
  </r>
  <r>
    <x v="0"/>
    <x v="11"/>
    <x v="60"/>
    <x v="30"/>
    <x v="57"/>
    <x v="8"/>
    <n v="23.568006446999998"/>
  </r>
  <r>
    <x v="0"/>
    <x v="11"/>
    <x v="60"/>
    <x v="31"/>
    <x v="57"/>
    <x v="8"/>
    <n v="5.3877088779999998"/>
  </r>
  <r>
    <x v="0"/>
    <x v="11"/>
    <x v="60"/>
    <x v="32"/>
    <x v="57"/>
    <x v="8"/>
    <n v="3.2688626240000001"/>
  </r>
  <r>
    <x v="0"/>
    <x v="11"/>
    <x v="60"/>
    <x v="33"/>
    <x v="57"/>
    <x v="8"/>
    <n v="0"/>
  </r>
  <r>
    <x v="0"/>
    <x v="11"/>
    <x v="60"/>
    <x v="34"/>
    <x v="57"/>
    <x v="8"/>
    <n v="37.395002705000003"/>
  </r>
  <r>
    <x v="0"/>
    <x v="11"/>
    <x v="60"/>
    <x v="35"/>
    <x v="57"/>
    <x v="8"/>
    <n v="3.928908099"/>
  </r>
  <r>
    <x v="0"/>
    <x v="11"/>
    <x v="60"/>
    <x v="36"/>
    <x v="57"/>
    <x v="8"/>
    <n v="8.6147590829999992"/>
  </r>
  <r>
    <x v="0"/>
    <x v="11"/>
    <x v="60"/>
    <x v="37"/>
    <x v="57"/>
    <x v="8"/>
    <n v="2.1848651650000002"/>
  </r>
  <r>
    <x v="0"/>
    <x v="11"/>
    <x v="60"/>
    <x v="38"/>
    <x v="57"/>
    <x v="8"/>
    <n v="11.444338815"/>
  </r>
  <r>
    <x v="0"/>
    <x v="11"/>
    <x v="60"/>
    <x v="39"/>
    <x v="57"/>
    <x v="8"/>
    <n v="3.4432031090000002"/>
  </r>
  <r>
    <x v="0"/>
    <x v="11"/>
    <x v="60"/>
    <x v="40"/>
    <x v="57"/>
    <x v="8"/>
    <n v="23.836694920999999"/>
  </r>
  <r>
    <x v="0"/>
    <x v="11"/>
    <x v="60"/>
    <x v="41"/>
    <x v="57"/>
    <x v="8"/>
    <n v="8.4029045579999995"/>
  </r>
  <r>
    <x v="0"/>
    <x v="11"/>
    <x v="61"/>
    <x v="0"/>
    <x v="57"/>
    <x v="8"/>
    <n v="1.316583456"/>
  </r>
  <r>
    <x v="0"/>
    <x v="11"/>
    <x v="61"/>
    <x v="1"/>
    <x v="57"/>
    <x v="8"/>
    <n v="0.45542052199999999"/>
  </r>
  <r>
    <x v="0"/>
    <x v="11"/>
    <x v="61"/>
    <x v="2"/>
    <x v="57"/>
    <x v="8"/>
    <n v="2.8316175389999998"/>
  </r>
  <r>
    <x v="0"/>
    <x v="11"/>
    <x v="61"/>
    <x v="3"/>
    <x v="57"/>
    <x v="8"/>
    <n v="0.41314482800000002"/>
  </r>
  <r>
    <x v="0"/>
    <x v="11"/>
    <x v="61"/>
    <x v="4"/>
    <x v="57"/>
    <x v="8"/>
    <n v="0.76312427400000005"/>
  </r>
  <r>
    <x v="0"/>
    <x v="11"/>
    <x v="61"/>
    <x v="5"/>
    <x v="57"/>
    <x v="8"/>
    <n v="8.676516414"/>
  </r>
  <r>
    <x v="0"/>
    <x v="11"/>
    <x v="61"/>
    <x v="6"/>
    <x v="57"/>
    <x v="8"/>
    <n v="16.6078279"/>
  </r>
  <r>
    <x v="0"/>
    <x v="11"/>
    <x v="61"/>
    <x v="7"/>
    <x v="57"/>
    <x v="8"/>
    <n v="33.842357161999999"/>
  </r>
  <r>
    <x v="0"/>
    <x v="11"/>
    <x v="61"/>
    <x v="8"/>
    <x v="57"/>
    <x v="8"/>
    <n v="12.96110571"/>
  </r>
  <r>
    <x v="0"/>
    <x v="11"/>
    <x v="61"/>
    <x v="9"/>
    <x v="57"/>
    <x v="8"/>
    <n v="30.017024882000001"/>
  </r>
  <r>
    <x v="0"/>
    <x v="11"/>
    <x v="61"/>
    <x v="10"/>
    <x v="57"/>
    <x v="8"/>
    <n v="11.90899488"/>
  </r>
  <r>
    <x v="0"/>
    <x v="11"/>
    <x v="61"/>
    <x v="11"/>
    <x v="57"/>
    <x v="8"/>
    <n v="64.515971605000004"/>
  </r>
  <r>
    <x v="0"/>
    <x v="11"/>
    <x v="61"/>
    <x v="12"/>
    <x v="57"/>
    <x v="8"/>
    <n v="14.479159587"/>
  </r>
  <r>
    <x v="0"/>
    <x v="11"/>
    <x v="61"/>
    <x v="13"/>
    <x v="57"/>
    <x v="8"/>
    <n v="36.876034134000001"/>
  </r>
  <r>
    <x v="0"/>
    <x v="11"/>
    <x v="61"/>
    <x v="14"/>
    <x v="57"/>
    <x v="8"/>
    <n v="27.381746835000001"/>
  </r>
  <r>
    <x v="0"/>
    <x v="11"/>
    <x v="61"/>
    <x v="15"/>
    <x v="57"/>
    <x v="8"/>
    <n v="36.925491843000003"/>
  </r>
  <r>
    <x v="0"/>
    <x v="11"/>
    <x v="61"/>
    <x v="16"/>
    <x v="57"/>
    <x v="8"/>
    <n v="17.282452459000002"/>
  </r>
  <r>
    <x v="0"/>
    <x v="11"/>
    <x v="61"/>
    <x v="17"/>
    <x v="57"/>
    <x v="8"/>
    <n v="29.163880421999998"/>
  </r>
  <r>
    <x v="0"/>
    <x v="11"/>
    <x v="61"/>
    <x v="18"/>
    <x v="57"/>
    <x v="8"/>
    <n v="66.102530364000003"/>
  </r>
  <r>
    <x v="0"/>
    <x v="11"/>
    <x v="61"/>
    <x v="19"/>
    <x v="57"/>
    <x v="8"/>
    <n v="152.402927527"/>
  </r>
  <r>
    <x v="0"/>
    <x v="11"/>
    <x v="61"/>
    <x v="20"/>
    <x v="57"/>
    <x v="8"/>
    <n v="11.252366965"/>
  </r>
  <r>
    <x v="0"/>
    <x v="11"/>
    <x v="61"/>
    <x v="21"/>
    <x v="57"/>
    <x v="8"/>
    <n v="2.390291382"/>
  </r>
  <r>
    <x v="0"/>
    <x v="11"/>
    <x v="61"/>
    <x v="22"/>
    <x v="57"/>
    <x v="8"/>
    <n v="5.3537876249999998"/>
  </r>
  <r>
    <x v="0"/>
    <x v="11"/>
    <x v="61"/>
    <x v="23"/>
    <x v="57"/>
    <x v="8"/>
    <n v="0"/>
  </r>
  <r>
    <x v="0"/>
    <x v="11"/>
    <x v="61"/>
    <x v="24"/>
    <x v="57"/>
    <x v="8"/>
    <n v="0.630961471"/>
  </r>
  <r>
    <x v="0"/>
    <x v="11"/>
    <x v="61"/>
    <x v="25"/>
    <x v="57"/>
    <x v="8"/>
    <n v="0"/>
  </r>
  <r>
    <x v="0"/>
    <x v="11"/>
    <x v="61"/>
    <x v="26"/>
    <x v="57"/>
    <x v="8"/>
    <n v="0"/>
  </r>
  <r>
    <x v="0"/>
    <x v="11"/>
    <x v="61"/>
    <x v="27"/>
    <x v="57"/>
    <x v="8"/>
    <n v="2.8073147619999999"/>
  </r>
  <r>
    <x v="0"/>
    <x v="11"/>
    <x v="61"/>
    <x v="28"/>
    <x v="57"/>
    <x v="8"/>
    <n v="86.553218547"/>
  </r>
  <r>
    <x v="0"/>
    <x v="11"/>
    <x v="61"/>
    <x v="29"/>
    <x v="57"/>
    <x v="8"/>
    <n v="36.496719169000002"/>
  </r>
  <r>
    <x v="0"/>
    <x v="11"/>
    <x v="61"/>
    <x v="30"/>
    <x v="57"/>
    <x v="8"/>
    <n v="1.3906537450000001"/>
  </r>
  <r>
    <x v="0"/>
    <x v="11"/>
    <x v="61"/>
    <x v="31"/>
    <x v="57"/>
    <x v="8"/>
    <n v="9.4492016729999992"/>
  </r>
  <r>
    <x v="0"/>
    <x v="11"/>
    <x v="61"/>
    <x v="32"/>
    <x v="57"/>
    <x v="8"/>
    <n v="4.1703069939999997"/>
  </r>
  <r>
    <x v="0"/>
    <x v="11"/>
    <x v="61"/>
    <x v="33"/>
    <x v="57"/>
    <x v="8"/>
    <n v="0"/>
  </r>
  <r>
    <x v="0"/>
    <x v="11"/>
    <x v="61"/>
    <x v="34"/>
    <x v="57"/>
    <x v="8"/>
    <n v="23.771104236999999"/>
  </r>
  <r>
    <x v="0"/>
    <x v="11"/>
    <x v="61"/>
    <x v="35"/>
    <x v="57"/>
    <x v="8"/>
    <n v="0.14743679100000001"/>
  </r>
  <r>
    <x v="0"/>
    <x v="11"/>
    <x v="61"/>
    <x v="36"/>
    <x v="57"/>
    <x v="8"/>
    <n v="0.57836004600000002"/>
  </r>
  <r>
    <x v="0"/>
    <x v="11"/>
    <x v="61"/>
    <x v="37"/>
    <x v="57"/>
    <x v="8"/>
    <n v="0.35727878000000002"/>
  </r>
  <r>
    <x v="0"/>
    <x v="11"/>
    <x v="61"/>
    <x v="38"/>
    <x v="57"/>
    <x v="8"/>
    <n v="0.103194493"/>
  </r>
  <r>
    <x v="0"/>
    <x v="11"/>
    <x v="61"/>
    <x v="39"/>
    <x v="57"/>
    <x v="8"/>
    <n v="0.12420626"/>
  </r>
  <r>
    <x v="0"/>
    <x v="11"/>
    <x v="61"/>
    <x v="40"/>
    <x v="57"/>
    <x v="8"/>
    <n v="2.3791649270000002"/>
  </r>
  <r>
    <x v="0"/>
    <x v="11"/>
    <x v="61"/>
    <x v="41"/>
    <x v="57"/>
    <x v="8"/>
    <n v="0.198263104"/>
  </r>
  <r>
    <x v="0"/>
    <x v="11"/>
    <x v="62"/>
    <x v="0"/>
    <x v="57"/>
    <x v="9"/>
    <n v="3.9338875000000002E-2"/>
  </r>
  <r>
    <x v="0"/>
    <x v="11"/>
    <x v="62"/>
    <x v="1"/>
    <x v="57"/>
    <x v="9"/>
    <n v="3.9338875000000002E-2"/>
  </r>
  <r>
    <x v="0"/>
    <x v="11"/>
    <x v="62"/>
    <x v="2"/>
    <x v="57"/>
    <x v="9"/>
    <n v="3.9338875000000002E-2"/>
  </r>
  <r>
    <x v="0"/>
    <x v="11"/>
    <x v="62"/>
    <x v="3"/>
    <x v="57"/>
    <x v="9"/>
    <n v="3.9338875000000002E-2"/>
  </r>
  <r>
    <x v="0"/>
    <x v="11"/>
    <x v="62"/>
    <x v="4"/>
    <x v="57"/>
    <x v="9"/>
    <n v="3.9338875000000002E-2"/>
  </r>
  <r>
    <x v="0"/>
    <x v="11"/>
    <x v="62"/>
    <x v="5"/>
    <x v="57"/>
    <x v="9"/>
    <n v="3.9338875000000002E-2"/>
  </r>
  <r>
    <x v="0"/>
    <x v="11"/>
    <x v="62"/>
    <x v="6"/>
    <x v="57"/>
    <x v="9"/>
    <n v="3.9338875000000002E-2"/>
  </r>
  <r>
    <x v="0"/>
    <x v="11"/>
    <x v="62"/>
    <x v="7"/>
    <x v="57"/>
    <x v="9"/>
    <n v="3.9338875000000002E-2"/>
  </r>
  <r>
    <x v="0"/>
    <x v="11"/>
    <x v="62"/>
    <x v="8"/>
    <x v="57"/>
    <x v="9"/>
    <n v="3.9338875000000002E-2"/>
  </r>
  <r>
    <x v="0"/>
    <x v="11"/>
    <x v="62"/>
    <x v="9"/>
    <x v="57"/>
    <x v="9"/>
    <n v="3.9338875000000002E-2"/>
  </r>
  <r>
    <x v="0"/>
    <x v="11"/>
    <x v="62"/>
    <x v="10"/>
    <x v="57"/>
    <x v="9"/>
    <n v="3.9338875000000002E-2"/>
  </r>
  <r>
    <x v="0"/>
    <x v="11"/>
    <x v="62"/>
    <x v="11"/>
    <x v="57"/>
    <x v="9"/>
    <n v="3.9338875000000002E-2"/>
  </r>
  <r>
    <x v="0"/>
    <x v="11"/>
    <x v="62"/>
    <x v="12"/>
    <x v="57"/>
    <x v="9"/>
    <n v="3.9338875000000002E-2"/>
  </r>
  <r>
    <x v="0"/>
    <x v="11"/>
    <x v="62"/>
    <x v="13"/>
    <x v="57"/>
    <x v="9"/>
    <n v="3.9338875000000002E-2"/>
  </r>
  <r>
    <x v="0"/>
    <x v="11"/>
    <x v="62"/>
    <x v="14"/>
    <x v="57"/>
    <x v="9"/>
    <n v="3.9338875000000002E-2"/>
  </r>
  <r>
    <x v="0"/>
    <x v="11"/>
    <x v="62"/>
    <x v="15"/>
    <x v="57"/>
    <x v="9"/>
    <n v="3.9338875000000002E-2"/>
  </r>
  <r>
    <x v="0"/>
    <x v="11"/>
    <x v="62"/>
    <x v="16"/>
    <x v="57"/>
    <x v="9"/>
    <n v="3.9338875000000002E-2"/>
  </r>
  <r>
    <x v="0"/>
    <x v="11"/>
    <x v="62"/>
    <x v="17"/>
    <x v="57"/>
    <x v="9"/>
    <n v="3.9338875000000002E-2"/>
  </r>
  <r>
    <x v="0"/>
    <x v="11"/>
    <x v="62"/>
    <x v="18"/>
    <x v="57"/>
    <x v="9"/>
    <n v="3.9338875000000002E-2"/>
  </r>
  <r>
    <x v="0"/>
    <x v="11"/>
    <x v="62"/>
    <x v="19"/>
    <x v="57"/>
    <x v="9"/>
    <n v="3.9338875000000002E-2"/>
  </r>
  <r>
    <x v="0"/>
    <x v="11"/>
    <x v="62"/>
    <x v="20"/>
    <x v="57"/>
    <x v="9"/>
    <n v="3.9338875000000002E-2"/>
  </r>
  <r>
    <x v="0"/>
    <x v="11"/>
    <x v="62"/>
    <x v="21"/>
    <x v="57"/>
    <x v="9"/>
    <n v="3.9338875000000002E-2"/>
  </r>
  <r>
    <x v="0"/>
    <x v="11"/>
    <x v="62"/>
    <x v="22"/>
    <x v="57"/>
    <x v="9"/>
    <n v="3.9338875000000002E-2"/>
  </r>
  <r>
    <x v="0"/>
    <x v="11"/>
    <x v="62"/>
    <x v="23"/>
    <x v="57"/>
    <x v="9"/>
    <n v="1"/>
  </r>
  <r>
    <x v="0"/>
    <x v="11"/>
    <x v="62"/>
    <x v="24"/>
    <x v="57"/>
    <x v="9"/>
    <n v="3.9338875000000002E-2"/>
  </r>
  <r>
    <x v="0"/>
    <x v="11"/>
    <x v="62"/>
    <x v="25"/>
    <x v="57"/>
    <x v="9"/>
    <n v="3.9338875000000002E-2"/>
  </r>
  <r>
    <x v="0"/>
    <x v="11"/>
    <x v="62"/>
    <x v="26"/>
    <x v="57"/>
    <x v="9"/>
    <n v="1"/>
  </r>
  <r>
    <x v="0"/>
    <x v="11"/>
    <x v="62"/>
    <x v="27"/>
    <x v="57"/>
    <x v="9"/>
    <n v="3.9338875000000002E-2"/>
  </r>
  <r>
    <x v="0"/>
    <x v="11"/>
    <x v="62"/>
    <x v="28"/>
    <x v="57"/>
    <x v="9"/>
    <n v="1"/>
  </r>
  <r>
    <x v="0"/>
    <x v="11"/>
    <x v="62"/>
    <x v="29"/>
    <x v="57"/>
    <x v="9"/>
    <n v="3.9338875000000002E-2"/>
  </r>
  <r>
    <x v="0"/>
    <x v="11"/>
    <x v="62"/>
    <x v="30"/>
    <x v="57"/>
    <x v="9"/>
    <n v="3.9338875000000002E-2"/>
  </r>
  <r>
    <x v="0"/>
    <x v="11"/>
    <x v="62"/>
    <x v="31"/>
    <x v="57"/>
    <x v="9"/>
    <n v="3.9338875000000002E-2"/>
  </r>
  <r>
    <x v="0"/>
    <x v="11"/>
    <x v="62"/>
    <x v="32"/>
    <x v="57"/>
    <x v="9"/>
    <n v="3.9338875000000002E-2"/>
  </r>
  <r>
    <x v="0"/>
    <x v="11"/>
    <x v="62"/>
    <x v="33"/>
    <x v="57"/>
    <x v="9"/>
    <n v="1"/>
  </r>
  <r>
    <x v="0"/>
    <x v="11"/>
    <x v="62"/>
    <x v="34"/>
    <x v="57"/>
    <x v="9"/>
    <n v="3.9338875000000002E-2"/>
  </r>
  <r>
    <x v="0"/>
    <x v="11"/>
    <x v="62"/>
    <x v="35"/>
    <x v="57"/>
    <x v="9"/>
    <n v="3.9338875000000002E-2"/>
  </r>
  <r>
    <x v="0"/>
    <x v="11"/>
    <x v="62"/>
    <x v="36"/>
    <x v="57"/>
    <x v="9"/>
    <n v="3.9338875000000002E-2"/>
  </r>
  <r>
    <x v="0"/>
    <x v="11"/>
    <x v="62"/>
    <x v="37"/>
    <x v="57"/>
    <x v="9"/>
    <n v="3.9338875000000002E-2"/>
  </r>
  <r>
    <x v="0"/>
    <x v="11"/>
    <x v="62"/>
    <x v="38"/>
    <x v="57"/>
    <x v="9"/>
    <n v="3.9338875000000002E-2"/>
  </r>
  <r>
    <x v="0"/>
    <x v="11"/>
    <x v="62"/>
    <x v="39"/>
    <x v="57"/>
    <x v="9"/>
    <n v="3.9338875000000002E-2"/>
  </r>
  <r>
    <x v="0"/>
    <x v="11"/>
    <x v="62"/>
    <x v="40"/>
    <x v="57"/>
    <x v="9"/>
    <n v="3.9338875000000002E-2"/>
  </r>
  <r>
    <x v="0"/>
    <x v="11"/>
    <x v="62"/>
    <x v="41"/>
    <x v="57"/>
    <x v="9"/>
    <n v="3.9338875000000002E-2"/>
  </r>
  <r>
    <x v="0"/>
    <x v="11"/>
    <x v="63"/>
    <x v="0"/>
    <x v="57"/>
    <x v="9"/>
    <n v="5.1170855000000001E-2"/>
  </r>
  <r>
    <x v="0"/>
    <x v="11"/>
    <x v="63"/>
    <x v="1"/>
    <x v="57"/>
    <x v="9"/>
    <n v="3.3756578000000002E-2"/>
  </r>
  <r>
    <x v="0"/>
    <x v="11"/>
    <x v="63"/>
    <x v="2"/>
    <x v="57"/>
    <x v="9"/>
    <n v="2.9058039000000001E-2"/>
  </r>
  <r>
    <x v="0"/>
    <x v="11"/>
    <x v="63"/>
    <x v="3"/>
    <x v="57"/>
    <x v="9"/>
    <n v="3.2513935000000001E-2"/>
  </r>
  <r>
    <x v="0"/>
    <x v="11"/>
    <x v="63"/>
    <x v="4"/>
    <x v="57"/>
    <x v="9"/>
    <n v="3.0656706999999998E-2"/>
  </r>
  <r>
    <x v="0"/>
    <x v="11"/>
    <x v="63"/>
    <x v="5"/>
    <x v="57"/>
    <x v="9"/>
    <n v="3.3487879999999998E-2"/>
  </r>
  <r>
    <x v="0"/>
    <x v="11"/>
    <x v="63"/>
    <x v="6"/>
    <x v="57"/>
    <x v="9"/>
    <n v="3.2097361999999997E-2"/>
  </r>
  <r>
    <x v="0"/>
    <x v="11"/>
    <x v="63"/>
    <x v="7"/>
    <x v="57"/>
    <x v="9"/>
    <n v="3.2907849000000003E-2"/>
  </r>
  <r>
    <x v="0"/>
    <x v="11"/>
    <x v="63"/>
    <x v="8"/>
    <x v="57"/>
    <x v="9"/>
    <n v="3.1599692999999998E-2"/>
  </r>
  <r>
    <x v="0"/>
    <x v="11"/>
    <x v="63"/>
    <x v="9"/>
    <x v="57"/>
    <x v="9"/>
    <n v="2.8048019E-2"/>
  </r>
  <r>
    <x v="0"/>
    <x v="11"/>
    <x v="63"/>
    <x v="10"/>
    <x v="57"/>
    <x v="9"/>
    <n v="2.2256558999999999E-2"/>
  </r>
  <r>
    <x v="0"/>
    <x v="11"/>
    <x v="63"/>
    <x v="11"/>
    <x v="57"/>
    <x v="9"/>
    <n v="2.6159580000000002E-2"/>
  </r>
  <r>
    <x v="0"/>
    <x v="11"/>
    <x v="63"/>
    <x v="12"/>
    <x v="57"/>
    <x v="9"/>
    <n v="2.7795700999999999E-2"/>
  </r>
  <r>
    <x v="0"/>
    <x v="11"/>
    <x v="63"/>
    <x v="13"/>
    <x v="57"/>
    <x v="9"/>
    <n v="2.3835068000000001E-2"/>
  </r>
  <r>
    <x v="0"/>
    <x v="11"/>
    <x v="63"/>
    <x v="14"/>
    <x v="57"/>
    <x v="9"/>
    <n v="2.5635390000000001E-2"/>
  </r>
  <r>
    <x v="0"/>
    <x v="11"/>
    <x v="63"/>
    <x v="15"/>
    <x v="57"/>
    <x v="9"/>
    <n v="2.8662295000000001E-2"/>
  </r>
  <r>
    <x v="0"/>
    <x v="11"/>
    <x v="63"/>
    <x v="16"/>
    <x v="57"/>
    <x v="9"/>
    <n v="2.9542724999999999E-2"/>
  </r>
  <r>
    <x v="0"/>
    <x v="11"/>
    <x v="63"/>
    <x v="17"/>
    <x v="57"/>
    <x v="9"/>
    <n v="2.8618561000000001E-2"/>
  </r>
  <r>
    <x v="0"/>
    <x v="11"/>
    <x v="63"/>
    <x v="18"/>
    <x v="57"/>
    <x v="9"/>
    <n v="2.6087668000000001E-2"/>
  </r>
  <r>
    <x v="0"/>
    <x v="11"/>
    <x v="63"/>
    <x v="19"/>
    <x v="57"/>
    <x v="9"/>
    <n v="3.0740067999999999E-2"/>
  </r>
  <r>
    <x v="0"/>
    <x v="11"/>
    <x v="63"/>
    <x v="20"/>
    <x v="57"/>
    <x v="9"/>
    <n v="3.0361860000000001E-2"/>
  </r>
  <r>
    <x v="0"/>
    <x v="11"/>
    <x v="63"/>
    <x v="21"/>
    <x v="57"/>
    <x v="9"/>
    <n v="2.8106856E-2"/>
  </r>
  <r>
    <x v="0"/>
    <x v="11"/>
    <x v="63"/>
    <x v="22"/>
    <x v="57"/>
    <x v="9"/>
    <n v="1.5342929E-2"/>
  </r>
  <r>
    <x v="0"/>
    <x v="11"/>
    <x v="63"/>
    <x v="23"/>
    <x v="57"/>
    <x v="9"/>
    <n v="1"/>
  </r>
  <r>
    <x v="0"/>
    <x v="11"/>
    <x v="63"/>
    <x v="24"/>
    <x v="57"/>
    <x v="9"/>
    <n v="2.4219178000000001E-2"/>
  </r>
  <r>
    <x v="0"/>
    <x v="11"/>
    <x v="63"/>
    <x v="25"/>
    <x v="57"/>
    <x v="9"/>
    <n v="1"/>
  </r>
  <r>
    <x v="0"/>
    <x v="11"/>
    <x v="63"/>
    <x v="26"/>
    <x v="57"/>
    <x v="9"/>
    <n v="1"/>
  </r>
  <r>
    <x v="0"/>
    <x v="11"/>
    <x v="63"/>
    <x v="27"/>
    <x v="57"/>
    <x v="9"/>
    <n v="3.1811921999999999E-2"/>
  </r>
  <r>
    <x v="0"/>
    <x v="11"/>
    <x v="63"/>
    <x v="28"/>
    <x v="57"/>
    <x v="9"/>
    <n v="3.3288027999999997E-2"/>
  </r>
  <r>
    <x v="0"/>
    <x v="11"/>
    <x v="63"/>
    <x v="29"/>
    <x v="57"/>
    <x v="9"/>
    <n v="2.8546611E-2"/>
  </r>
  <r>
    <x v="0"/>
    <x v="11"/>
    <x v="63"/>
    <x v="30"/>
    <x v="57"/>
    <x v="9"/>
    <n v="4.0160954999999998E-2"/>
  </r>
  <r>
    <x v="0"/>
    <x v="11"/>
    <x v="63"/>
    <x v="31"/>
    <x v="57"/>
    <x v="9"/>
    <n v="2.6450668E-2"/>
  </r>
  <r>
    <x v="0"/>
    <x v="11"/>
    <x v="63"/>
    <x v="32"/>
    <x v="57"/>
    <x v="9"/>
    <n v="2.8034459000000001E-2"/>
  </r>
  <r>
    <x v="0"/>
    <x v="11"/>
    <x v="63"/>
    <x v="33"/>
    <x v="57"/>
    <x v="9"/>
    <n v="1"/>
  </r>
  <r>
    <x v="0"/>
    <x v="11"/>
    <x v="63"/>
    <x v="34"/>
    <x v="57"/>
    <x v="9"/>
    <n v="2.9138971E-2"/>
  </r>
  <r>
    <x v="0"/>
    <x v="11"/>
    <x v="63"/>
    <x v="35"/>
    <x v="57"/>
    <x v="9"/>
    <n v="2.9428586E-2"/>
  </r>
  <r>
    <x v="0"/>
    <x v="11"/>
    <x v="63"/>
    <x v="36"/>
    <x v="57"/>
    <x v="9"/>
    <n v="3.0904510999999999E-2"/>
  </r>
  <r>
    <x v="0"/>
    <x v="11"/>
    <x v="63"/>
    <x v="37"/>
    <x v="57"/>
    <x v="9"/>
    <n v="3.9563546999999998E-2"/>
  </r>
  <r>
    <x v="0"/>
    <x v="11"/>
    <x v="63"/>
    <x v="38"/>
    <x v="57"/>
    <x v="9"/>
    <n v="5.0225183E-2"/>
  </r>
  <r>
    <x v="0"/>
    <x v="11"/>
    <x v="63"/>
    <x v="39"/>
    <x v="57"/>
    <x v="9"/>
    <n v="3.7953151999999997E-2"/>
  </r>
  <r>
    <x v="0"/>
    <x v="11"/>
    <x v="63"/>
    <x v="40"/>
    <x v="57"/>
    <x v="9"/>
    <n v="3.6583521000000001E-2"/>
  </r>
  <r>
    <x v="0"/>
    <x v="11"/>
    <x v="63"/>
    <x v="41"/>
    <x v="57"/>
    <x v="9"/>
    <n v="4.1152134E-2"/>
  </r>
  <r>
    <x v="0"/>
    <x v="11"/>
    <x v="64"/>
    <x v="0"/>
    <x v="57"/>
    <x v="10"/>
    <n v="0"/>
  </r>
  <r>
    <x v="0"/>
    <x v="11"/>
    <x v="64"/>
    <x v="1"/>
    <x v="57"/>
    <x v="10"/>
    <n v="0"/>
  </r>
  <r>
    <x v="0"/>
    <x v="11"/>
    <x v="64"/>
    <x v="2"/>
    <x v="57"/>
    <x v="10"/>
    <n v="0"/>
  </r>
  <r>
    <x v="0"/>
    <x v="11"/>
    <x v="64"/>
    <x v="3"/>
    <x v="57"/>
    <x v="10"/>
    <n v="0"/>
  </r>
  <r>
    <x v="0"/>
    <x v="11"/>
    <x v="64"/>
    <x v="4"/>
    <x v="57"/>
    <x v="10"/>
    <n v="0"/>
  </r>
  <r>
    <x v="0"/>
    <x v="11"/>
    <x v="64"/>
    <x v="5"/>
    <x v="57"/>
    <x v="10"/>
    <n v="0"/>
  </r>
  <r>
    <x v="0"/>
    <x v="11"/>
    <x v="64"/>
    <x v="6"/>
    <x v="57"/>
    <x v="10"/>
    <n v="0"/>
  </r>
  <r>
    <x v="0"/>
    <x v="11"/>
    <x v="64"/>
    <x v="7"/>
    <x v="57"/>
    <x v="10"/>
    <n v="0"/>
  </r>
  <r>
    <x v="0"/>
    <x v="11"/>
    <x v="64"/>
    <x v="8"/>
    <x v="57"/>
    <x v="10"/>
    <n v="0"/>
  </r>
  <r>
    <x v="0"/>
    <x v="11"/>
    <x v="64"/>
    <x v="9"/>
    <x v="57"/>
    <x v="10"/>
    <n v="0"/>
  </r>
  <r>
    <x v="0"/>
    <x v="11"/>
    <x v="64"/>
    <x v="10"/>
    <x v="57"/>
    <x v="10"/>
    <n v="0"/>
  </r>
  <r>
    <x v="0"/>
    <x v="11"/>
    <x v="64"/>
    <x v="11"/>
    <x v="57"/>
    <x v="10"/>
    <n v="0"/>
  </r>
  <r>
    <x v="0"/>
    <x v="11"/>
    <x v="64"/>
    <x v="12"/>
    <x v="57"/>
    <x v="10"/>
    <n v="0"/>
  </r>
  <r>
    <x v="0"/>
    <x v="11"/>
    <x v="64"/>
    <x v="13"/>
    <x v="57"/>
    <x v="10"/>
    <n v="0"/>
  </r>
  <r>
    <x v="0"/>
    <x v="11"/>
    <x v="64"/>
    <x v="14"/>
    <x v="57"/>
    <x v="10"/>
    <n v="0"/>
  </r>
  <r>
    <x v="0"/>
    <x v="11"/>
    <x v="64"/>
    <x v="15"/>
    <x v="57"/>
    <x v="10"/>
    <n v="0"/>
  </r>
  <r>
    <x v="0"/>
    <x v="11"/>
    <x v="64"/>
    <x v="16"/>
    <x v="57"/>
    <x v="10"/>
    <n v="0"/>
  </r>
  <r>
    <x v="0"/>
    <x v="11"/>
    <x v="64"/>
    <x v="17"/>
    <x v="57"/>
    <x v="10"/>
    <n v="0"/>
  </r>
  <r>
    <x v="0"/>
    <x v="11"/>
    <x v="64"/>
    <x v="18"/>
    <x v="57"/>
    <x v="10"/>
    <n v="0"/>
  </r>
  <r>
    <x v="0"/>
    <x v="11"/>
    <x v="64"/>
    <x v="19"/>
    <x v="57"/>
    <x v="10"/>
    <n v="0"/>
  </r>
  <r>
    <x v="0"/>
    <x v="11"/>
    <x v="64"/>
    <x v="20"/>
    <x v="57"/>
    <x v="10"/>
    <n v="0"/>
  </r>
  <r>
    <x v="0"/>
    <x v="11"/>
    <x v="64"/>
    <x v="21"/>
    <x v="57"/>
    <x v="10"/>
    <n v="0"/>
  </r>
  <r>
    <x v="0"/>
    <x v="11"/>
    <x v="64"/>
    <x v="22"/>
    <x v="57"/>
    <x v="10"/>
    <n v="0"/>
  </r>
  <r>
    <x v="0"/>
    <x v="11"/>
    <x v="64"/>
    <x v="23"/>
    <x v="57"/>
    <x v="10"/>
    <n v="0"/>
  </r>
  <r>
    <x v="0"/>
    <x v="11"/>
    <x v="64"/>
    <x v="24"/>
    <x v="57"/>
    <x v="10"/>
    <n v="0"/>
  </r>
  <r>
    <x v="0"/>
    <x v="11"/>
    <x v="64"/>
    <x v="25"/>
    <x v="57"/>
    <x v="10"/>
    <n v="0"/>
  </r>
  <r>
    <x v="0"/>
    <x v="11"/>
    <x v="64"/>
    <x v="26"/>
    <x v="57"/>
    <x v="10"/>
    <n v="0"/>
  </r>
  <r>
    <x v="0"/>
    <x v="11"/>
    <x v="64"/>
    <x v="27"/>
    <x v="57"/>
    <x v="10"/>
    <n v="0"/>
  </r>
  <r>
    <x v="0"/>
    <x v="11"/>
    <x v="64"/>
    <x v="28"/>
    <x v="57"/>
    <x v="10"/>
    <n v="0"/>
  </r>
  <r>
    <x v="0"/>
    <x v="11"/>
    <x v="64"/>
    <x v="29"/>
    <x v="57"/>
    <x v="10"/>
    <n v="0"/>
  </r>
  <r>
    <x v="0"/>
    <x v="11"/>
    <x v="64"/>
    <x v="30"/>
    <x v="57"/>
    <x v="10"/>
    <n v="0"/>
  </r>
  <r>
    <x v="0"/>
    <x v="11"/>
    <x v="64"/>
    <x v="31"/>
    <x v="57"/>
    <x v="10"/>
    <n v="0"/>
  </r>
  <r>
    <x v="0"/>
    <x v="11"/>
    <x v="64"/>
    <x v="32"/>
    <x v="57"/>
    <x v="10"/>
    <n v="0"/>
  </r>
  <r>
    <x v="0"/>
    <x v="11"/>
    <x v="64"/>
    <x v="33"/>
    <x v="57"/>
    <x v="10"/>
    <n v="0"/>
  </r>
  <r>
    <x v="0"/>
    <x v="11"/>
    <x v="64"/>
    <x v="34"/>
    <x v="57"/>
    <x v="10"/>
    <n v="0"/>
  </r>
  <r>
    <x v="0"/>
    <x v="11"/>
    <x v="64"/>
    <x v="35"/>
    <x v="57"/>
    <x v="10"/>
    <n v="0"/>
  </r>
  <r>
    <x v="0"/>
    <x v="11"/>
    <x v="64"/>
    <x v="36"/>
    <x v="57"/>
    <x v="10"/>
    <n v="0"/>
  </r>
  <r>
    <x v="0"/>
    <x v="11"/>
    <x v="64"/>
    <x v="37"/>
    <x v="57"/>
    <x v="10"/>
    <n v="0"/>
  </r>
  <r>
    <x v="0"/>
    <x v="11"/>
    <x v="64"/>
    <x v="38"/>
    <x v="57"/>
    <x v="10"/>
    <n v="0"/>
  </r>
  <r>
    <x v="0"/>
    <x v="11"/>
    <x v="64"/>
    <x v="39"/>
    <x v="57"/>
    <x v="10"/>
    <n v="0"/>
  </r>
  <r>
    <x v="0"/>
    <x v="11"/>
    <x v="64"/>
    <x v="40"/>
    <x v="57"/>
    <x v="10"/>
    <n v="0"/>
  </r>
  <r>
    <x v="0"/>
    <x v="11"/>
    <x v="64"/>
    <x v="41"/>
    <x v="57"/>
    <x v="10"/>
    <n v="0"/>
  </r>
  <r>
    <x v="0"/>
    <x v="11"/>
    <x v="65"/>
    <x v="48"/>
    <x v="58"/>
    <x v="11"/>
    <n v="1805.523012201"/>
  </r>
  <r>
    <x v="0"/>
    <x v="11"/>
    <x v="65"/>
    <x v="49"/>
    <x v="58"/>
    <x v="11"/>
    <n v="1746.219924859"/>
  </r>
  <r>
    <x v="0"/>
    <x v="11"/>
    <x v="66"/>
    <x v="48"/>
    <x v="58"/>
    <x v="12"/>
    <n v="7.0586250000000003E-2"/>
  </r>
  <r>
    <x v="0"/>
    <x v="11"/>
    <x v="66"/>
    <x v="49"/>
    <x v="58"/>
    <x v="12"/>
    <n v="6.8267817999999994E-2"/>
  </r>
  <r>
    <x v="0"/>
    <x v="12"/>
    <x v="0"/>
    <x v="0"/>
    <x v="0"/>
    <x v="0"/>
    <n v="724.78967256400006"/>
  </r>
  <r>
    <x v="0"/>
    <x v="12"/>
    <x v="1"/>
    <x v="0"/>
    <x v="0"/>
    <x v="1"/>
    <n v="0.10476916"/>
  </r>
  <r>
    <x v="0"/>
    <x v="12"/>
    <x v="2"/>
    <x v="0"/>
    <x v="0"/>
    <x v="1"/>
    <n v="276.93410523"/>
  </r>
  <r>
    <x v="0"/>
    <x v="12"/>
    <x v="3"/>
    <x v="0"/>
    <x v="0"/>
    <x v="1"/>
    <n v="0.127537076"/>
  </r>
  <r>
    <x v="0"/>
    <x v="12"/>
    <x v="0"/>
    <x v="1"/>
    <x v="0"/>
    <x v="0"/>
    <n v="225.351688776"/>
  </r>
  <r>
    <x v="0"/>
    <x v="12"/>
    <x v="1"/>
    <x v="1"/>
    <x v="0"/>
    <x v="1"/>
    <n v="5.8566091000000001E-2"/>
  </r>
  <r>
    <x v="0"/>
    <x v="12"/>
    <x v="2"/>
    <x v="1"/>
    <x v="0"/>
    <x v="1"/>
    <n v="137.338281604"/>
  </r>
  <r>
    <x v="0"/>
    <x v="12"/>
    <x v="3"/>
    <x v="1"/>
    <x v="0"/>
    <x v="1"/>
    <n v="7.4396493999999994E-2"/>
  </r>
  <r>
    <x v="0"/>
    <x v="12"/>
    <x v="0"/>
    <x v="2"/>
    <x v="0"/>
    <x v="0"/>
    <n v="260.10346032199999"/>
  </r>
  <r>
    <x v="0"/>
    <x v="12"/>
    <x v="1"/>
    <x v="2"/>
    <x v="0"/>
    <x v="1"/>
    <n v="3.6955640999999997E-2"/>
  </r>
  <r>
    <x v="0"/>
    <x v="12"/>
    <x v="2"/>
    <x v="2"/>
    <x v="0"/>
    <x v="1"/>
    <n v="149.08545033999999"/>
  </r>
  <r>
    <x v="0"/>
    <x v="12"/>
    <x v="3"/>
    <x v="2"/>
    <x v="0"/>
    <x v="1"/>
    <n v="2.5530509999999999E-2"/>
  </r>
  <r>
    <x v="0"/>
    <x v="12"/>
    <x v="0"/>
    <x v="3"/>
    <x v="0"/>
    <x v="0"/>
    <n v="123.778776529"/>
  </r>
  <r>
    <x v="0"/>
    <x v="12"/>
    <x v="1"/>
    <x v="3"/>
    <x v="0"/>
    <x v="1"/>
    <n v="4.8129151000000002E-2"/>
  </r>
  <r>
    <x v="0"/>
    <x v="12"/>
    <x v="2"/>
    <x v="3"/>
    <x v="0"/>
    <x v="1"/>
    <n v="84.304973989999993"/>
  </r>
  <r>
    <x v="0"/>
    <x v="12"/>
    <x v="3"/>
    <x v="3"/>
    <x v="0"/>
    <x v="1"/>
    <n v="5.5963962999999999E-2"/>
  </r>
  <r>
    <x v="0"/>
    <x v="12"/>
    <x v="0"/>
    <x v="4"/>
    <x v="0"/>
    <x v="0"/>
    <n v="60.402977178999997"/>
  </r>
  <r>
    <x v="0"/>
    <x v="12"/>
    <x v="1"/>
    <x v="4"/>
    <x v="0"/>
    <x v="1"/>
    <n v="5.2253264000000001E-2"/>
  </r>
  <r>
    <x v="0"/>
    <x v="12"/>
    <x v="2"/>
    <x v="4"/>
    <x v="0"/>
    <x v="1"/>
    <n v="40.642483339000002"/>
  </r>
  <r>
    <x v="0"/>
    <x v="12"/>
    <x v="3"/>
    <x v="4"/>
    <x v="0"/>
    <x v="1"/>
    <n v="6.5650993000000005E-2"/>
  </r>
  <r>
    <x v="0"/>
    <x v="12"/>
    <x v="0"/>
    <x v="5"/>
    <x v="0"/>
    <x v="0"/>
    <n v="627.80161908800005"/>
  </r>
  <r>
    <x v="0"/>
    <x v="12"/>
    <x v="1"/>
    <x v="5"/>
    <x v="0"/>
    <x v="1"/>
    <n v="7.1295933000000006E-2"/>
  </r>
  <r>
    <x v="0"/>
    <x v="12"/>
    <x v="2"/>
    <x v="5"/>
    <x v="0"/>
    <x v="1"/>
    <n v="524.57591394099995"/>
  </r>
  <r>
    <x v="0"/>
    <x v="12"/>
    <x v="3"/>
    <x v="5"/>
    <x v="0"/>
    <x v="1"/>
    <n v="4.5058994999999998E-2"/>
  </r>
  <r>
    <x v="0"/>
    <x v="12"/>
    <x v="0"/>
    <x v="6"/>
    <x v="0"/>
    <x v="0"/>
    <n v="199.40905816899999"/>
  </r>
  <r>
    <x v="0"/>
    <x v="12"/>
    <x v="1"/>
    <x v="6"/>
    <x v="0"/>
    <x v="1"/>
    <n v="6.5074086000000003E-2"/>
  </r>
  <r>
    <x v="0"/>
    <x v="12"/>
    <x v="2"/>
    <x v="6"/>
    <x v="0"/>
    <x v="1"/>
    <n v="166.90817984200001"/>
  </r>
  <r>
    <x v="0"/>
    <x v="12"/>
    <x v="3"/>
    <x v="6"/>
    <x v="0"/>
    <x v="1"/>
    <n v="6.0996684000000002E-2"/>
  </r>
  <r>
    <x v="0"/>
    <x v="12"/>
    <x v="0"/>
    <x v="7"/>
    <x v="0"/>
    <x v="0"/>
    <n v="133.51882122399999"/>
  </r>
  <r>
    <x v="0"/>
    <x v="12"/>
    <x v="1"/>
    <x v="7"/>
    <x v="0"/>
    <x v="1"/>
    <n v="6.2842140000000005E-2"/>
  </r>
  <r>
    <x v="0"/>
    <x v="12"/>
    <x v="2"/>
    <x v="7"/>
    <x v="0"/>
    <x v="1"/>
    <n v="108.602282446"/>
  </r>
  <r>
    <x v="0"/>
    <x v="12"/>
    <x v="3"/>
    <x v="7"/>
    <x v="0"/>
    <x v="1"/>
    <n v="7.2061652000000004E-2"/>
  </r>
  <r>
    <x v="0"/>
    <x v="12"/>
    <x v="0"/>
    <x v="8"/>
    <x v="0"/>
    <x v="0"/>
    <n v="91.837488891000007"/>
  </r>
  <r>
    <x v="0"/>
    <x v="12"/>
    <x v="1"/>
    <x v="8"/>
    <x v="0"/>
    <x v="1"/>
    <n v="5.9580340000000002E-2"/>
  </r>
  <r>
    <x v="0"/>
    <x v="12"/>
    <x v="2"/>
    <x v="8"/>
    <x v="0"/>
    <x v="1"/>
    <n v="74.988898574999993"/>
  </r>
  <r>
    <x v="0"/>
    <x v="12"/>
    <x v="3"/>
    <x v="8"/>
    <x v="0"/>
    <x v="1"/>
    <n v="5.8429226000000001E-2"/>
  </r>
  <r>
    <x v="0"/>
    <x v="12"/>
    <x v="0"/>
    <x v="9"/>
    <x v="0"/>
    <x v="0"/>
    <n v="239.76970738099999"/>
  </r>
  <r>
    <x v="0"/>
    <x v="12"/>
    <x v="1"/>
    <x v="9"/>
    <x v="0"/>
    <x v="1"/>
    <n v="5.3293883E-2"/>
  </r>
  <r>
    <x v="0"/>
    <x v="12"/>
    <x v="2"/>
    <x v="9"/>
    <x v="0"/>
    <x v="1"/>
    <n v="191.99779216600001"/>
  </r>
  <r>
    <x v="0"/>
    <x v="12"/>
    <x v="3"/>
    <x v="9"/>
    <x v="0"/>
    <x v="1"/>
    <n v="6.2788258999999999E-2"/>
  </r>
  <r>
    <x v="0"/>
    <x v="12"/>
    <x v="0"/>
    <x v="10"/>
    <x v="0"/>
    <x v="0"/>
    <n v="360.44201038300002"/>
  </r>
  <r>
    <x v="0"/>
    <x v="12"/>
    <x v="1"/>
    <x v="10"/>
    <x v="0"/>
    <x v="1"/>
    <n v="3.7792764E-2"/>
  </r>
  <r>
    <x v="0"/>
    <x v="12"/>
    <x v="2"/>
    <x v="10"/>
    <x v="0"/>
    <x v="1"/>
    <n v="330.17979937000001"/>
  </r>
  <r>
    <x v="0"/>
    <x v="12"/>
    <x v="3"/>
    <x v="10"/>
    <x v="0"/>
    <x v="1"/>
    <n v="4.4861961999999998E-2"/>
  </r>
  <r>
    <x v="0"/>
    <x v="12"/>
    <x v="0"/>
    <x v="11"/>
    <x v="0"/>
    <x v="0"/>
    <n v="946.65612525899996"/>
  </r>
  <r>
    <x v="0"/>
    <x v="12"/>
    <x v="1"/>
    <x v="11"/>
    <x v="0"/>
    <x v="1"/>
    <n v="4.7092529000000001E-2"/>
  </r>
  <r>
    <x v="0"/>
    <x v="12"/>
    <x v="2"/>
    <x v="11"/>
    <x v="0"/>
    <x v="1"/>
    <n v="795.44242463099999"/>
  </r>
  <r>
    <x v="0"/>
    <x v="12"/>
    <x v="3"/>
    <x v="11"/>
    <x v="0"/>
    <x v="1"/>
    <n v="4.0856132000000003E-2"/>
  </r>
  <r>
    <x v="0"/>
    <x v="12"/>
    <x v="0"/>
    <x v="12"/>
    <x v="0"/>
    <x v="0"/>
    <n v="247.581293875"/>
  </r>
  <r>
    <x v="0"/>
    <x v="12"/>
    <x v="1"/>
    <x v="12"/>
    <x v="0"/>
    <x v="1"/>
    <n v="4.7873459E-2"/>
  </r>
  <r>
    <x v="0"/>
    <x v="12"/>
    <x v="2"/>
    <x v="12"/>
    <x v="0"/>
    <x v="1"/>
    <n v="198.34741795400001"/>
  </r>
  <r>
    <x v="0"/>
    <x v="12"/>
    <x v="3"/>
    <x v="12"/>
    <x v="0"/>
    <x v="1"/>
    <n v="5.3632675999999997E-2"/>
  </r>
  <r>
    <x v="0"/>
    <x v="12"/>
    <x v="0"/>
    <x v="13"/>
    <x v="0"/>
    <x v="0"/>
    <n v="695.56283440799996"/>
  </r>
  <r>
    <x v="0"/>
    <x v="12"/>
    <x v="1"/>
    <x v="13"/>
    <x v="0"/>
    <x v="1"/>
    <n v="3.9018975999999997E-2"/>
  </r>
  <r>
    <x v="0"/>
    <x v="12"/>
    <x v="2"/>
    <x v="13"/>
    <x v="0"/>
    <x v="1"/>
    <n v="590.30265629999997"/>
  </r>
  <r>
    <x v="0"/>
    <x v="12"/>
    <x v="3"/>
    <x v="13"/>
    <x v="0"/>
    <x v="1"/>
    <n v="3.5352029E-2"/>
  </r>
  <r>
    <x v="0"/>
    <x v="12"/>
    <x v="0"/>
    <x v="14"/>
    <x v="0"/>
    <x v="0"/>
    <n v="192.20665259200001"/>
  </r>
  <r>
    <x v="0"/>
    <x v="12"/>
    <x v="1"/>
    <x v="14"/>
    <x v="0"/>
    <x v="1"/>
    <n v="4.4690132E-2"/>
  </r>
  <r>
    <x v="0"/>
    <x v="12"/>
    <x v="2"/>
    <x v="14"/>
    <x v="0"/>
    <x v="1"/>
    <n v="160.41989512399999"/>
  </r>
  <r>
    <x v="0"/>
    <x v="12"/>
    <x v="3"/>
    <x v="14"/>
    <x v="0"/>
    <x v="1"/>
    <n v="5.7143645E-2"/>
  </r>
  <r>
    <x v="0"/>
    <x v="12"/>
    <x v="0"/>
    <x v="15"/>
    <x v="0"/>
    <x v="0"/>
    <n v="208.009815559"/>
  </r>
  <r>
    <x v="0"/>
    <x v="12"/>
    <x v="1"/>
    <x v="15"/>
    <x v="0"/>
    <x v="1"/>
    <n v="4.7891332000000002E-2"/>
  </r>
  <r>
    <x v="0"/>
    <x v="12"/>
    <x v="2"/>
    <x v="15"/>
    <x v="0"/>
    <x v="1"/>
    <n v="171.85526165300001"/>
  </r>
  <r>
    <x v="0"/>
    <x v="12"/>
    <x v="3"/>
    <x v="15"/>
    <x v="0"/>
    <x v="1"/>
    <n v="6.2321916999999998E-2"/>
  </r>
  <r>
    <x v="0"/>
    <x v="12"/>
    <x v="0"/>
    <x v="16"/>
    <x v="0"/>
    <x v="0"/>
    <n v="133.345117047"/>
  </r>
  <r>
    <x v="0"/>
    <x v="12"/>
    <x v="1"/>
    <x v="16"/>
    <x v="0"/>
    <x v="1"/>
    <n v="4.8533672999999999E-2"/>
  </r>
  <r>
    <x v="0"/>
    <x v="12"/>
    <x v="2"/>
    <x v="16"/>
    <x v="0"/>
    <x v="1"/>
    <n v="108.96842931800001"/>
  </r>
  <r>
    <x v="0"/>
    <x v="12"/>
    <x v="3"/>
    <x v="16"/>
    <x v="0"/>
    <x v="1"/>
    <n v="6.1542054999999998E-2"/>
  </r>
  <r>
    <x v="0"/>
    <x v="12"/>
    <x v="0"/>
    <x v="17"/>
    <x v="0"/>
    <x v="0"/>
    <n v="313.22117872299998"/>
  </r>
  <r>
    <x v="0"/>
    <x v="12"/>
    <x v="1"/>
    <x v="17"/>
    <x v="0"/>
    <x v="1"/>
    <n v="4.9022679999999999E-2"/>
  </r>
  <r>
    <x v="0"/>
    <x v="12"/>
    <x v="2"/>
    <x v="17"/>
    <x v="0"/>
    <x v="1"/>
    <n v="261.95388971699998"/>
  </r>
  <r>
    <x v="0"/>
    <x v="12"/>
    <x v="3"/>
    <x v="17"/>
    <x v="0"/>
    <x v="1"/>
    <n v="5.9605350000000001E-2"/>
  </r>
  <r>
    <x v="0"/>
    <x v="12"/>
    <x v="0"/>
    <x v="18"/>
    <x v="0"/>
    <x v="0"/>
    <n v="269.28595872599999"/>
  </r>
  <r>
    <x v="0"/>
    <x v="12"/>
    <x v="1"/>
    <x v="18"/>
    <x v="0"/>
    <x v="1"/>
    <n v="4.4507181999999999E-2"/>
  </r>
  <r>
    <x v="0"/>
    <x v="12"/>
    <x v="2"/>
    <x v="18"/>
    <x v="0"/>
    <x v="1"/>
    <n v="231.041904931"/>
  </r>
  <r>
    <x v="0"/>
    <x v="12"/>
    <x v="3"/>
    <x v="18"/>
    <x v="0"/>
    <x v="1"/>
    <n v="4.9256262000000002E-2"/>
  </r>
  <r>
    <x v="0"/>
    <x v="12"/>
    <x v="0"/>
    <x v="19"/>
    <x v="0"/>
    <x v="0"/>
    <n v="317.25951213799999"/>
  </r>
  <r>
    <x v="0"/>
    <x v="12"/>
    <x v="1"/>
    <x v="19"/>
    <x v="0"/>
    <x v="1"/>
    <n v="4.8754994000000003E-2"/>
  </r>
  <r>
    <x v="0"/>
    <x v="12"/>
    <x v="2"/>
    <x v="19"/>
    <x v="0"/>
    <x v="1"/>
    <n v="268.920795596"/>
  </r>
  <r>
    <x v="0"/>
    <x v="12"/>
    <x v="3"/>
    <x v="19"/>
    <x v="0"/>
    <x v="1"/>
    <n v="6.7325877000000006E-2"/>
  </r>
  <r>
    <x v="0"/>
    <x v="12"/>
    <x v="0"/>
    <x v="20"/>
    <x v="0"/>
    <x v="0"/>
    <n v="41.670527722000003"/>
  </r>
  <r>
    <x v="0"/>
    <x v="12"/>
    <x v="1"/>
    <x v="20"/>
    <x v="0"/>
    <x v="1"/>
    <n v="4.7471370999999998E-2"/>
  </r>
  <r>
    <x v="0"/>
    <x v="12"/>
    <x v="2"/>
    <x v="20"/>
    <x v="0"/>
    <x v="1"/>
    <n v="33.409250337000003"/>
  </r>
  <r>
    <x v="0"/>
    <x v="12"/>
    <x v="3"/>
    <x v="20"/>
    <x v="0"/>
    <x v="1"/>
    <n v="5.5818935E-2"/>
  </r>
  <r>
    <x v="0"/>
    <x v="12"/>
    <x v="0"/>
    <x v="21"/>
    <x v="0"/>
    <x v="0"/>
    <n v="17.506431854999999"/>
  </r>
  <r>
    <x v="0"/>
    <x v="12"/>
    <x v="1"/>
    <x v="21"/>
    <x v="0"/>
    <x v="1"/>
    <n v="5.4450593999999998E-2"/>
  </r>
  <r>
    <x v="0"/>
    <x v="12"/>
    <x v="2"/>
    <x v="21"/>
    <x v="0"/>
    <x v="1"/>
    <n v="14.338197232000001"/>
  </r>
  <r>
    <x v="0"/>
    <x v="12"/>
    <x v="3"/>
    <x v="21"/>
    <x v="0"/>
    <x v="1"/>
    <n v="6.4327969999999998E-2"/>
  </r>
  <r>
    <x v="0"/>
    <x v="12"/>
    <x v="0"/>
    <x v="22"/>
    <x v="0"/>
    <x v="0"/>
    <n v="77.808094726999997"/>
  </r>
  <r>
    <x v="0"/>
    <x v="12"/>
    <x v="1"/>
    <x v="22"/>
    <x v="0"/>
    <x v="1"/>
    <n v="1.1134580999999999E-2"/>
  </r>
  <r>
    <x v="0"/>
    <x v="12"/>
    <x v="2"/>
    <x v="22"/>
    <x v="0"/>
    <x v="1"/>
    <n v="18.698620886"/>
  </r>
  <r>
    <x v="0"/>
    <x v="12"/>
    <x v="3"/>
    <x v="22"/>
    <x v="0"/>
    <x v="1"/>
    <n v="2.2697350000000002E-3"/>
  </r>
  <r>
    <x v="0"/>
    <x v="12"/>
    <x v="0"/>
    <x v="23"/>
    <x v="0"/>
    <x v="0"/>
    <n v="7.6402362259999999"/>
  </r>
  <r>
    <x v="0"/>
    <x v="12"/>
    <x v="1"/>
    <x v="23"/>
    <x v="0"/>
    <x v="1"/>
    <n v="5.4859621999999997E-2"/>
  </r>
  <r>
    <x v="0"/>
    <x v="12"/>
    <x v="2"/>
    <x v="23"/>
    <x v="0"/>
    <x v="1"/>
    <n v="6.3005505749999999"/>
  </r>
  <r>
    <x v="0"/>
    <x v="12"/>
    <x v="3"/>
    <x v="23"/>
    <x v="0"/>
    <x v="1"/>
    <n v="9.9785780000000004E-2"/>
  </r>
  <r>
    <x v="0"/>
    <x v="12"/>
    <x v="0"/>
    <x v="24"/>
    <x v="0"/>
    <x v="0"/>
    <n v="403.18610979099998"/>
  </r>
  <r>
    <x v="0"/>
    <x v="12"/>
    <x v="1"/>
    <x v="24"/>
    <x v="0"/>
    <x v="1"/>
    <n v="4.2124990000000001E-2"/>
  </r>
  <r>
    <x v="0"/>
    <x v="12"/>
    <x v="2"/>
    <x v="24"/>
    <x v="0"/>
    <x v="1"/>
    <n v="316.20887994100002"/>
  </r>
  <r>
    <x v="0"/>
    <x v="12"/>
    <x v="3"/>
    <x v="24"/>
    <x v="0"/>
    <x v="1"/>
    <n v="3.1758600999999997E-2"/>
  </r>
  <r>
    <x v="0"/>
    <x v="12"/>
    <x v="0"/>
    <x v="25"/>
    <x v="0"/>
    <x v="0"/>
    <n v="21.541665802000001"/>
  </r>
  <r>
    <x v="0"/>
    <x v="12"/>
    <x v="1"/>
    <x v="25"/>
    <x v="0"/>
    <x v="1"/>
    <n v="3.5937968000000001E-2"/>
  </r>
  <r>
    <x v="0"/>
    <x v="12"/>
    <x v="2"/>
    <x v="25"/>
    <x v="0"/>
    <x v="1"/>
    <n v="17.357408951"/>
  </r>
  <r>
    <x v="0"/>
    <x v="12"/>
    <x v="3"/>
    <x v="25"/>
    <x v="0"/>
    <x v="1"/>
    <n v="2.8599985000000001E-2"/>
  </r>
  <r>
    <x v="0"/>
    <x v="12"/>
    <x v="0"/>
    <x v="26"/>
    <x v="0"/>
    <x v="0"/>
    <n v="9.8315893820000007"/>
  </r>
  <r>
    <x v="0"/>
    <x v="12"/>
    <x v="1"/>
    <x v="26"/>
    <x v="0"/>
    <x v="1"/>
    <n v="5.3363504999999999E-2"/>
  </r>
  <r>
    <x v="0"/>
    <x v="12"/>
    <x v="2"/>
    <x v="26"/>
    <x v="0"/>
    <x v="1"/>
    <n v="5.8208386360000004"/>
  </r>
  <r>
    <x v="0"/>
    <x v="12"/>
    <x v="3"/>
    <x v="26"/>
    <x v="0"/>
    <x v="1"/>
    <n v="6.1837341999999997E-2"/>
  </r>
  <r>
    <x v="0"/>
    <x v="12"/>
    <x v="0"/>
    <x v="27"/>
    <x v="0"/>
    <x v="0"/>
    <n v="504.046201822"/>
  </r>
  <r>
    <x v="0"/>
    <x v="12"/>
    <x v="1"/>
    <x v="27"/>
    <x v="0"/>
    <x v="1"/>
    <n v="5.5077937E-2"/>
  </r>
  <r>
    <x v="0"/>
    <x v="12"/>
    <x v="2"/>
    <x v="27"/>
    <x v="0"/>
    <x v="1"/>
    <n v="388.83412918800002"/>
  </r>
  <r>
    <x v="0"/>
    <x v="12"/>
    <x v="3"/>
    <x v="27"/>
    <x v="0"/>
    <x v="1"/>
    <n v="8.4957032000000002E-2"/>
  </r>
  <r>
    <x v="0"/>
    <x v="12"/>
    <x v="0"/>
    <x v="28"/>
    <x v="0"/>
    <x v="0"/>
    <n v="593.78078511399997"/>
  </r>
  <r>
    <x v="0"/>
    <x v="12"/>
    <x v="1"/>
    <x v="28"/>
    <x v="0"/>
    <x v="1"/>
    <n v="4.448303E-2"/>
  </r>
  <r>
    <x v="0"/>
    <x v="12"/>
    <x v="2"/>
    <x v="28"/>
    <x v="0"/>
    <x v="1"/>
    <n v="317.91036943400002"/>
  </r>
  <r>
    <x v="0"/>
    <x v="12"/>
    <x v="3"/>
    <x v="28"/>
    <x v="0"/>
    <x v="1"/>
    <n v="4.4765665000000003E-2"/>
  </r>
  <r>
    <x v="0"/>
    <x v="12"/>
    <x v="0"/>
    <x v="29"/>
    <x v="0"/>
    <x v="0"/>
    <n v="526.70386809599995"/>
  </r>
  <r>
    <x v="0"/>
    <x v="12"/>
    <x v="1"/>
    <x v="29"/>
    <x v="0"/>
    <x v="1"/>
    <n v="4.8525587000000002E-2"/>
  </r>
  <r>
    <x v="0"/>
    <x v="12"/>
    <x v="2"/>
    <x v="29"/>
    <x v="0"/>
    <x v="1"/>
    <n v="338.058430972"/>
  </r>
  <r>
    <x v="0"/>
    <x v="12"/>
    <x v="3"/>
    <x v="29"/>
    <x v="0"/>
    <x v="1"/>
    <n v="5.2595625E-2"/>
  </r>
  <r>
    <x v="0"/>
    <x v="12"/>
    <x v="0"/>
    <x v="30"/>
    <x v="0"/>
    <x v="0"/>
    <n v="127.85624778899999"/>
  </r>
  <r>
    <x v="0"/>
    <x v="12"/>
    <x v="1"/>
    <x v="30"/>
    <x v="0"/>
    <x v="1"/>
    <n v="7.5748105999999996E-2"/>
  </r>
  <r>
    <x v="0"/>
    <x v="12"/>
    <x v="2"/>
    <x v="30"/>
    <x v="0"/>
    <x v="1"/>
    <n v="80.306267531000003"/>
  </r>
  <r>
    <x v="0"/>
    <x v="12"/>
    <x v="3"/>
    <x v="30"/>
    <x v="0"/>
    <x v="1"/>
    <n v="8.9275433000000001E-2"/>
  </r>
  <r>
    <x v="0"/>
    <x v="12"/>
    <x v="0"/>
    <x v="31"/>
    <x v="0"/>
    <x v="0"/>
    <n v="194.000594834"/>
  </r>
  <r>
    <x v="0"/>
    <x v="12"/>
    <x v="1"/>
    <x v="31"/>
    <x v="0"/>
    <x v="1"/>
    <n v="3.7831072E-2"/>
  </r>
  <r>
    <x v="0"/>
    <x v="12"/>
    <x v="2"/>
    <x v="31"/>
    <x v="0"/>
    <x v="1"/>
    <n v="106.672035186"/>
  </r>
  <r>
    <x v="0"/>
    <x v="12"/>
    <x v="3"/>
    <x v="31"/>
    <x v="0"/>
    <x v="1"/>
    <n v="2.9480559999999999E-2"/>
  </r>
  <r>
    <x v="0"/>
    <x v="12"/>
    <x v="0"/>
    <x v="32"/>
    <x v="0"/>
    <x v="0"/>
    <n v="620.77501953399997"/>
  </r>
  <r>
    <x v="0"/>
    <x v="12"/>
    <x v="1"/>
    <x v="32"/>
    <x v="0"/>
    <x v="1"/>
    <n v="3.9390386999999999E-2"/>
  </r>
  <r>
    <x v="0"/>
    <x v="12"/>
    <x v="2"/>
    <x v="32"/>
    <x v="0"/>
    <x v="1"/>
    <n v="291.98610169099999"/>
  </r>
  <r>
    <x v="0"/>
    <x v="12"/>
    <x v="3"/>
    <x v="32"/>
    <x v="0"/>
    <x v="1"/>
    <n v="3.3051297E-2"/>
  </r>
  <r>
    <x v="0"/>
    <x v="12"/>
    <x v="0"/>
    <x v="33"/>
    <x v="0"/>
    <x v="0"/>
    <n v="579.63320114400005"/>
  </r>
  <r>
    <x v="0"/>
    <x v="12"/>
    <x v="1"/>
    <x v="33"/>
    <x v="0"/>
    <x v="1"/>
    <n v="2.3034813000000001E-2"/>
  </r>
  <r>
    <x v="0"/>
    <x v="12"/>
    <x v="2"/>
    <x v="33"/>
    <x v="0"/>
    <x v="1"/>
    <n v="223.32500971600001"/>
  </r>
  <r>
    <x v="0"/>
    <x v="12"/>
    <x v="3"/>
    <x v="33"/>
    <x v="0"/>
    <x v="1"/>
    <n v="1.0442170000000001E-2"/>
  </r>
  <r>
    <x v="0"/>
    <x v="12"/>
    <x v="0"/>
    <x v="34"/>
    <x v="0"/>
    <x v="0"/>
    <n v="308.94712902800001"/>
  </r>
  <r>
    <x v="0"/>
    <x v="12"/>
    <x v="1"/>
    <x v="34"/>
    <x v="0"/>
    <x v="1"/>
    <n v="5.2448847999999999E-2"/>
  </r>
  <r>
    <x v="0"/>
    <x v="12"/>
    <x v="2"/>
    <x v="34"/>
    <x v="0"/>
    <x v="1"/>
    <n v="218.37761516200001"/>
  </r>
  <r>
    <x v="0"/>
    <x v="12"/>
    <x v="3"/>
    <x v="34"/>
    <x v="0"/>
    <x v="1"/>
    <n v="6.0053260999999997E-2"/>
  </r>
  <r>
    <x v="0"/>
    <x v="12"/>
    <x v="0"/>
    <x v="35"/>
    <x v="0"/>
    <x v="0"/>
    <n v="247.62956526599999"/>
  </r>
  <r>
    <x v="0"/>
    <x v="12"/>
    <x v="1"/>
    <x v="35"/>
    <x v="0"/>
    <x v="1"/>
    <n v="5.4772834999999999E-2"/>
  </r>
  <r>
    <x v="0"/>
    <x v="12"/>
    <x v="2"/>
    <x v="35"/>
    <x v="0"/>
    <x v="1"/>
    <n v="162.57762907"/>
  </r>
  <r>
    <x v="0"/>
    <x v="12"/>
    <x v="3"/>
    <x v="35"/>
    <x v="0"/>
    <x v="1"/>
    <n v="6.4772231E-2"/>
  </r>
  <r>
    <x v="0"/>
    <x v="12"/>
    <x v="0"/>
    <x v="36"/>
    <x v="0"/>
    <x v="0"/>
    <n v="83.283855837999994"/>
  </r>
  <r>
    <x v="0"/>
    <x v="12"/>
    <x v="1"/>
    <x v="36"/>
    <x v="0"/>
    <x v="1"/>
    <n v="5.9968314000000002E-2"/>
  </r>
  <r>
    <x v="0"/>
    <x v="12"/>
    <x v="2"/>
    <x v="36"/>
    <x v="0"/>
    <x v="1"/>
    <n v="49.197735102999999"/>
  </r>
  <r>
    <x v="0"/>
    <x v="12"/>
    <x v="3"/>
    <x v="36"/>
    <x v="0"/>
    <x v="1"/>
    <n v="6.7294539E-2"/>
  </r>
  <r>
    <x v="0"/>
    <x v="12"/>
    <x v="0"/>
    <x v="37"/>
    <x v="0"/>
    <x v="0"/>
    <n v="90.764596558999997"/>
  </r>
  <r>
    <x v="0"/>
    <x v="12"/>
    <x v="1"/>
    <x v="37"/>
    <x v="0"/>
    <x v="1"/>
    <n v="6.7673296999999993E-2"/>
  </r>
  <r>
    <x v="0"/>
    <x v="12"/>
    <x v="2"/>
    <x v="37"/>
    <x v="0"/>
    <x v="1"/>
    <n v="47.702246971000001"/>
  </r>
  <r>
    <x v="0"/>
    <x v="12"/>
    <x v="3"/>
    <x v="37"/>
    <x v="0"/>
    <x v="1"/>
    <n v="8.9776748000000003E-2"/>
  </r>
  <r>
    <x v="0"/>
    <x v="12"/>
    <x v="0"/>
    <x v="38"/>
    <x v="0"/>
    <x v="0"/>
    <n v="286.86676580699998"/>
  </r>
  <r>
    <x v="0"/>
    <x v="12"/>
    <x v="1"/>
    <x v="38"/>
    <x v="0"/>
    <x v="1"/>
    <n v="9.5300475999999995E-2"/>
  </r>
  <r>
    <x v="0"/>
    <x v="12"/>
    <x v="2"/>
    <x v="38"/>
    <x v="0"/>
    <x v="1"/>
    <n v="77.473851131999993"/>
  </r>
  <r>
    <x v="0"/>
    <x v="12"/>
    <x v="3"/>
    <x v="38"/>
    <x v="0"/>
    <x v="1"/>
    <n v="0.110749811"/>
  </r>
  <r>
    <x v="0"/>
    <x v="12"/>
    <x v="0"/>
    <x v="39"/>
    <x v="0"/>
    <x v="0"/>
    <n v="153.03264778600001"/>
  </r>
  <r>
    <x v="0"/>
    <x v="12"/>
    <x v="1"/>
    <x v="39"/>
    <x v="0"/>
    <x v="1"/>
    <n v="7.3564103000000006E-2"/>
  </r>
  <r>
    <x v="0"/>
    <x v="12"/>
    <x v="2"/>
    <x v="39"/>
    <x v="0"/>
    <x v="1"/>
    <n v="87.585844774999998"/>
  </r>
  <r>
    <x v="0"/>
    <x v="12"/>
    <x v="3"/>
    <x v="39"/>
    <x v="0"/>
    <x v="1"/>
    <n v="0.107585194"/>
  </r>
  <r>
    <x v="0"/>
    <x v="12"/>
    <x v="0"/>
    <x v="40"/>
    <x v="0"/>
    <x v="0"/>
    <n v="57.129196940999996"/>
  </r>
  <r>
    <x v="0"/>
    <x v="12"/>
    <x v="1"/>
    <x v="40"/>
    <x v="0"/>
    <x v="1"/>
    <n v="6.0030803000000001E-2"/>
  </r>
  <r>
    <x v="0"/>
    <x v="12"/>
    <x v="2"/>
    <x v="40"/>
    <x v="0"/>
    <x v="1"/>
    <n v="30.618788725000002"/>
  </r>
  <r>
    <x v="0"/>
    <x v="12"/>
    <x v="3"/>
    <x v="40"/>
    <x v="0"/>
    <x v="1"/>
    <n v="6.6492315999999996E-2"/>
  </r>
  <r>
    <x v="0"/>
    <x v="12"/>
    <x v="0"/>
    <x v="41"/>
    <x v="0"/>
    <x v="0"/>
    <n v="634.76796548300001"/>
  </r>
  <r>
    <x v="0"/>
    <x v="12"/>
    <x v="1"/>
    <x v="41"/>
    <x v="0"/>
    <x v="1"/>
    <n v="8.8563196999999996E-2"/>
  </r>
  <r>
    <x v="0"/>
    <x v="12"/>
    <x v="2"/>
    <x v="41"/>
    <x v="0"/>
    <x v="1"/>
    <n v="255.44374950700001"/>
  </r>
  <r>
    <x v="0"/>
    <x v="12"/>
    <x v="3"/>
    <x v="41"/>
    <x v="0"/>
    <x v="1"/>
    <n v="0.11214377"/>
  </r>
  <r>
    <x v="0"/>
    <x v="12"/>
    <x v="4"/>
    <x v="0"/>
    <x v="1"/>
    <x v="0"/>
    <n v="241.85542652000001"/>
  </r>
  <r>
    <x v="0"/>
    <x v="12"/>
    <x v="5"/>
    <x v="0"/>
    <x v="1"/>
    <x v="1"/>
    <n v="2.8557000000000001E-5"/>
  </r>
  <r>
    <x v="0"/>
    <x v="12"/>
    <x v="6"/>
    <x v="0"/>
    <x v="1"/>
    <x v="1"/>
    <n v="0.52843643600000001"/>
  </r>
  <r>
    <x v="0"/>
    <x v="12"/>
    <x v="4"/>
    <x v="1"/>
    <x v="1"/>
    <x v="0"/>
    <n v="354.95671400800001"/>
  </r>
  <r>
    <x v="0"/>
    <x v="12"/>
    <x v="5"/>
    <x v="1"/>
    <x v="1"/>
    <x v="1"/>
    <n v="3.3871000000000001E-5"/>
  </r>
  <r>
    <x v="0"/>
    <x v="12"/>
    <x v="6"/>
    <x v="1"/>
    <x v="1"/>
    <x v="1"/>
    <n v="0.52843643600000001"/>
  </r>
  <r>
    <x v="0"/>
    <x v="12"/>
    <x v="4"/>
    <x v="2"/>
    <x v="1"/>
    <x v="0"/>
    <n v="550.19468830000005"/>
  </r>
  <r>
    <x v="0"/>
    <x v="12"/>
    <x v="5"/>
    <x v="2"/>
    <x v="1"/>
    <x v="1"/>
    <n v="8.3554999999999995E-5"/>
  </r>
  <r>
    <x v="0"/>
    <x v="12"/>
    <x v="6"/>
    <x v="2"/>
    <x v="1"/>
    <x v="1"/>
    <n v="0.52843643600000001"/>
  </r>
  <r>
    <x v="0"/>
    <x v="12"/>
    <x v="4"/>
    <x v="3"/>
    <x v="1"/>
    <x v="0"/>
    <n v="206.70909083399999"/>
  </r>
  <r>
    <x v="0"/>
    <x v="12"/>
    <x v="5"/>
    <x v="3"/>
    <x v="1"/>
    <x v="1"/>
    <n v="2.9536999999999999E-5"/>
  </r>
  <r>
    <x v="0"/>
    <x v="12"/>
    <x v="6"/>
    <x v="3"/>
    <x v="1"/>
    <x v="1"/>
    <n v="0.52843643600000001"/>
  </r>
  <r>
    <x v="0"/>
    <x v="12"/>
    <x v="4"/>
    <x v="4"/>
    <x v="1"/>
    <x v="0"/>
    <n v="92.967610007000005"/>
  </r>
  <r>
    <x v="0"/>
    <x v="12"/>
    <x v="5"/>
    <x v="4"/>
    <x v="1"/>
    <x v="1"/>
    <n v="2.9340999999999999E-5"/>
  </r>
  <r>
    <x v="0"/>
    <x v="12"/>
    <x v="6"/>
    <x v="4"/>
    <x v="1"/>
    <x v="1"/>
    <n v="0.52843643600000001"/>
  </r>
  <r>
    <x v="0"/>
    <x v="12"/>
    <x v="4"/>
    <x v="5"/>
    <x v="1"/>
    <x v="0"/>
    <n v="707.45413212000005"/>
  </r>
  <r>
    <x v="0"/>
    <x v="12"/>
    <x v="5"/>
    <x v="5"/>
    <x v="1"/>
    <x v="1"/>
    <n v="1.4803E-5"/>
  </r>
  <r>
    <x v="0"/>
    <x v="12"/>
    <x v="6"/>
    <x v="5"/>
    <x v="1"/>
    <x v="1"/>
    <n v="0.52843643600000001"/>
  </r>
  <r>
    <x v="0"/>
    <x v="12"/>
    <x v="4"/>
    <x v="6"/>
    <x v="1"/>
    <x v="0"/>
    <n v="209.44437364500001"/>
  </r>
  <r>
    <x v="0"/>
    <x v="12"/>
    <x v="5"/>
    <x v="6"/>
    <x v="1"/>
    <x v="1"/>
    <n v="1.0322E-5"/>
  </r>
  <r>
    <x v="0"/>
    <x v="12"/>
    <x v="6"/>
    <x v="6"/>
    <x v="1"/>
    <x v="1"/>
    <n v="0.52843643600000001"/>
  </r>
  <r>
    <x v="0"/>
    <x v="12"/>
    <x v="4"/>
    <x v="7"/>
    <x v="1"/>
    <x v="0"/>
    <n v="149.739258654"/>
  </r>
  <r>
    <x v="0"/>
    <x v="12"/>
    <x v="5"/>
    <x v="7"/>
    <x v="1"/>
    <x v="1"/>
    <n v="7.7950000000000008E-6"/>
  </r>
  <r>
    <x v="0"/>
    <x v="12"/>
    <x v="6"/>
    <x v="7"/>
    <x v="1"/>
    <x v="1"/>
    <n v="0.52843643600000001"/>
  </r>
  <r>
    <x v="0"/>
    <x v="12"/>
    <x v="4"/>
    <x v="8"/>
    <x v="1"/>
    <x v="0"/>
    <n v="117.752179998"/>
  </r>
  <r>
    <x v="0"/>
    <x v="12"/>
    <x v="5"/>
    <x v="8"/>
    <x v="1"/>
    <x v="1"/>
    <n v="8.3440000000000001E-6"/>
  </r>
  <r>
    <x v="0"/>
    <x v="12"/>
    <x v="6"/>
    <x v="8"/>
    <x v="1"/>
    <x v="1"/>
    <n v="0.52843643600000001"/>
  </r>
  <r>
    <x v="0"/>
    <x v="12"/>
    <x v="4"/>
    <x v="9"/>
    <x v="1"/>
    <x v="0"/>
    <n v="250.429696011"/>
  </r>
  <r>
    <x v="0"/>
    <x v="12"/>
    <x v="5"/>
    <x v="9"/>
    <x v="1"/>
    <x v="1"/>
    <n v="2.1795999999999999E-5"/>
  </r>
  <r>
    <x v="0"/>
    <x v="12"/>
    <x v="6"/>
    <x v="9"/>
    <x v="1"/>
    <x v="1"/>
    <n v="0.52843643600000001"/>
  </r>
  <r>
    <x v="0"/>
    <x v="12"/>
    <x v="4"/>
    <x v="10"/>
    <x v="1"/>
    <x v="0"/>
    <n v="187.06978545800001"/>
  </r>
  <r>
    <x v="0"/>
    <x v="12"/>
    <x v="5"/>
    <x v="10"/>
    <x v="1"/>
    <x v="1"/>
    <n v="2.2558999999999999E-5"/>
  </r>
  <r>
    <x v="0"/>
    <x v="12"/>
    <x v="6"/>
    <x v="10"/>
    <x v="1"/>
    <x v="1"/>
    <n v="0.52843643600000001"/>
  </r>
  <r>
    <x v="0"/>
    <x v="12"/>
    <x v="4"/>
    <x v="11"/>
    <x v="1"/>
    <x v="0"/>
    <n v="1036.1342529460001"/>
  </r>
  <r>
    <x v="0"/>
    <x v="12"/>
    <x v="5"/>
    <x v="11"/>
    <x v="1"/>
    <x v="1"/>
    <n v="1.6759999999999999E-5"/>
  </r>
  <r>
    <x v="0"/>
    <x v="12"/>
    <x v="6"/>
    <x v="11"/>
    <x v="1"/>
    <x v="1"/>
    <n v="0.52843643600000001"/>
  </r>
  <r>
    <x v="0"/>
    <x v="12"/>
    <x v="4"/>
    <x v="12"/>
    <x v="1"/>
    <x v="0"/>
    <n v="351.37484497299999"/>
  </r>
  <r>
    <x v="0"/>
    <x v="12"/>
    <x v="5"/>
    <x v="12"/>
    <x v="1"/>
    <x v="1"/>
    <n v="9.3249999999999997E-6"/>
  </r>
  <r>
    <x v="0"/>
    <x v="12"/>
    <x v="6"/>
    <x v="12"/>
    <x v="1"/>
    <x v="1"/>
    <n v="0.52843643600000001"/>
  </r>
  <r>
    <x v="0"/>
    <x v="12"/>
    <x v="4"/>
    <x v="13"/>
    <x v="1"/>
    <x v="0"/>
    <n v="834.90103328400005"/>
  </r>
  <r>
    <x v="0"/>
    <x v="12"/>
    <x v="5"/>
    <x v="13"/>
    <x v="1"/>
    <x v="1"/>
    <n v="1.0671E-5"/>
  </r>
  <r>
    <x v="0"/>
    <x v="12"/>
    <x v="6"/>
    <x v="13"/>
    <x v="1"/>
    <x v="1"/>
    <n v="0.52843643600000001"/>
  </r>
  <r>
    <x v="0"/>
    <x v="12"/>
    <x v="4"/>
    <x v="14"/>
    <x v="1"/>
    <x v="0"/>
    <n v="206.45769108299999"/>
  </r>
  <r>
    <x v="0"/>
    <x v="12"/>
    <x v="5"/>
    <x v="14"/>
    <x v="1"/>
    <x v="1"/>
    <n v="1.1824000000000001E-5"/>
  </r>
  <r>
    <x v="0"/>
    <x v="12"/>
    <x v="6"/>
    <x v="14"/>
    <x v="1"/>
    <x v="1"/>
    <n v="0.52843643600000001"/>
  </r>
  <r>
    <x v="0"/>
    <x v="12"/>
    <x v="4"/>
    <x v="15"/>
    <x v="1"/>
    <x v="0"/>
    <n v="239.697244052"/>
  </r>
  <r>
    <x v="0"/>
    <x v="12"/>
    <x v="5"/>
    <x v="15"/>
    <x v="1"/>
    <x v="1"/>
    <n v="8.6670000000000002E-6"/>
  </r>
  <r>
    <x v="0"/>
    <x v="12"/>
    <x v="6"/>
    <x v="15"/>
    <x v="1"/>
    <x v="1"/>
    <n v="0.52843643600000001"/>
  </r>
  <r>
    <x v="0"/>
    <x v="12"/>
    <x v="4"/>
    <x v="16"/>
    <x v="1"/>
    <x v="0"/>
    <n v="174.13466029899999"/>
  </r>
  <r>
    <x v="0"/>
    <x v="12"/>
    <x v="5"/>
    <x v="16"/>
    <x v="1"/>
    <x v="1"/>
    <n v="6.6590000000000001E-6"/>
  </r>
  <r>
    <x v="0"/>
    <x v="12"/>
    <x v="6"/>
    <x v="16"/>
    <x v="1"/>
    <x v="1"/>
    <n v="0.52843643600000001"/>
  </r>
  <r>
    <x v="0"/>
    <x v="12"/>
    <x v="4"/>
    <x v="17"/>
    <x v="1"/>
    <x v="0"/>
    <n v="354.80526482099998"/>
  </r>
  <r>
    <x v="0"/>
    <x v="12"/>
    <x v="5"/>
    <x v="17"/>
    <x v="1"/>
    <x v="1"/>
    <n v="8.2479999999999996E-6"/>
  </r>
  <r>
    <x v="0"/>
    <x v="12"/>
    <x v="6"/>
    <x v="17"/>
    <x v="1"/>
    <x v="1"/>
    <n v="0.52843643600000001"/>
  </r>
  <r>
    <x v="0"/>
    <x v="12"/>
    <x v="4"/>
    <x v="18"/>
    <x v="1"/>
    <x v="0"/>
    <n v="284.91258782599999"/>
  </r>
  <r>
    <x v="0"/>
    <x v="12"/>
    <x v="5"/>
    <x v="18"/>
    <x v="1"/>
    <x v="1"/>
    <n v="9.217E-6"/>
  </r>
  <r>
    <x v="0"/>
    <x v="12"/>
    <x v="6"/>
    <x v="18"/>
    <x v="1"/>
    <x v="1"/>
    <n v="0.52843643600000001"/>
  </r>
  <r>
    <x v="0"/>
    <x v="12"/>
    <x v="4"/>
    <x v="19"/>
    <x v="1"/>
    <x v="0"/>
    <n v="299.96376403599999"/>
  </r>
  <r>
    <x v="0"/>
    <x v="12"/>
    <x v="5"/>
    <x v="19"/>
    <x v="1"/>
    <x v="1"/>
    <n v="8.85E-6"/>
  </r>
  <r>
    <x v="0"/>
    <x v="12"/>
    <x v="6"/>
    <x v="19"/>
    <x v="1"/>
    <x v="1"/>
    <n v="0.52843643600000001"/>
  </r>
  <r>
    <x v="0"/>
    <x v="12"/>
    <x v="4"/>
    <x v="20"/>
    <x v="1"/>
    <x v="0"/>
    <n v="48.822598313"/>
  </r>
  <r>
    <x v="0"/>
    <x v="12"/>
    <x v="5"/>
    <x v="20"/>
    <x v="1"/>
    <x v="1"/>
    <n v="1.8253E-5"/>
  </r>
  <r>
    <x v="0"/>
    <x v="12"/>
    <x v="6"/>
    <x v="20"/>
    <x v="1"/>
    <x v="1"/>
    <n v="0.52843643600000001"/>
  </r>
  <r>
    <x v="0"/>
    <x v="12"/>
    <x v="4"/>
    <x v="21"/>
    <x v="1"/>
    <x v="0"/>
    <n v="17.479550929999998"/>
  </r>
  <r>
    <x v="0"/>
    <x v="12"/>
    <x v="5"/>
    <x v="21"/>
    <x v="1"/>
    <x v="1"/>
    <n v="1.6484999999999999E-5"/>
  </r>
  <r>
    <x v="0"/>
    <x v="12"/>
    <x v="6"/>
    <x v="21"/>
    <x v="1"/>
    <x v="1"/>
    <n v="0.52843643600000001"/>
  </r>
  <r>
    <x v="0"/>
    <x v="12"/>
    <x v="4"/>
    <x v="22"/>
    <x v="1"/>
    <x v="0"/>
    <n v="301.17507967099999"/>
  </r>
  <r>
    <x v="0"/>
    <x v="12"/>
    <x v="5"/>
    <x v="22"/>
    <x v="1"/>
    <x v="1"/>
    <n v="2.1685E-5"/>
  </r>
  <r>
    <x v="0"/>
    <x v="12"/>
    <x v="6"/>
    <x v="22"/>
    <x v="1"/>
    <x v="1"/>
    <n v="0.52843643600000001"/>
  </r>
  <r>
    <x v="0"/>
    <x v="12"/>
    <x v="4"/>
    <x v="23"/>
    <x v="1"/>
    <x v="0"/>
    <n v="3.4696120210000001"/>
  </r>
  <r>
    <x v="0"/>
    <x v="12"/>
    <x v="5"/>
    <x v="23"/>
    <x v="1"/>
    <x v="1"/>
    <n v="2.5967000000000001E-5"/>
  </r>
  <r>
    <x v="0"/>
    <x v="12"/>
    <x v="6"/>
    <x v="23"/>
    <x v="1"/>
    <x v="1"/>
    <n v="0.52843643600000001"/>
  </r>
  <r>
    <x v="0"/>
    <x v="12"/>
    <x v="4"/>
    <x v="24"/>
    <x v="1"/>
    <x v="0"/>
    <n v="628.74413680400005"/>
  </r>
  <r>
    <x v="0"/>
    <x v="12"/>
    <x v="5"/>
    <x v="24"/>
    <x v="1"/>
    <x v="1"/>
    <n v="1.6651999999999999E-5"/>
  </r>
  <r>
    <x v="0"/>
    <x v="12"/>
    <x v="6"/>
    <x v="24"/>
    <x v="1"/>
    <x v="1"/>
    <n v="0.52843643600000001"/>
  </r>
  <r>
    <x v="0"/>
    <x v="12"/>
    <x v="4"/>
    <x v="25"/>
    <x v="1"/>
    <x v="0"/>
    <n v="33.653735034"/>
  </r>
  <r>
    <x v="0"/>
    <x v="12"/>
    <x v="5"/>
    <x v="25"/>
    <x v="1"/>
    <x v="1"/>
    <n v="1.1411E-5"/>
  </r>
  <r>
    <x v="0"/>
    <x v="12"/>
    <x v="6"/>
    <x v="25"/>
    <x v="1"/>
    <x v="1"/>
    <n v="0.52843643600000001"/>
  </r>
  <r>
    <x v="0"/>
    <x v="12"/>
    <x v="4"/>
    <x v="26"/>
    <x v="1"/>
    <x v="0"/>
    <n v="24.895975192000002"/>
  </r>
  <r>
    <x v="0"/>
    <x v="12"/>
    <x v="5"/>
    <x v="26"/>
    <x v="1"/>
    <x v="1"/>
    <n v="1.1545999999999999E-5"/>
  </r>
  <r>
    <x v="0"/>
    <x v="12"/>
    <x v="6"/>
    <x v="26"/>
    <x v="1"/>
    <x v="1"/>
    <n v="0.52843643600000001"/>
  </r>
  <r>
    <x v="0"/>
    <x v="12"/>
    <x v="4"/>
    <x v="27"/>
    <x v="1"/>
    <x v="0"/>
    <n v="608.17845448399999"/>
  </r>
  <r>
    <x v="0"/>
    <x v="12"/>
    <x v="5"/>
    <x v="27"/>
    <x v="1"/>
    <x v="1"/>
    <n v="5.6729999999999997E-6"/>
  </r>
  <r>
    <x v="0"/>
    <x v="12"/>
    <x v="6"/>
    <x v="27"/>
    <x v="1"/>
    <x v="1"/>
    <n v="0.52843643600000001"/>
  </r>
  <r>
    <x v="0"/>
    <x v="12"/>
    <x v="4"/>
    <x v="28"/>
    <x v="1"/>
    <x v="0"/>
    <n v="1778.1354021550001"/>
  </r>
  <r>
    <x v="0"/>
    <x v="12"/>
    <x v="5"/>
    <x v="28"/>
    <x v="1"/>
    <x v="1"/>
    <n v="1.9120999999999999E-5"/>
  </r>
  <r>
    <x v="0"/>
    <x v="12"/>
    <x v="6"/>
    <x v="28"/>
    <x v="1"/>
    <x v="1"/>
    <n v="0.52843643600000001"/>
  </r>
  <r>
    <x v="0"/>
    <x v="12"/>
    <x v="4"/>
    <x v="29"/>
    <x v="1"/>
    <x v="0"/>
    <n v="1101.600207572"/>
  </r>
  <r>
    <x v="0"/>
    <x v="12"/>
    <x v="5"/>
    <x v="29"/>
    <x v="1"/>
    <x v="1"/>
    <n v="2.1733E-5"/>
  </r>
  <r>
    <x v="0"/>
    <x v="12"/>
    <x v="6"/>
    <x v="29"/>
    <x v="1"/>
    <x v="1"/>
    <n v="0.52843643600000001"/>
  </r>
  <r>
    <x v="0"/>
    <x v="12"/>
    <x v="4"/>
    <x v="30"/>
    <x v="1"/>
    <x v="0"/>
    <n v="190.61680831999999"/>
  </r>
  <r>
    <x v="0"/>
    <x v="12"/>
    <x v="5"/>
    <x v="30"/>
    <x v="1"/>
    <x v="1"/>
    <n v="1.2197E-5"/>
  </r>
  <r>
    <x v="0"/>
    <x v="12"/>
    <x v="6"/>
    <x v="30"/>
    <x v="1"/>
    <x v="1"/>
    <n v="0.52843643600000001"/>
  </r>
  <r>
    <x v="0"/>
    <x v="12"/>
    <x v="4"/>
    <x v="31"/>
    <x v="1"/>
    <x v="0"/>
    <n v="662.62040915800003"/>
  </r>
  <r>
    <x v="0"/>
    <x v="12"/>
    <x v="5"/>
    <x v="31"/>
    <x v="1"/>
    <x v="1"/>
    <n v="1.4236000000000001E-5"/>
  </r>
  <r>
    <x v="0"/>
    <x v="12"/>
    <x v="6"/>
    <x v="31"/>
    <x v="1"/>
    <x v="1"/>
    <n v="0.52843643600000001"/>
  </r>
  <r>
    <x v="0"/>
    <x v="12"/>
    <x v="4"/>
    <x v="32"/>
    <x v="1"/>
    <x v="0"/>
    <n v="2111.2362634330002"/>
  </r>
  <r>
    <x v="0"/>
    <x v="12"/>
    <x v="5"/>
    <x v="32"/>
    <x v="1"/>
    <x v="1"/>
    <n v="2.6182000000000001E-5"/>
  </r>
  <r>
    <x v="0"/>
    <x v="12"/>
    <x v="6"/>
    <x v="32"/>
    <x v="1"/>
    <x v="1"/>
    <n v="0.52843643600000001"/>
  </r>
  <r>
    <x v="0"/>
    <x v="12"/>
    <x v="4"/>
    <x v="33"/>
    <x v="1"/>
    <x v="0"/>
    <n v="2272.6588699039999"/>
  </r>
  <r>
    <x v="0"/>
    <x v="12"/>
    <x v="5"/>
    <x v="33"/>
    <x v="1"/>
    <x v="1"/>
    <n v="2.5769E-5"/>
  </r>
  <r>
    <x v="0"/>
    <x v="12"/>
    <x v="6"/>
    <x v="33"/>
    <x v="1"/>
    <x v="1"/>
    <n v="0.52843643600000001"/>
  </r>
  <r>
    <x v="0"/>
    <x v="12"/>
    <x v="4"/>
    <x v="34"/>
    <x v="1"/>
    <x v="0"/>
    <n v="471.47813767000002"/>
  </r>
  <r>
    <x v="0"/>
    <x v="12"/>
    <x v="5"/>
    <x v="34"/>
    <x v="1"/>
    <x v="1"/>
    <n v="2.5408000000000001E-5"/>
  </r>
  <r>
    <x v="0"/>
    <x v="12"/>
    <x v="6"/>
    <x v="34"/>
    <x v="1"/>
    <x v="1"/>
    <n v="0.52843643600000001"/>
  </r>
  <r>
    <x v="0"/>
    <x v="12"/>
    <x v="4"/>
    <x v="35"/>
    <x v="1"/>
    <x v="0"/>
    <n v="397.41508031699999"/>
  </r>
  <r>
    <x v="0"/>
    <x v="12"/>
    <x v="5"/>
    <x v="35"/>
    <x v="1"/>
    <x v="1"/>
    <n v="3.1504000000000002E-5"/>
  </r>
  <r>
    <x v="0"/>
    <x v="12"/>
    <x v="6"/>
    <x v="35"/>
    <x v="1"/>
    <x v="1"/>
    <n v="0.52843643600000001"/>
  </r>
  <r>
    <x v="0"/>
    <x v="12"/>
    <x v="4"/>
    <x v="36"/>
    <x v="1"/>
    <x v="0"/>
    <n v="133.85306632800001"/>
  </r>
  <r>
    <x v="0"/>
    <x v="12"/>
    <x v="5"/>
    <x v="36"/>
    <x v="1"/>
    <x v="1"/>
    <n v="5.6047000000000001E-5"/>
  </r>
  <r>
    <x v="0"/>
    <x v="12"/>
    <x v="6"/>
    <x v="36"/>
    <x v="1"/>
    <x v="1"/>
    <n v="0.52843643600000001"/>
  </r>
  <r>
    <x v="0"/>
    <x v="12"/>
    <x v="4"/>
    <x v="37"/>
    <x v="1"/>
    <x v="0"/>
    <n v="166.76159996499999"/>
  </r>
  <r>
    <x v="0"/>
    <x v="12"/>
    <x v="5"/>
    <x v="37"/>
    <x v="1"/>
    <x v="1"/>
    <n v="1.3441999999999999E-5"/>
  </r>
  <r>
    <x v="0"/>
    <x v="12"/>
    <x v="6"/>
    <x v="37"/>
    <x v="1"/>
    <x v="1"/>
    <n v="0.52843643600000001"/>
  </r>
  <r>
    <x v="0"/>
    <x v="12"/>
    <x v="4"/>
    <x v="38"/>
    <x v="1"/>
    <x v="0"/>
    <n v="301.56683439"/>
  </r>
  <r>
    <x v="0"/>
    <x v="12"/>
    <x v="5"/>
    <x v="38"/>
    <x v="1"/>
    <x v="1"/>
    <n v="6.4091999999999996E-5"/>
  </r>
  <r>
    <x v="0"/>
    <x v="12"/>
    <x v="6"/>
    <x v="38"/>
    <x v="1"/>
    <x v="1"/>
    <n v="0.52843643600000001"/>
  </r>
  <r>
    <x v="0"/>
    <x v="12"/>
    <x v="4"/>
    <x v="39"/>
    <x v="1"/>
    <x v="0"/>
    <n v="137.706744176"/>
  </r>
  <r>
    <x v="0"/>
    <x v="12"/>
    <x v="5"/>
    <x v="39"/>
    <x v="1"/>
    <x v="1"/>
    <n v="2.2504999999999999E-5"/>
  </r>
  <r>
    <x v="0"/>
    <x v="12"/>
    <x v="6"/>
    <x v="39"/>
    <x v="1"/>
    <x v="1"/>
    <n v="0.52843643600000001"/>
  </r>
  <r>
    <x v="0"/>
    <x v="12"/>
    <x v="4"/>
    <x v="40"/>
    <x v="1"/>
    <x v="0"/>
    <n v="132.156923371"/>
  </r>
  <r>
    <x v="0"/>
    <x v="12"/>
    <x v="5"/>
    <x v="40"/>
    <x v="1"/>
    <x v="1"/>
    <n v="2.2271000000000001E-5"/>
  </r>
  <r>
    <x v="0"/>
    <x v="12"/>
    <x v="6"/>
    <x v="40"/>
    <x v="1"/>
    <x v="1"/>
    <n v="0.52843643600000001"/>
  </r>
  <r>
    <x v="0"/>
    <x v="12"/>
    <x v="4"/>
    <x v="41"/>
    <x v="1"/>
    <x v="0"/>
    <n v="436.38484149499999"/>
  </r>
  <r>
    <x v="0"/>
    <x v="12"/>
    <x v="5"/>
    <x v="41"/>
    <x v="1"/>
    <x v="1"/>
    <n v="1.2642900000000001E-4"/>
  </r>
  <r>
    <x v="0"/>
    <x v="12"/>
    <x v="6"/>
    <x v="41"/>
    <x v="1"/>
    <x v="1"/>
    <n v="0.52843643600000001"/>
  </r>
  <r>
    <x v="0"/>
    <x v="12"/>
    <x v="7"/>
    <x v="0"/>
    <x v="2"/>
    <x v="2"/>
    <n v="399.91721776999998"/>
  </r>
  <r>
    <x v="0"/>
    <x v="12"/>
    <x v="7"/>
    <x v="1"/>
    <x v="2"/>
    <x v="2"/>
    <n v="46.765618469000003"/>
  </r>
  <r>
    <x v="0"/>
    <x v="12"/>
    <x v="7"/>
    <x v="2"/>
    <x v="2"/>
    <x v="2"/>
    <n v="20.592880091000001"/>
  </r>
  <r>
    <x v="0"/>
    <x v="12"/>
    <x v="7"/>
    <x v="3"/>
    <x v="2"/>
    <x v="2"/>
    <n v="15.912085588"/>
  </r>
  <r>
    <x v="0"/>
    <x v="12"/>
    <x v="7"/>
    <x v="4"/>
    <x v="2"/>
    <x v="2"/>
    <n v="9.3024244849999995"/>
  </r>
  <r>
    <x v="0"/>
    <x v="12"/>
    <x v="7"/>
    <x v="5"/>
    <x v="2"/>
    <x v="2"/>
    <n v="33.743317715000003"/>
  </r>
  <r>
    <x v="0"/>
    <x v="12"/>
    <x v="7"/>
    <x v="6"/>
    <x v="2"/>
    <x v="2"/>
    <n v="14.264467732"/>
  </r>
  <r>
    <x v="0"/>
    <x v="12"/>
    <x v="7"/>
    <x v="7"/>
    <x v="2"/>
    <x v="2"/>
    <n v="12.853494916000001"/>
  </r>
  <r>
    <x v="0"/>
    <x v="12"/>
    <x v="7"/>
    <x v="8"/>
    <x v="2"/>
    <x v="2"/>
    <n v="7.0939928070000002"/>
  </r>
  <r>
    <x v="0"/>
    <x v="12"/>
    <x v="7"/>
    <x v="9"/>
    <x v="2"/>
    <x v="2"/>
    <n v="21.546295165"/>
  </r>
  <r>
    <x v="0"/>
    <x v="12"/>
    <x v="7"/>
    <x v="10"/>
    <x v="2"/>
    <x v="2"/>
    <n v="9.8417708729999998"/>
  </r>
  <r>
    <x v="0"/>
    <x v="12"/>
    <x v="7"/>
    <x v="11"/>
    <x v="2"/>
    <x v="2"/>
    <n v="44.922896062"/>
  </r>
  <r>
    <x v="0"/>
    <x v="12"/>
    <x v="7"/>
    <x v="12"/>
    <x v="2"/>
    <x v="2"/>
    <n v="19.074713462999998"/>
  </r>
  <r>
    <x v="0"/>
    <x v="12"/>
    <x v="7"/>
    <x v="13"/>
    <x v="2"/>
    <x v="2"/>
    <n v="27.181862262999999"/>
  </r>
  <r>
    <x v="0"/>
    <x v="12"/>
    <x v="7"/>
    <x v="14"/>
    <x v="2"/>
    <x v="2"/>
    <n v="13.093816078"/>
  </r>
  <r>
    <x v="0"/>
    <x v="12"/>
    <x v="7"/>
    <x v="15"/>
    <x v="2"/>
    <x v="2"/>
    <n v="16.204235165"/>
  </r>
  <r>
    <x v="0"/>
    <x v="12"/>
    <x v="7"/>
    <x v="16"/>
    <x v="2"/>
    <x v="2"/>
    <n v="10.794828276"/>
  </r>
  <r>
    <x v="0"/>
    <x v="12"/>
    <x v="7"/>
    <x v="17"/>
    <x v="2"/>
    <x v="2"/>
    <n v="22.007091435"/>
  </r>
  <r>
    <x v="0"/>
    <x v="12"/>
    <x v="7"/>
    <x v="18"/>
    <x v="2"/>
    <x v="2"/>
    <n v="13.641456838"/>
  </r>
  <r>
    <x v="0"/>
    <x v="12"/>
    <x v="7"/>
    <x v="19"/>
    <x v="2"/>
    <x v="2"/>
    <n v="23.347350726999998"/>
  </r>
  <r>
    <x v="0"/>
    <x v="12"/>
    <x v="7"/>
    <x v="20"/>
    <x v="2"/>
    <x v="2"/>
    <n v="3.3246244919999999"/>
  </r>
  <r>
    <x v="0"/>
    <x v="12"/>
    <x v="7"/>
    <x v="21"/>
    <x v="2"/>
    <x v="2"/>
    <n v="1.463430674"/>
  </r>
  <r>
    <x v="0"/>
    <x v="12"/>
    <x v="7"/>
    <x v="22"/>
    <x v="2"/>
    <x v="2"/>
    <n v="0.99699628799999995"/>
  </r>
  <r>
    <x v="0"/>
    <x v="12"/>
    <x v="7"/>
    <x v="23"/>
    <x v="2"/>
    <x v="2"/>
    <n v="0.94547843399999998"/>
  </r>
  <r>
    <x v="0"/>
    <x v="12"/>
    <x v="7"/>
    <x v="24"/>
    <x v="2"/>
    <x v="2"/>
    <n v="20.208887954000001"/>
  </r>
  <r>
    <x v="0"/>
    <x v="12"/>
    <x v="7"/>
    <x v="25"/>
    <x v="2"/>
    <x v="2"/>
    <n v="0.87853710799999996"/>
  </r>
  <r>
    <x v="0"/>
    <x v="12"/>
    <x v="7"/>
    <x v="26"/>
    <x v="2"/>
    <x v="2"/>
    <n v="1.7836393210000001"/>
  </r>
  <r>
    <x v="0"/>
    <x v="12"/>
    <x v="7"/>
    <x v="27"/>
    <x v="2"/>
    <x v="2"/>
    <n v="69.679949019999995"/>
  </r>
  <r>
    <x v="0"/>
    <x v="12"/>
    <x v="7"/>
    <x v="28"/>
    <x v="2"/>
    <x v="2"/>
    <n v="89.563298418000002"/>
  </r>
  <r>
    <x v="0"/>
    <x v="12"/>
    <x v="7"/>
    <x v="29"/>
    <x v="2"/>
    <x v="2"/>
    <n v="71.631558608999995"/>
  </r>
  <r>
    <x v="0"/>
    <x v="12"/>
    <x v="7"/>
    <x v="30"/>
    <x v="2"/>
    <x v="2"/>
    <n v="30.157916256"/>
  </r>
  <r>
    <x v="0"/>
    <x v="12"/>
    <x v="7"/>
    <x v="31"/>
    <x v="2"/>
    <x v="2"/>
    <n v="18.875929166999999"/>
  </r>
  <r>
    <x v="0"/>
    <x v="12"/>
    <x v="7"/>
    <x v="32"/>
    <x v="2"/>
    <x v="2"/>
    <n v="79.309325264999998"/>
  </r>
  <r>
    <x v="0"/>
    <x v="12"/>
    <x v="7"/>
    <x v="33"/>
    <x v="2"/>
    <x v="2"/>
    <n v="27.657129650000002"/>
  </r>
  <r>
    <x v="0"/>
    <x v="12"/>
    <x v="7"/>
    <x v="34"/>
    <x v="2"/>
    <x v="2"/>
    <n v="39.111062605999997"/>
  </r>
  <r>
    <x v="0"/>
    <x v="12"/>
    <x v="7"/>
    <x v="35"/>
    <x v="2"/>
    <x v="2"/>
    <n v="39.513826547000001"/>
  </r>
  <r>
    <x v="0"/>
    <x v="12"/>
    <x v="7"/>
    <x v="36"/>
    <x v="2"/>
    <x v="2"/>
    <n v="16.414910873"/>
  </r>
  <r>
    <x v="0"/>
    <x v="12"/>
    <x v="7"/>
    <x v="37"/>
    <x v="2"/>
    <x v="2"/>
    <n v="27.458340532000001"/>
  </r>
  <r>
    <x v="0"/>
    <x v="12"/>
    <x v="7"/>
    <x v="38"/>
    <x v="2"/>
    <x v="2"/>
    <n v="163.28296726400001"/>
  </r>
  <r>
    <x v="0"/>
    <x v="12"/>
    <x v="7"/>
    <x v="39"/>
    <x v="2"/>
    <x v="2"/>
    <n v="49.657203500000001"/>
  </r>
  <r>
    <x v="0"/>
    <x v="12"/>
    <x v="7"/>
    <x v="40"/>
    <x v="2"/>
    <x v="2"/>
    <n v="12.640145364"/>
  </r>
  <r>
    <x v="0"/>
    <x v="12"/>
    <x v="7"/>
    <x v="41"/>
    <x v="2"/>
    <x v="2"/>
    <n v="299.21661822599998"/>
  </r>
  <r>
    <x v="0"/>
    <x v="12"/>
    <x v="8"/>
    <x v="0"/>
    <x v="2"/>
    <x v="3"/>
    <n v="7.2428643000000001E-2"/>
  </r>
  <r>
    <x v="0"/>
    <x v="12"/>
    <x v="8"/>
    <x v="1"/>
    <x v="2"/>
    <x v="3"/>
    <n v="7.2428643000000001E-2"/>
  </r>
  <r>
    <x v="0"/>
    <x v="12"/>
    <x v="8"/>
    <x v="2"/>
    <x v="2"/>
    <x v="3"/>
    <n v="7.2428643000000001E-2"/>
  </r>
  <r>
    <x v="0"/>
    <x v="12"/>
    <x v="8"/>
    <x v="3"/>
    <x v="2"/>
    <x v="3"/>
    <n v="7.2428643000000001E-2"/>
  </r>
  <r>
    <x v="0"/>
    <x v="12"/>
    <x v="8"/>
    <x v="4"/>
    <x v="2"/>
    <x v="3"/>
    <n v="7.2428643000000001E-2"/>
  </r>
  <r>
    <x v="0"/>
    <x v="12"/>
    <x v="8"/>
    <x v="5"/>
    <x v="2"/>
    <x v="3"/>
    <n v="7.2428643000000001E-2"/>
  </r>
  <r>
    <x v="0"/>
    <x v="12"/>
    <x v="8"/>
    <x v="6"/>
    <x v="2"/>
    <x v="3"/>
    <n v="7.2428643000000001E-2"/>
  </r>
  <r>
    <x v="0"/>
    <x v="12"/>
    <x v="8"/>
    <x v="7"/>
    <x v="2"/>
    <x v="3"/>
    <n v="7.2428643000000001E-2"/>
  </r>
  <r>
    <x v="0"/>
    <x v="12"/>
    <x v="8"/>
    <x v="8"/>
    <x v="2"/>
    <x v="3"/>
    <n v="7.2428643000000001E-2"/>
  </r>
  <r>
    <x v="0"/>
    <x v="12"/>
    <x v="8"/>
    <x v="9"/>
    <x v="2"/>
    <x v="3"/>
    <n v="7.2428643000000001E-2"/>
  </r>
  <r>
    <x v="0"/>
    <x v="12"/>
    <x v="8"/>
    <x v="10"/>
    <x v="2"/>
    <x v="3"/>
    <n v="7.2428643000000001E-2"/>
  </r>
  <r>
    <x v="0"/>
    <x v="12"/>
    <x v="8"/>
    <x v="11"/>
    <x v="2"/>
    <x v="3"/>
    <n v="7.2428643000000001E-2"/>
  </r>
  <r>
    <x v="0"/>
    <x v="12"/>
    <x v="8"/>
    <x v="12"/>
    <x v="2"/>
    <x v="3"/>
    <n v="7.2428643000000001E-2"/>
  </r>
  <r>
    <x v="0"/>
    <x v="12"/>
    <x v="8"/>
    <x v="13"/>
    <x v="2"/>
    <x v="3"/>
    <n v="7.2428643000000001E-2"/>
  </r>
  <r>
    <x v="0"/>
    <x v="12"/>
    <x v="8"/>
    <x v="14"/>
    <x v="2"/>
    <x v="3"/>
    <n v="7.2428643000000001E-2"/>
  </r>
  <r>
    <x v="0"/>
    <x v="12"/>
    <x v="8"/>
    <x v="15"/>
    <x v="2"/>
    <x v="3"/>
    <n v="7.2428643000000001E-2"/>
  </r>
  <r>
    <x v="0"/>
    <x v="12"/>
    <x v="8"/>
    <x v="16"/>
    <x v="2"/>
    <x v="3"/>
    <n v="7.2428643000000001E-2"/>
  </r>
  <r>
    <x v="0"/>
    <x v="12"/>
    <x v="8"/>
    <x v="17"/>
    <x v="2"/>
    <x v="3"/>
    <n v="7.2428643000000001E-2"/>
  </r>
  <r>
    <x v="0"/>
    <x v="12"/>
    <x v="8"/>
    <x v="18"/>
    <x v="2"/>
    <x v="3"/>
    <n v="7.2428643000000001E-2"/>
  </r>
  <r>
    <x v="0"/>
    <x v="12"/>
    <x v="8"/>
    <x v="19"/>
    <x v="2"/>
    <x v="3"/>
    <n v="7.2428643000000001E-2"/>
  </r>
  <r>
    <x v="0"/>
    <x v="12"/>
    <x v="8"/>
    <x v="20"/>
    <x v="2"/>
    <x v="3"/>
    <n v="7.2428643000000001E-2"/>
  </r>
  <r>
    <x v="0"/>
    <x v="12"/>
    <x v="8"/>
    <x v="21"/>
    <x v="2"/>
    <x v="3"/>
    <n v="7.2428643000000001E-2"/>
  </r>
  <r>
    <x v="0"/>
    <x v="12"/>
    <x v="8"/>
    <x v="22"/>
    <x v="2"/>
    <x v="3"/>
    <n v="7.2428643000000001E-2"/>
  </r>
  <r>
    <x v="0"/>
    <x v="12"/>
    <x v="8"/>
    <x v="23"/>
    <x v="2"/>
    <x v="3"/>
    <n v="7.2428643000000001E-2"/>
  </r>
  <r>
    <x v="0"/>
    <x v="12"/>
    <x v="8"/>
    <x v="24"/>
    <x v="2"/>
    <x v="3"/>
    <n v="7.2428643000000001E-2"/>
  </r>
  <r>
    <x v="0"/>
    <x v="12"/>
    <x v="8"/>
    <x v="25"/>
    <x v="2"/>
    <x v="3"/>
    <n v="7.2428643000000001E-2"/>
  </r>
  <r>
    <x v="0"/>
    <x v="12"/>
    <x v="8"/>
    <x v="26"/>
    <x v="2"/>
    <x v="3"/>
    <n v="7.2428643000000001E-2"/>
  </r>
  <r>
    <x v="0"/>
    <x v="12"/>
    <x v="8"/>
    <x v="27"/>
    <x v="2"/>
    <x v="3"/>
    <n v="7.2428643000000001E-2"/>
  </r>
  <r>
    <x v="0"/>
    <x v="12"/>
    <x v="8"/>
    <x v="28"/>
    <x v="2"/>
    <x v="3"/>
    <n v="7.2428643000000001E-2"/>
  </r>
  <r>
    <x v="0"/>
    <x v="12"/>
    <x v="8"/>
    <x v="29"/>
    <x v="2"/>
    <x v="3"/>
    <n v="7.2428643000000001E-2"/>
  </r>
  <r>
    <x v="0"/>
    <x v="12"/>
    <x v="8"/>
    <x v="30"/>
    <x v="2"/>
    <x v="3"/>
    <n v="7.2428643000000001E-2"/>
  </r>
  <r>
    <x v="0"/>
    <x v="12"/>
    <x v="8"/>
    <x v="31"/>
    <x v="2"/>
    <x v="3"/>
    <n v="7.2428643000000001E-2"/>
  </r>
  <r>
    <x v="0"/>
    <x v="12"/>
    <x v="8"/>
    <x v="32"/>
    <x v="2"/>
    <x v="3"/>
    <n v="7.2428643000000001E-2"/>
  </r>
  <r>
    <x v="0"/>
    <x v="12"/>
    <x v="8"/>
    <x v="33"/>
    <x v="2"/>
    <x v="3"/>
    <n v="7.2428643000000001E-2"/>
  </r>
  <r>
    <x v="0"/>
    <x v="12"/>
    <x v="8"/>
    <x v="34"/>
    <x v="2"/>
    <x v="3"/>
    <n v="7.2428643000000001E-2"/>
  </r>
  <r>
    <x v="0"/>
    <x v="12"/>
    <x v="8"/>
    <x v="35"/>
    <x v="2"/>
    <x v="3"/>
    <n v="7.2428643000000001E-2"/>
  </r>
  <r>
    <x v="0"/>
    <x v="12"/>
    <x v="8"/>
    <x v="36"/>
    <x v="2"/>
    <x v="3"/>
    <n v="7.2428643000000001E-2"/>
  </r>
  <r>
    <x v="0"/>
    <x v="12"/>
    <x v="8"/>
    <x v="37"/>
    <x v="2"/>
    <x v="3"/>
    <n v="7.2428643000000001E-2"/>
  </r>
  <r>
    <x v="0"/>
    <x v="12"/>
    <x v="8"/>
    <x v="38"/>
    <x v="2"/>
    <x v="3"/>
    <n v="7.2428643000000001E-2"/>
  </r>
  <r>
    <x v="0"/>
    <x v="12"/>
    <x v="8"/>
    <x v="39"/>
    <x v="2"/>
    <x v="3"/>
    <n v="7.2428643000000001E-2"/>
  </r>
  <r>
    <x v="0"/>
    <x v="12"/>
    <x v="8"/>
    <x v="40"/>
    <x v="2"/>
    <x v="3"/>
    <n v="7.2428643000000001E-2"/>
  </r>
  <r>
    <x v="0"/>
    <x v="12"/>
    <x v="8"/>
    <x v="41"/>
    <x v="2"/>
    <x v="3"/>
    <n v="7.2428643000000001E-2"/>
  </r>
  <r>
    <x v="0"/>
    <x v="12"/>
    <x v="7"/>
    <x v="0"/>
    <x v="3"/>
    <x v="2"/>
    <n v="401.735438628"/>
  </r>
  <r>
    <x v="0"/>
    <x v="12"/>
    <x v="7"/>
    <x v="1"/>
    <x v="3"/>
    <x v="2"/>
    <n v="44.942468472999998"/>
  </r>
  <r>
    <x v="0"/>
    <x v="12"/>
    <x v="7"/>
    <x v="2"/>
    <x v="3"/>
    <x v="2"/>
    <n v="18.510556834999999"/>
  </r>
  <r>
    <x v="0"/>
    <x v="12"/>
    <x v="7"/>
    <x v="3"/>
    <x v="3"/>
    <x v="2"/>
    <n v="14.994365459999999"/>
  </r>
  <r>
    <x v="0"/>
    <x v="12"/>
    <x v="7"/>
    <x v="4"/>
    <x v="3"/>
    <x v="2"/>
    <n v="8.8609922149999996"/>
  </r>
  <r>
    <x v="0"/>
    <x v="12"/>
    <x v="7"/>
    <x v="5"/>
    <x v="3"/>
    <x v="2"/>
    <n v="31.355590375999999"/>
  </r>
  <r>
    <x v="0"/>
    <x v="12"/>
    <x v="7"/>
    <x v="6"/>
    <x v="3"/>
    <x v="2"/>
    <n v="13.518698081"/>
  </r>
  <r>
    <x v="0"/>
    <x v="12"/>
    <x v="7"/>
    <x v="7"/>
    <x v="3"/>
    <x v="2"/>
    <n v="12.323597158"/>
  </r>
  <r>
    <x v="0"/>
    <x v="12"/>
    <x v="7"/>
    <x v="8"/>
    <x v="3"/>
    <x v="2"/>
    <n v="6.7036154659999996"/>
  </r>
  <r>
    <x v="0"/>
    <x v="12"/>
    <x v="7"/>
    <x v="9"/>
    <x v="3"/>
    <x v="2"/>
    <n v="20.460690203999999"/>
  </r>
  <r>
    <x v="0"/>
    <x v="12"/>
    <x v="7"/>
    <x v="10"/>
    <x v="3"/>
    <x v="2"/>
    <n v="9.1431711849999999"/>
  </r>
  <r>
    <x v="0"/>
    <x v="12"/>
    <x v="7"/>
    <x v="11"/>
    <x v="3"/>
    <x v="2"/>
    <n v="41.491753301000003"/>
  </r>
  <r>
    <x v="0"/>
    <x v="12"/>
    <x v="7"/>
    <x v="12"/>
    <x v="3"/>
    <x v="2"/>
    <n v="17.923232841000001"/>
  </r>
  <r>
    <x v="0"/>
    <x v="12"/>
    <x v="7"/>
    <x v="13"/>
    <x v="3"/>
    <x v="2"/>
    <n v="24.885697411999999"/>
  </r>
  <r>
    <x v="0"/>
    <x v="12"/>
    <x v="7"/>
    <x v="14"/>
    <x v="3"/>
    <x v="2"/>
    <n v="12.355058858"/>
  </r>
  <r>
    <x v="0"/>
    <x v="12"/>
    <x v="7"/>
    <x v="15"/>
    <x v="3"/>
    <x v="2"/>
    <n v="15.3794425"/>
  </r>
  <r>
    <x v="0"/>
    <x v="12"/>
    <x v="7"/>
    <x v="16"/>
    <x v="3"/>
    <x v="2"/>
    <n v="10.236526059999999"/>
  </r>
  <r>
    <x v="0"/>
    <x v="12"/>
    <x v="7"/>
    <x v="17"/>
    <x v="3"/>
    <x v="2"/>
    <n v="20.823899791999999"/>
  </r>
  <r>
    <x v="0"/>
    <x v="12"/>
    <x v="7"/>
    <x v="18"/>
    <x v="3"/>
    <x v="2"/>
    <n v="12.747549521"/>
  </r>
  <r>
    <x v="0"/>
    <x v="12"/>
    <x v="7"/>
    <x v="19"/>
    <x v="3"/>
    <x v="2"/>
    <n v="22.277502598000002"/>
  </r>
  <r>
    <x v="0"/>
    <x v="12"/>
    <x v="7"/>
    <x v="20"/>
    <x v="3"/>
    <x v="2"/>
    <n v="3.1322392080000001"/>
  </r>
  <r>
    <x v="0"/>
    <x v="12"/>
    <x v="7"/>
    <x v="21"/>
    <x v="3"/>
    <x v="2"/>
    <n v="1.3919901400000001"/>
  </r>
  <r>
    <x v="0"/>
    <x v="12"/>
    <x v="7"/>
    <x v="22"/>
    <x v="3"/>
    <x v="2"/>
    <n v="0.79104153899999996"/>
  </r>
  <r>
    <x v="0"/>
    <x v="12"/>
    <x v="7"/>
    <x v="23"/>
    <x v="3"/>
    <x v="2"/>
    <n v="0.929363622"/>
  </r>
  <r>
    <x v="0"/>
    <x v="12"/>
    <x v="7"/>
    <x v="24"/>
    <x v="3"/>
    <x v="2"/>
    <n v="18.385553418000001"/>
  </r>
  <r>
    <x v="0"/>
    <x v="12"/>
    <x v="7"/>
    <x v="25"/>
    <x v="3"/>
    <x v="2"/>
    <n v="0.79437547900000005"/>
  </r>
  <r>
    <x v="0"/>
    <x v="12"/>
    <x v="7"/>
    <x v="26"/>
    <x v="3"/>
    <x v="2"/>
    <n v="1.691966018"/>
  </r>
  <r>
    <x v="0"/>
    <x v="12"/>
    <x v="7"/>
    <x v="27"/>
    <x v="3"/>
    <x v="2"/>
    <n v="67.624346115999998"/>
  </r>
  <r>
    <x v="0"/>
    <x v="12"/>
    <x v="7"/>
    <x v="28"/>
    <x v="3"/>
    <x v="2"/>
    <n v="83.193336888999994"/>
  </r>
  <r>
    <x v="0"/>
    <x v="12"/>
    <x v="7"/>
    <x v="29"/>
    <x v="3"/>
    <x v="2"/>
    <n v="67.224762107999993"/>
  </r>
  <r>
    <x v="0"/>
    <x v="12"/>
    <x v="7"/>
    <x v="30"/>
    <x v="3"/>
    <x v="2"/>
    <n v="29.380614781999999"/>
  </r>
  <r>
    <x v="0"/>
    <x v="12"/>
    <x v="7"/>
    <x v="31"/>
    <x v="3"/>
    <x v="2"/>
    <n v="17.098114652"/>
  </r>
  <r>
    <x v="0"/>
    <x v="12"/>
    <x v="7"/>
    <x v="32"/>
    <x v="3"/>
    <x v="2"/>
    <n v="72.328200937000005"/>
  </r>
  <r>
    <x v="0"/>
    <x v="12"/>
    <x v="7"/>
    <x v="33"/>
    <x v="3"/>
    <x v="2"/>
    <n v="23.678056866999999"/>
  </r>
  <r>
    <x v="0"/>
    <x v="12"/>
    <x v="7"/>
    <x v="34"/>
    <x v="3"/>
    <x v="2"/>
    <n v="37.028722336999998"/>
  </r>
  <r>
    <x v="0"/>
    <x v="12"/>
    <x v="7"/>
    <x v="35"/>
    <x v="3"/>
    <x v="2"/>
    <n v="37.603888650000002"/>
  </r>
  <r>
    <x v="0"/>
    <x v="12"/>
    <x v="7"/>
    <x v="36"/>
    <x v="3"/>
    <x v="2"/>
    <n v="15.6635559"/>
  </r>
  <r>
    <x v="0"/>
    <x v="12"/>
    <x v="7"/>
    <x v="37"/>
    <x v="3"/>
    <x v="2"/>
    <n v="26.762347436999999"/>
  </r>
  <r>
    <x v="0"/>
    <x v="12"/>
    <x v="7"/>
    <x v="38"/>
    <x v="3"/>
    <x v="2"/>
    <n v="161.924614203"/>
  </r>
  <r>
    <x v="0"/>
    <x v="12"/>
    <x v="7"/>
    <x v="39"/>
    <x v="3"/>
    <x v="2"/>
    <n v="49.120399141"/>
  </r>
  <r>
    <x v="0"/>
    <x v="12"/>
    <x v="7"/>
    <x v="40"/>
    <x v="3"/>
    <x v="2"/>
    <n v="12.050807042000001"/>
  </r>
  <r>
    <x v="0"/>
    <x v="12"/>
    <x v="7"/>
    <x v="41"/>
    <x v="3"/>
    <x v="2"/>
    <n v="297.05462715200002"/>
  </r>
  <r>
    <x v="0"/>
    <x v="12"/>
    <x v="8"/>
    <x v="0"/>
    <x v="3"/>
    <x v="3"/>
    <n v="7.0060589000000006E-2"/>
  </r>
  <r>
    <x v="0"/>
    <x v="12"/>
    <x v="8"/>
    <x v="1"/>
    <x v="3"/>
    <x v="3"/>
    <n v="7.0060589000000006E-2"/>
  </r>
  <r>
    <x v="0"/>
    <x v="12"/>
    <x v="8"/>
    <x v="2"/>
    <x v="3"/>
    <x v="3"/>
    <n v="7.0060589000000006E-2"/>
  </r>
  <r>
    <x v="0"/>
    <x v="12"/>
    <x v="8"/>
    <x v="3"/>
    <x v="3"/>
    <x v="3"/>
    <n v="7.0060589000000006E-2"/>
  </r>
  <r>
    <x v="0"/>
    <x v="12"/>
    <x v="8"/>
    <x v="4"/>
    <x v="3"/>
    <x v="3"/>
    <n v="7.0060589000000006E-2"/>
  </r>
  <r>
    <x v="0"/>
    <x v="12"/>
    <x v="8"/>
    <x v="5"/>
    <x v="3"/>
    <x v="3"/>
    <n v="7.0060589000000006E-2"/>
  </r>
  <r>
    <x v="0"/>
    <x v="12"/>
    <x v="8"/>
    <x v="6"/>
    <x v="3"/>
    <x v="3"/>
    <n v="7.0060589000000006E-2"/>
  </r>
  <r>
    <x v="0"/>
    <x v="12"/>
    <x v="8"/>
    <x v="7"/>
    <x v="3"/>
    <x v="3"/>
    <n v="7.0060589000000006E-2"/>
  </r>
  <r>
    <x v="0"/>
    <x v="12"/>
    <x v="8"/>
    <x v="8"/>
    <x v="3"/>
    <x v="3"/>
    <n v="7.0060589000000006E-2"/>
  </r>
  <r>
    <x v="0"/>
    <x v="12"/>
    <x v="8"/>
    <x v="9"/>
    <x v="3"/>
    <x v="3"/>
    <n v="7.0060589000000006E-2"/>
  </r>
  <r>
    <x v="0"/>
    <x v="12"/>
    <x v="8"/>
    <x v="10"/>
    <x v="3"/>
    <x v="3"/>
    <n v="7.0060589000000006E-2"/>
  </r>
  <r>
    <x v="0"/>
    <x v="12"/>
    <x v="8"/>
    <x v="11"/>
    <x v="3"/>
    <x v="3"/>
    <n v="7.0060589000000006E-2"/>
  </r>
  <r>
    <x v="0"/>
    <x v="12"/>
    <x v="8"/>
    <x v="12"/>
    <x v="3"/>
    <x v="3"/>
    <n v="7.0060589000000006E-2"/>
  </r>
  <r>
    <x v="0"/>
    <x v="12"/>
    <x v="8"/>
    <x v="13"/>
    <x v="3"/>
    <x v="3"/>
    <n v="7.0060589000000006E-2"/>
  </r>
  <r>
    <x v="0"/>
    <x v="12"/>
    <x v="8"/>
    <x v="14"/>
    <x v="3"/>
    <x v="3"/>
    <n v="7.0060589000000006E-2"/>
  </r>
  <r>
    <x v="0"/>
    <x v="12"/>
    <x v="8"/>
    <x v="15"/>
    <x v="3"/>
    <x v="3"/>
    <n v="7.0060589000000006E-2"/>
  </r>
  <r>
    <x v="0"/>
    <x v="12"/>
    <x v="8"/>
    <x v="16"/>
    <x v="3"/>
    <x v="3"/>
    <n v="7.0060589000000006E-2"/>
  </r>
  <r>
    <x v="0"/>
    <x v="12"/>
    <x v="8"/>
    <x v="17"/>
    <x v="3"/>
    <x v="3"/>
    <n v="7.0060589000000006E-2"/>
  </r>
  <r>
    <x v="0"/>
    <x v="12"/>
    <x v="8"/>
    <x v="18"/>
    <x v="3"/>
    <x v="3"/>
    <n v="7.0060589000000006E-2"/>
  </r>
  <r>
    <x v="0"/>
    <x v="12"/>
    <x v="8"/>
    <x v="19"/>
    <x v="3"/>
    <x v="3"/>
    <n v="7.0060589000000006E-2"/>
  </r>
  <r>
    <x v="0"/>
    <x v="12"/>
    <x v="8"/>
    <x v="20"/>
    <x v="3"/>
    <x v="3"/>
    <n v="7.0060589000000006E-2"/>
  </r>
  <r>
    <x v="0"/>
    <x v="12"/>
    <x v="8"/>
    <x v="21"/>
    <x v="3"/>
    <x v="3"/>
    <n v="7.0060589000000006E-2"/>
  </r>
  <r>
    <x v="0"/>
    <x v="12"/>
    <x v="8"/>
    <x v="22"/>
    <x v="3"/>
    <x v="3"/>
    <n v="7.0060589000000006E-2"/>
  </r>
  <r>
    <x v="0"/>
    <x v="12"/>
    <x v="8"/>
    <x v="23"/>
    <x v="3"/>
    <x v="3"/>
    <n v="7.0060589000000006E-2"/>
  </r>
  <r>
    <x v="0"/>
    <x v="12"/>
    <x v="8"/>
    <x v="24"/>
    <x v="3"/>
    <x v="3"/>
    <n v="7.0060589000000006E-2"/>
  </r>
  <r>
    <x v="0"/>
    <x v="12"/>
    <x v="8"/>
    <x v="25"/>
    <x v="3"/>
    <x v="3"/>
    <n v="7.0060589000000006E-2"/>
  </r>
  <r>
    <x v="0"/>
    <x v="12"/>
    <x v="8"/>
    <x v="26"/>
    <x v="3"/>
    <x v="3"/>
    <n v="7.0060589000000006E-2"/>
  </r>
  <r>
    <x v="0"/>
    <x v="12"/>
    <x v="8"/>
    <x v="27"/>
    <x v="3"/>
    <x v="3"/>
    <n v="7.0060589000000006E-2"/>
  </r>
  <r>
    <x v="0"/>
    <x v="12"/>
    <x v="8"/>
    <x v="28"/>
    <x v="3"/>
    <x v="3"/>
    <n v="7.0060589000000006E-2"/>
  </r>
  <r>
    <x v="0"/>
    <x v="12"/>
    <x v="8"/>
    <x v="29"/>
    <x v="3"/>
    <x v="3"/>
    <n v="7.0060589000000006E-2"/>
  </r>
  <r>
    <x v="0"/>
    <x v="12"/>
    <x v="8"/>
    <x v="30"/>
    <x v="3"/>
    <x v="3"/>
    <n v="7.0060589000000006E-2"/>
  </r>
  <r>
    <x v="0"/>
    <x v="12"/>
    <x v="8"/>
    <x v="31"/>
    <x v="3"/>
    <x v="3"/>
    <n v="7.0060589000000006E-2"/>
  </r>
  <r>
    <x v="0"/>
    <x v="12"/>
    <x v="8"/>
    <x v="32"/>
    <x v="3"/>
    <x v="3"/>
    <n v="7.0060589000000006E-2"/>
  </r>
  <r>
    <x v="0"/>
    <x v="12"/>
    <x v="8"/>
    <x v="33"/>
    <x v="3"/>
    <x v="3"/>
    <n v="7.0060589000000006E-2"/>
  </r>
  <r>
    <x v="0"/>
    <x v="12"/>
    <x v="8"/>
    <x v="34"/>
    <x v="3"/>
    <x v="3"/>
    <n v="7.0060589000000006E-2"/>
  </r>
  <r>
    <x v="0"/>
    <x v="12"/>
    <x v="8"/>
    <x v="35"/>
    <x v="3"/>
    <x v="3"/>
    <n v="7.0060589000000006E-2"/>
  </r>
  <r>
    <x v="0"/>
    <x v="12"/>
    <x v="8"/>
    <x v="36"/>
    <x v="3"/>
    <x v="3"/>
    <n v="7.0060589000000006E-2"/>
  </r>
  <r>
    <x v="0"/>
    <x v="12"/>
    <x v="8"/>
    <x v="37"/>
    <x v="3"/>
    <x v="3"/>
    <n v="7.0060589000000006E-2"/>
  </r>
  <r>
    <x v="0"/>
    <x v="12"/>
    <x v="8"/>
    <x v="38"/>
    <x v="3"/>
    <x v="3"/>
    <n v="7.0060589000000006E-2"/>
  </r>
  <r>
    <x v="0"/>
    <x v="12"/>
    <x v="8"/>
    <x v="39"/>
    <x v="3"/>
    <x v="3"/>
    <n v="7.0060589000000006E-2"/>
  </r>
  <r>
    <x v="0"/>
    <x v="12"/>
    <x v="8"/>
    <x v="40"/>
    <x v="3"/>
    <x v="3"/>
    <n v="7.0060589000000006E-2"/>
  </r>
  <r>
    <x v="0"/>
    <x v="12"/>
    <x v="8"/>
    <x v="41"/>
    <x v="3"/>
    <x v="3"/>
    <n v="7.0060589000000006E-2"/>
  </r>
  <r>
    <x v="0"/>
    <x v="12"/>
    <x v="9"/>
    <x v="42"/>
    <x v="4"/>
    <x v="4"/>
    <n v="77.189655724999994"/>
  </r>
  <r>
    <x v="0"/>
    <x v="12"/>
    <x v="9"/>
    <x v="42"/>
    <x v="5"/>
    <x v="4"/>
    <n v="1.108853222"/>
  </r>
  <r>
    <x v="0"/>
    <x v="12"/>
    <x v="9"/>
    <x v="42"/>
    <x v="6"/>
    <x v="4"/>
    <n v="0"/>
  </r>
  <r>
    <x v="0"/>
    <x v="12"/>
    <x v="9"/>
    <x v="42"/>
    <x v="7"/>
    <x v="4"/>
    <n v="0"/>
  </r>
  <r>
    <x v="0"/>
    <x v="12"/>
    <x v="9"/>
    <x v="42"/>
    <x v="8"/>
    <x v="4"/>
    <n v="0"/>
  </r>
  <r>
    <x v="0"/>
    <x v="12"/>
    <x v="9"/>
    <x v="42"/>
    <x v="9"/>
    <x v="4"/>
    <n v="86.217615632999994"/>
  </r>
  <r>
    <x v="0"/>
    <x v="12"/>
    <x v="9"/>
    <x v="42"/>
    <x v="10"/>
    <x v="4"/>
    <n v="2.446560834"/>
  </r>
  <r>
    <x v="0"/>
    <x v="12"/>
    <x v="9"/>
    <x v="42"/>
    <x v="11"/>
    <x v="4"/>
    <n v="14.87359041"/>
  </r>
  <r>
    <x v="0"/>
    <x v="12"/>
    <x v="9"/>
    <x v="42"/>
    <x v="12"/>
    <x v="4"/>
    <n v="2.1131140429999999"/>
  </r>
  <r>
    <x v="0"/>
    <x v="12"/>
    <x v="9"/>
    <x v="42"/>
    <x v="13"/>
    <x v="4"/>
    <n v="3.391752045"/>
  </r>
  <r>
    <x v="0"/>
    <x v="12"/>
    <x v="9"/>
    <x v="42"/>
    <x v="14"/>
    <x v="4"/>
    <n v="2.690039895"/>
  </r>
  <r>
    <x v="0"/>
    <x v="12"/>
    <x v="9"/>
    <x v="42"/>
    <x v="15"/>
    <x v="4"/>
    <n v="11.850547146"/>
  </r>
  <r>
    <x v="0"/>
    <x v="12"/>
    <x v="9"/>
    <x v="42"/>
    <x v="16"/>
    <x v="4"/>
    <n v="1.5975263959999999"/>
  </r>
  <r>
    <x v="0"/>
    <x v="12"/>
    <x v="9"/>
    <x v="42"/>
    <x v="17"/>
    <x v="4"/>
    <n v="0"/>
  </r>
  <r>
    <x v="0"/>
    <x v="12"/>
    <x v="9"/>
    <x v="42"/>
    <x v="18"/>
    <x v="4"/>
    <n v="0.98188326599999998"/>
  </r>
  <r>
    <x v="0"/>
    <x v="12"/>
    <x v="9"/>
    <x v="42"/>
    <x v="19"/>
    <x v="4"/>
    <n v="0.51165778900000003"/>
  </r>
  <r>
    <x v="0"/>
    <x v="12"/>
    <x v="9"/>
    <x v="42"/>
    <x v="20"/>
    <x v="4"/>
    <n v="0.130422335"/>
  </r>
  <r>
    <x v="0"/>
    <x v="12"/>
    <x v="9"/>
    <x v="42"/>
    <x v="21"/>
    <x v="4"/>
    <n v="8.8253536970000006"/>
  </r>
  <r>
    <x v="0"/>
    <x v="12"/>
    <x v="9"/>
    <x v="42"/>
    <x v="22"/>
    <x v="4"/>
    <n v="9.4071042219999992"/>
  </r>
  <r>
    <x v="0"/>
    <x v="12"/>
    <x v="9"/>
    <x v="42"/>
    <x v="23"/>
    <x v="4"/>
    <n v="8.7735217080000005"/>
  </r>
  <r>
    <x v="0"/>
    <x v="12"/>
    <x v="9"/>
    <x v="42"/>
    <x v="24"/>
    <x v="4"/>
    <n v="0.62910467999999997"/>
  </r>
  <r>
    <x v="0"/>
    <x v="12"/>
    <x v="9"/>
    <x v="42"/>
    <x v="25"/>
    <x v="4"/>
    <n v="0.65779166700000002"/>
  </r>
  <r>
    <x v="0"/>
    <x v="12"/>
    <x v="9"/>
    <x v="42"/>
    <x v="26"/>
    <x v="4"/>
    <n v="0"/>
  </r>
  <r>
    <x v="0"/>
    <x v="12"/>
    <x v="9"/>
    <x v="42"/>
    <x v="27"/>
    <x v="4"/>
    <n v="0"/>
  </r>
  <r>
    <x v="0"/>
    <x v="12"/>
    <x v="9"/>
    <x v="42"/>
    <x v="28"/>
    <x v="4"/>
    <n v="8.7021637129999991"/>
  </r>
  <r>
    <x v="0"/>
    <x v="12"/>
    <x v="9"/>
    <x v="42"/>
    <x v="29"/>
    <x v="4"/>
    <n v="1.1960874779999999"/>
  </r>
  <r>
    <x v="0"/>
    <x v="12"/>
    <x v="9"/>
    <x v="42"/>
    <x v="30"/>
    <x v="4"/>
    <n v="0.51001071600000003"/>
  </r>
  <r>
    <x v="0"/>
    <x v="12"/>
    <x v="9"/>
    <x v="42"/>
    <x v="31"/>
    <x v="4"/>
    <n v="0"/>
  </r>
  <r>
    <x v="0"/>
    <x v="12"/>
    <x v="9"/>
    <x v="42"/>
    <x v="32"/>
    <x v="4"/>
    <n v="36.337600473000002"/>
  </r>
  <r>
    <x v="0"/>
    <x v="12"/>
    <x v="9"/>
    <x v="42"/>
    <x v="33"/>
    <x v="4"/>
    <n v="11.962902412"/>
  </r>
  <r>
    <x v="0"/>
    <x v="12"/>
    <x v="9"/>
    <x v="42"/>
    <x v="34"/>
    <x v="4"/>
    <n v="0.81891961099999999"/>
  </r>
  <r>
    <x v="0"/>
    <x v="12"/>
    <x v="9"/>
    <x v="42"/>
    <x v="35"/>
    <x v="4"/>
    <n v="18.084046934"/>
  </r>
  <r>
    <x v="0"/>
    <x v="12"/>
    <x v="9"/>
    <x v="42"/>
    <x v="36"/>
    <x v="4"/>
    <n v="23.495814600999999"/>
  </r>
  <r>
    <x v="0"/>
    <x v="12"/>
    <x v="9"/>
    <x v="42"/>
    <x v="37"/>
    <x v="4"/>
    <n v="168.372189429"/>
  </r>
  <r>
    <x v="0"/>
    <x v="12"/>
    <x v="9"/>
    <x v="42"/>
    <x v="38"/>
    <x v="4"/>
    <n v="0.43926587299999997"/>
  </r>
  <r>
    <x v="0"/>
    <x v="12"/>
    <x v="9"/>
    <x v="42"/>
    <x v="39"/>
    <x v="4"/>
    <n v="0.19361542900000001"/>
  </r>
  <r>
    <x v="0"/>
    <x v="12"/>
    <x v="9"/>
    <x v="42"/>
    <x v="40"/>
    <x v="4"/>
    <n v="0.25159970100000001"/>
  </r>
  <r>
    <x v="0"/>
    <x v="12"/>
    <x v="9"/>
    <x v="42"/>
    <x v="41"/>
    <x v="4"/>
    <n v="2.5013868370000001"/>
  </r>
  <r>
    <x v="0"/>
    <x v="12"/>
    <x v="9"/>
    <x v="42"/>
    <x v="42"/>
    <x v="4"/>
    <n v="-5.6518217929999999"/>
  </r>
  <r>
    <x v="0"/>
    <x v="12"/>
    <x v="9"/>
    <x v="42"/>
    <x v="43"/>
    <x v="4"/>
    <n v="-1.7730016390000001"/>
  </r>
  <r>
    <x v="0"/>
    <x v="12"/>
    <x v="9"/>
    <x v="42"/>
    <x v="44"/>
    <x v="4"/>
    <n v="2.0147178120000002"/>
  </r>
  <r>
    <x v="0"/>
    <x v="12"/>
    <x v="9"/>
    <x v="42"/>
    <x v="45"/>
    <x v="4"/>
    <n v="-0.12747207499999999"/>
  </r>
  <r>
    <x v="0"/>
    <x v="12"/>
    <x v="10"/>
    <x v="42"/>
    <x v="0"/>
    <x v="4"/>
    <n v="0.562850234"/>
  </r>
  <r>
    <x v="0"/>
    <x v="12"/>
    <x v="11"/>
    <x v="42"/>
    <x v="0"/>
    <x v="4"/>
    <n v="13.697144308"/>
  </r>
  <r>
    <x v="0"/>
    <x v="12"/>
    <x v="9"/>
    <x v="43"/>
    <x v="4"/>
    <x v="4"/>
    <n v="139.30701735599999"/>
  </r>
  <r>
    <x v="0"/>
    <x v="12"/>
    <x v="9"/>
    <x v="43"/>
    <x v="5"/>
    <x v="4"/>
    <n v="0.71395854000000003"/>
  </r>
  <r>
    <x v="0"/>
    <x v="12"/>
    <x v="9"/>
    <x v="43"/>
    <x v="6"/>
    <x v="4"/>
    <n v="0"/>
  </r>
  <r>
    <x v="0"/>
    <x v="12"/>
    <x v="9"/>
    <x v="43"/>
    <x v="7"/>
    <x v="4"/>
    <n v="0"/>
  </r>
  <r>
    <x v="0"/>
    <x v="12"/>
    <x v="9"/>
    <x v="43"/>
    <x v="8"/>
    <x v="4"/>
    <n v="0"/>
  </r>
  <r>
    <x v="0"/>
    <x v="12"/>
    <x v="9"/>
    <x v="43"/>
    <x v="9"/>
    <x v="4"/>
    <n v="315.29420055000003"/>
  </r>
  <r>
    <x v="0"/>
    <x v="12"/>
    <x v="9"/>
    <x v="43"/>
    <x v="10"/>
    <x v="4"/>
    <n v="2.900814225"/>
  </r>
  <r>
    <x v="0"/>
    <x v="12"/>
    <x v="9"/>
    <x v="43"/>
    <x v="11"/>
    <x v="4"/>
    <n v="59.230655050000003"/>
  </r>
  <r>
    <x v="0"/>
    <x v="12"/>
    <x v="9"/>
    <x v="43"/>
    <x v="12"/>
    <x v="4"/>
    <n v="5.3487155250000002"/>
  </r>
  <r>
    <x v="0"/>
    <x v="12"/>
    <x v="9"/>
    <x v="43"/>
    <x v="13"/>
    <x v="4"/>
    <n v="10.081508819"/>
  </r>
  <r>
    <x v="0"/>
    <x v="12"/>
    <x v="9"/>
    <x v="43"/>
    <x v="14"/>
    <x v="4"/>
    <n v="19.762352807999999"/>
  </r>
  <r>
    <x v="0"/>
    <x v="12"/>
    <x v="9"/>
    <x v="43"/>
    <x v="15"/>
    <x v="4"/>
    <n v="39.931706204999998"/>
  </r>
  <r>
    <x v="0"/>
    <x v="12"/>
    <x v="9"/>
    <x v="43"/>
    <x v="16"/>
    <x v="4"/>
    <n v="2.634210854"/>
  </r>
  <r>
    <x v="0"/>
    <x v="12"/>
    <x v="9"/>
    <x v="43"/>
    <x v="17"/>
    <x v="4"/>
    <n v="0"/>
  </r>
  <r>
    <x v="0"/>
    <x v="12"/>
    <x v="9"/>
    <x v="43"/>
    <x v="18"/>
    <x v="4"/>
    <n v="3.1165958499999999"/>
  </r>
  <r>
    <x v="0"/>
    <x v="12"/>
    <x v="9"/>
    <x v="43"/>
    <x v="19"/>
    <x v="4"/>
    <n v="0.83479871999999999"/>
  </r>
  <r>
    <x v="0"/>
    <x v="12"/>
    <x v="9"/>
    <x v="43"/>
    <x v="20"/>
    <x v="4"/>
    <n v="0.82789173100000002"/>
  </r>
  <r>
    <x v="0"/>
    <x v="12"/>
    <x v="9"/>
    <x v="43"/>
    <x v="21"/>
    <x v="4"/>
    <n v="48.237156487"/>
  </r>
  <r>
    <x v="0"/>
    <x v="12"/>
    <x v="9"/>
    <x v="43"/>
    <x v="22"/>
    <x v="4"/>
    <n v="20.93048632"/>
  </r>
  <r>
    <x v="0"/>
    <x v="12"/>
    <x v="9"/>
    <x v="43"/>
    <x v="23"/>
    <x v="4"/>
    <n v="23.007505001999998"/>
  </r>
  <r>
    <x v="0"/>
    <x v="12"/>
    <x v="9"/>
    <x v="43"/>
    <x v="24"/>
    <x v="4"/>
    <n v="1.105176696"/>
  </r>
  <r>
    <x v="0"/>
    <x v="12"/>
    <x v="9"/>
    <x v="43"/>
    <x v="25"/>
    <x v="4"/>
    <n v="1.0417639510000001"/>
  </r>
  <r>
    <x v="0"/>
    <x v="12"/>
    <x v="9"/>
    <x v="43"/>
    <x v="26"/>
    <x v="4"/>
    <n v="0"/>
  </r>
  <r>
    <x v="0"/>
    <x v="12"/>
    <x v="9"/>
    <x v="43"/>
    <x v="27"/>
    <x v="4"/>
    <n v="0"/>
  </r>
  <r>
    <x v="0"/>
    <x v="12"/>
    <x v="9"/>
    <x v="43"/>
    <x v="28"/>
    <x v="4"/>
    <n v="9.3422617310000007"/>
  </r>
  <r>
    <x v="0"/>
    <x v="12"/>
    <x v="9"/>
    <x v="43"/>
    <x v="29"/>
    <x v="4"/>
    <n v="8.349127051"/>
  </r>
  <r>
    <x v="0"/>
    <x v="12"/>
    <x v="9"/>
    <x v="43"/>
    <x v="30"/>
    <x v="4"/>
    <n v="-0.364830655"/>
  </r>
  <r>
    <x v="0"/>
    <x v="12"/>
    <x v="9"/>
    <x v="43"/>
    <x v="31"/>
    <x v="4"/>
    <n v="0"/>
  </r>
  <r>
    <x v="0"/>
    <x v="12"/>
    <x v="9"/>
    <x v="43"/>
    <x v="32"/>
    <x v="4"/>
    <n v="42.740399404000001"/>
  </r>
  <r>
    <x v="0"/>
    <x v="12"/>
    <x v="9"/>
    <x v="43"/>
    <x v="33"/>
    <x v="4"/>
    <n v="11.06356983"/>
  </r>
  <r>
    <x v="0"/>
    <x v="12"/>
    <x v="9"/>
    <x v="43"/>
    <x v="34"/>
    <x v="4"/>
    <n v="-25.343352361000001"/>
  </r>
  <r>
    <x v="0"/>
    <x v="12"/>
    <x v="9"/>
    <x v="43"/>
    <x v="35"/>
    <x v="4"/>
    <n v="28.444135922000001"/>
  </r>
  <r>
    <x v="0"/>
    <x v="12"/>
    <x v="9"/>
    <x v="43"/>
    <x v="36"/>
    <x v="4"/>
    <n v="55.167188500999998"/>
  </r>
  <r>
    <x v="0"/>
    <x v="12"/>
    <x v="9"/>
    <x v="43"/>
    <x v="37"/>
    <x v="4"/>
    <n v="290.58271753499997"/>
  </r>
  <r>
    <x v="0"/>
    <x v="12"/>
    <x v="9"/>
    <x v="43"/>
    <x v="38"/>
    <x v="4"/>
    <n v="0.42868615700000001"/>
  </r>
  <r>
    <x v="0"/>
    <x v="12"/>
    <x v="9"/>
    <x v="43"/>
    <x v="39"/>
    <x v="4"/>
    <n v="-0.19493238099999999"/>
  </r>
  <r>
    <x v="0"/>
    <x v="12"/>
    <x v="9"/>
    <x v="43"/>
    <x v="40"/>
    <x v="4"/>
    <n v="-1.1616793750000001"/>
  </r>
  <r>
    <x v="0"/>
    <x v="12"/>
    <x v="9"/>
    <x v="43"/>
    <x v="41"/>
    <x v="4"/>
    <n v="-16.132606817999999"/>
  </r>
  <r>
    <x v="0"/>
    <x v="12"/>
    <x v="9"/>
    <x v="43"/>
    <x v="42"/>
    <x v="4"/>
    <n v="-33.179364323000001"/>
  </r>
  <r>
    <x v="0"/>
    <x v="12"/>
    <x v="9"/>
    <x v="43"/>
    <x v="43"/>
    <x v="4"/>
    <n v="-31.520540337"/>
  </r>
  <r>
    <x v="0"/>
    <x v="12"/>
    <x v="9"/>
    <x v="43"/>
    <x v="44"/>
    <x v="4"/>
    <n v="-2.4851552570000002"/>
  </r>
  <r>
    <x v="0"/>
    <x v="12"/>
    <x v="9"/>
    <x v="43"/>
    <x v="45"/>
    <x v="4"/>
    <n v="-2.1178267329999998"/>
  </r>
  <r>
    <x v="0"/>
    <x v="12"/>
    <x v="10"/>
    <x v="43"/>
    <x v="0"/>
    <x v="4"/>
    <n v="1.4693143529999999"/>
  </r>
  <r>
    <x v="0"/>
    <x v="12"/>
    <x v="11"/>
    <x v="43"/>
    <x v="0"/>
    <x v="4"/>
    <n v="38.16770013"/>
  </r>
  <r>
    <x v="0"/>
    <x v="12"/>
    <x v="12"/>
    <x v="0"/>
    <x v="0"/>
    <x v="0"/>
    <n v="753.04011964999995"/>
  </r>
  <r>
    <x v="0"/>
    <x v="12"/>
    <x v="13"/>
    <x v="0"/>
    <x v="0"/>
    <x v="0"/>
    <n v="314.26569653000001"/>
  </r>
  <r>
    <x v="0"/>
    <x v="12"/>
    <x v="14"/>
    <x v="0"/>
    <x v="0"/>
    <x v="0"/>
    <n v="0.98212414100000001"/>
  </r>
  <r>
    <x v="0"/>
    <x v="12"/>
    <x v="15"/>
    <x v="0"/>
    <x v="0"/>
    <x v="1"/>
    <n v="9.4286538000000003E-2"/>
  </r>
  <r>
    <x v="0"/>
    <x v="12"/>
    <x v="16"/>
    <x v="0"/>
    <x v="0"/>
    <x v="1"/>
    <n v="0.10074559399999999"/>
  </r>
  <r>
    <x v="0"/>
    <x v="12"/>
    <x v="12"/>
    <x v="1"/>
    <x v="0"/>
    <x v="0"/>
    <n v="240.181124372"/>
  </r>
  <r>
    <x v="0"/>
    <x v="12"/>
    <x v="13"/>
    <x v="1"/>
    <x v="0"/>
    <x v="0"/>
    <n v="38.849431737000003"/>
  </r>
  <r>
    <x v="0"/>
    <x v="12"/>
    <x v="14"/>
    <x v="1"/>
    <x v="0"/>
    <x v="0"/>
    <n v="0.32237918399999999"/>
  </r>
  <r>
    <x v="0"/>
    <x v="12"/>
    <x v="15"/>
    <x v="1"/>
    <x v="0"/>
    <x v="1"/>
    <n v="5.3774719999999998E-2"/>
  </r>
  <r>
    <x v="0"/>
    <x v="12"/>
    <x v="16"/>
    <x v="1"/>
    <x v="0"/>
    <x v="1"/>
    <n v="5.4883359999999999E-2"/>
  </r>
  <r>
    <x v="0"/>
    <x v="12"/>
    <x v="12"/>
    <x v="2"/>
    <x v="0"/>
    <x v="0"/>
    <n v="309.12047519499998"/>
  </r>
  <r>
    <x v="0"/>
    <x v="12"/>
    <x v="13"/>
    <x v="2"/>
    <x v="0"/>
    <x v="0"/>
    <n v="102.944551695"/>
  </r>
  <r>
    <x v="0"/>
    <x v="12"/>
    <x v="14"/>
    <x v="2"/>
    <x v="0"/>
    <x v="0"/>
    <n v="2.5036760899999999"/>
  </r>
  <r>
    <x v="0"/>
    <x v="12"/>
    <x v="15"/>
    <x v="2"/>
    <x v="0"/>
    <x v="1"/>
    <n v="3.3259538999999998E-2"/>
  </r>
  <r>
    <x v="0"/>
    <x v="12"/>
    <x v="16"/>
    <x v="2"/>
    <x v="0"/>
    <x v="1"/>
    <n v="3.0817693E-2"/>
  </r>
  <r>
    <x v="0"/>
    <x v="12"/>
    <x v="12"/>
    <x v="3"/>
    <x v="0"/>
    <x v="0"/>
    <n v="138.45578529299999"/>
  </r>
  <r>
    <x v="0"/>
    <x v="12"/>
    <x v="13"/>
    <x v="3"/>
    <x v="0"/>
    <x v="0"/>
    <n v="83.150402622000001"/>
  </r>
  <r>
    <x v="0"/>
    <x v="12"/>
    <x v="14"/>
    <x v="3"/>
    <x v="0"/>
    <x v="0"/>
    <n v="0.31437328199999998"/>
  </r>
  <r>
    <x v="0"/>
    <x v="12"/>
    <x v="15"/>
    <x v="3"/>
    <x v="0"/>
    <x v="1"/>
    <n v="4.2057303999999997E-2"/>
  </r>
  <r>
    <x v="0"/>
    <x v="12"/>
    <x v="16"/>
    <x v="3"/>
    <x v="0"/>
    <x v="1"/>
    <n v="4.2926219000000002E-2"/>
  </r>
  <r>
    <x v="0"/>
    <x v="12"/>
    <x v="12"/>
    <x v="4"/>
    <x v="0"/>
    <x v="0"/>
    <n v="63.407974944999999"/>
  </r>
  <r>
    <x v="0"/>
    <x v="12"/>
    <x v="13"/>
    <x v="4"/>
    <x v="0"/>
    <x v="0"/>
    <n v="6.9922153590000002"/>
  </r>
  <r>
    <x v="0"/>
    <x v="12"/>
    <x v="14"/>
    <x v="4"/>
    <x v="0"/>
    <x v="0"/>
    <n v="0.51920905500000003"/>
  </r>
  <r>
    <x v="0"/>
    <x v="12"/>
    <x v="15"/>
    <x v="4"/>
    <x v="0"/>
    <x v="1"/>
    <n v="4.8870728000000002E-2"/>
  </r>
  <r>
    <x v="0"/>
    <x v="12"/>
    <x v="16"/>
    <x v="4"/>
    <x v="0"/>
    <x v="1"/>
    <n v="4.9392916000000002E-2"/>
  </r>
  <r>
    <x v="0"/>
    <x v="12"/>
    <x v="12"/>
    <x v="5"/>
    <x v="0"/>
    <x v="0"/>
    <n v="604.65900784600001"/>
  </r>
  <r>
    <x v="0"/>
    <x v="12"/>
    <x v="13"/>
    <x v="5"/>
    <x v="0"/>
    <x v="0"/>
    <n v="160.654966962"/>
  </r>
  <r>
    <x v="0"/>
    <x v="12"/>
    <x v="14"/>
    <x v="5"/>
    <x v="0"/>
    <x v="0"/>
    <n v="5.1706815529999997"/>
  </r>
  <r>
    <x v="0"/>
    <x v="12"/>
    <x v="15"/>
    <x v="5"/>
    <x v="0"/>
    <x v="1"/>
    <n v="7.0948120000000003E-2"/>
  </r>
  <r>
    <x v="0"/>
    <x v="12"/>
    <x v="16"/>
    <x v="5"/>
    <x v="0"/>
    <x v="1"/>
    <n v="7.3525646E-2"/>
  </r>
  <r>
    <x v="0"/>
    <x v="12"/>
    <x v="12"/>
    <x v="6"/>
    <x v="0"/>
    <x v="0"/>
    <n v="189.81038253599999"/>
  </r>
  <r>
    <x v="0"/>
    <x v="12"/>
    <x v="13"/>
    <x v="6"/>
    <x v="0"/>
    <x v="0"/>
    <n v="25.178786898999999"/>
  </r>
  <r>
    <x v="0"/>
    <x v="12"/>
    <x v="14"/>
    <x v="6"/>
    <x v="0"/>
    <x v="0"/>
    <n v="9.6516803150000001"/>
  </r>
  <r>
    <x v="0"/>
    <x v="12"/>
    <x v="15"/>
    <x v="6"/>
    <x v="0"/>
    <x v="1"/>
    <n v="6.4334303999999995E-2"/>
  </r>
  <r>
    <x v="0"/>
    <x v="12"/>
    <x v="16"/>
    <x v="6"/>
    <x v="0"/>
    <x v="1"/>
    <n v="6.5437666000000005E-2"/>
  </r>
  <r>
    <x v="0"/>
    <x v="12"/>
    <x v="12"/>
    <x v="7"/>
    <x v="0"/>
    <x v="0"/>
    <n v="104.00769333700001"/>
  </r>
  <r>
    <x v="0"/>
    <x v="12"/>
    <x v="13"/>
    <x v="7"/>
    <x v="0"/>
    <x v="0"/>
    <n v="40.019620594999999"/>
  </r>
  <r>
    <x v="0"/>
    <x v="12"/>
    <x v="14"/>
    <x v="7"/>
    <x v="0"/>
    <x v="0"/>
    <n v="19.975736358999999"/>
  </r>
  <r>
    <x v="0"/>
    <x v="12"/>
    <x v="15"/>
    <x v="7"/>
    <x v="0"/>
    <x v="1"/>
    <n v="6.6227033000000005E-2"/>
  </r>
  <r>
    <x v="0"/>
    <x v="12"/>
    <x v="16"/>
    <x v="7"/>
    <x v="0"/>
    <x v="1"/>
    <n v="6.9532369999999996E-2"/>
  </r>
  <r>
    <x v="0"/>
    <x v="12"/>
    <x v="12"/>
    <x v="8"/>
    <x v="0"/>
    <x v="0"/>
    <n v="83.018760792999998"/>
  </r>
  <r>
    <x v="0"/>
    <x v="12"/>
    <x v="13"/>
    <x v="8"/>
    <x v="0"/>
    <x v="0"/>
    <n v="10.923301749"/>
  </r>
  <r>
    <x v="0"/>
    <x v="12"/>
    <x v="14"/>
    <x v="8"/>
    <x v="0"/>
    <x v="0"/>
    <n v="7.654619866"/>
  </r>
  <r>
    <x v="0"/>
    <x v="12"/>
    <x v="15"/>
    <x v="8"/>
    <x v="0"/>
    <x v="1"/>
    <n v="5.9804636000000001E-2"/>
  </r>
  <r>
    <x v="0"/>
    <x v="12"/>
    <x v="16"/>
    <x v="8"/>
    <x v="0"/>
    <x v="1"/>
    <n v="6.0784647999999997E-2"/>
  </r>
  <r>
    <x v="0"/>
    <x v="12"/>
    <x v="12"/>
    <x v="9"/>
    <x v="0"/>
    <x v="0"/>
    <n v="221.37715925200001"/>
  </r>
  <r>
    <x v="0"/>
    <x v="12"/>
    <x v="13"/>
    <x v="9"/>
    <x v="0"/>
    <x v="0"/>
    <n v="38.907842606000003"/>
  </r>
  <r>
    <x v="0"/>
    <x v="12"/>
    <x v="14"/>
    <x v="9"/>
    <x v="0"/>
    <x v="0"/>
    <n v="18.11517928"/>
  </r>
  <r>
    <x v="0"/>
    <x v="12"/>
    <x v="15"/>
    <x v="9"/>
    <x v="0"/>
    <x v="1"/>
    <n v="5.2782889999999999E-2"/>
  </r>
  <r>
    <x v="0"/>
    <x v="12"/>
    <x v="16"/>
    <x v="9"/>
    <x v="0"/>
    <x v="1"/>
    <n v="5.3754987999999997E-2"/>
  </r>
  <r>
    <x v="0"/>
    <x v="12"/>
    <x v="12"/>
    <x v="10"/>
    <x v="0"/>
    <x v="0"/>
    <n v="359.7834805"/>
  </r>
  <r>
    <x v="0"/>
    <x v="12"/>
    <x v="13"/>
    <x v="10"/>
    <x v="0"/>
    <x v="0"/>
    <n v="36.580735937999997"/>
  </r>
  <r>
    <x v="0"/>
    <x v="12"/>
    <x v="14"/>
    <x v="10"/>
    <x v="0"/>
    <x v="0"/>
    <n v="7.0158982139999999"/>
  </r>
  <r>
    <x v="0"/>
    <x v="12"/>
    <x v="15"/>
    <x v="10"/>
    <x v="0"/>
    <x v="1"/>
    <n v="3.726227E-2"/>
  </r>
  <r>
    <x v="0"/>
    <x v="12"/>
    <x v="16"/>
    <x v="10"/>
    <x v="0"/>
    <x v="1"/>
    <n v="3.7096002000000003E-2"/>
  </r>
  <r>
    <x v="0"/>
    <x v="12"/>
    <x v="12"/>
    <x v="11"/>
    <x v="0"/>
    <x v="0"/>
    <n v="925.22128677800004"/>
  </r>
  <r>
    <x v="0"/>
    <x v="12"/>
    <x v="13"/>
    <x v="11"/>
    <x v="0"/>
    <x v="0"/>
    <n v="209.15099360100001"/>
  </r>
  <r>
    <x v="0"/>
    <x v="12"/>
    <x v="14"/>
    <x v="11"/>
    <x v="0"/>
    <x v="0"/>
    <n v="38.687480975"/>
  </r>
  <r>
    <x v="0"/>
    <x v="12"/>
    <x v="15"/>
    <x v="11"/>
    <x v="0"/>
    <x v="1"/>
    <n v="4.5641197000000001E-2"/>
  </r>
  <r>
    <x v="0"/>
    <x v="12"/>
    <x v="16"/>
    <x v="11"/>
    <x v="0"/>
    <x v="1"/>
    <n v="4.6283194999999999E-2"/>
  </r>
  <r>
    <x v="0"/>
    <x v="12"/>
    <x v="12"/>
    <x v="12"/>
    <x v="0"/>
    <x v="0"/>
    <n v="244.733632658"/>
  </r>
  <r>
    <x v="0"/>
    <x v="12"/>
    <x v="13"/>
    <x v="12"/>
    <x v="0"/>
    <x v="0"/>
    <n v="8.0518511969999995"/>
  </r>
  <r>
    <x v="0"/>
    <x v="12"/>
    <x v="14"/>
    <x v="12"/>
    <x v="0"/>
    <x v="0"/>
    <n v="8.6044495350000005"/>
  </r>
  <r>
    <x v="0"/>
    <x v="12"/>
    <x v="15"/>
    <x v="12"/>
    <x v="0"/>
    <x v="1"/>
    <n v="4.6617678000000003E-2"/>
  </r>
  <r>
    <x v="0"/>
    <x v="12"/>
    <x v="16"/>
    <x v="12"/>
    <x v="0"/>
    <x v="1"/>
    <n v="4.6725905999999998E-2"/>
  </r>
  <r>
    <x v="0"/>
    <x v="12"/>
    <x v="12"/>
    <x v="13"/>
    <x v="0"/>
    <x v="0"/>
    <n v="690.92972276900002"/>
  </r>
  <r>
    <x v="0"/>
    <x v="12"/>
    <x v="13"/>
    <x v="13"/>
    <x v="0"/>
    <x v="0"/>
    <n v="80.486512521999998"/>
  </r>
  <r>
    <x v="0"/>
    <x v="12"/>
    <x v="14"/>
    <x v="13"/>
    <x v="0"/>
    <x v="0"/>
    <n v="21.666697537000001"/>
  </r>
  <r>
    <x v="0"/>
    <x v="12"/>
    <x v="15"/>
    <x v="13"/>
    <x v="0"/>
    <x v="1"/>
    <n v="3.8089607999999997E-2"/>
  </r>
  <r>
    <x v="0"/>
    <x v="12"/>
    <x v="16"/>
    <x v="13"/>
    <x v="0"/>
    <x v="1"/>
    <n v="3.7960990999999999E-2"/>
  </r>
  <r>
    <x v="0"/>
    <x v="12"/>
    <x v="12"/>
    <x v="14"/>
    <x v="0"/>
    <x v="0"/>
    <n v="176.00391637199999"/>
  </r>
  <r>
    <x v="0"/>
    <x v="12"/>
    <x v="13"/>
    <x v="14"/>
    <x v="0"/>
    <x v="0"/>
    <n v="10.769655439999999"/>
  </r>
  <r>
    <x v="0"/>
    <x v="12"/>
    <x v="14"/>
    <x v="14"/>
    <x v="0"/>
    <x v="0"/>
    <n v="15.900169426"/>
  </r>
  <r>
    <x v="0"/>
    <x v="12"/>
    <x v="15"/>
    <x v="14"/>
    <x v="0"/>
    <x v="1"/>
    <n v="4.4521396999999997E-2"/>
  </r>
  <r>
    <x v="0"/>
    <x v="12"/>
    <x v="16"/>
    <x v="14"/>
    <x v="0"/>
    <x v="1"/>
    <n v="4.4662216999999997E-2"/>
  </r>
  <r>
    <x v="0"/>
    <x v="12"/>
    <x v="12"/>
    <x v="15"/>
    <x v="0"/>
    <x v="0"/>
    <n v="181.427026187"/>
  </r>
  <r>
    <x v="0"/>
    <x v="12"/>
    <x v="13"/>
    <x v="15"/>
    <x v="0"/>
    <x v="0"/>
    <n v="69.535620623"/>
  </r>
  <r>
    <x v="0"/>
    <x v="12"/>
    <x v="14"/>
    <x v="15"/>
    <x v="0"/>
    <x v="0"/>
    <n v="22.405256174000002"/>
  </r>
  <r>
    <x v="0"/>
    <x v="12"/>
    <x v="15"/>
    <x v="15"/>
    <x v="0"/>
    <x v="1"/>
    <n v="4.7469127E-2"/>
  </r>
  <r>
    <x v="0"/>
    <x v="12"/>
    <x v="16"/>
    <x v="15"/>
    <x v="0"/>
    <x v="1"/>
    <n v="4.8854960000000003E-2"/>
  </r>
  <r>
    <x v="0"/>
    <x v="12"/>
    <x v="12"/>
    <x v="16"/>
    <x v="0"/>
    <x v="0"/>
    <n v="115.05861705300001"/>
  </r>
  <r>
    <x v="0"/>
    <x v="12"/>
    <x v="13"/>
    <x v="16"/>
    <x v="0"/>
    <x v="0"/>
    <n v="59.467127873000003"/>
  </r>
  <r>
    <x v="0"/>
    <x v="12"/>
    <x v="14"/>
    <x v="16"/>
    <x v="0"/>
    <x v="0"/>
    <n v="10.508811648"/>
  </r>
  <r>
    <x v="0"/>
    <x v="12"/>
    <x v="15"/>
    <x v="16"/>
    <x v="0"/>
    <x v="1"/>
    <n v="4.9413839000000001E-2"/>
  </r>
  <r>
    <x v="0"/>
    <x v="12"/>
    <x v="16"/>
    <x v="16"/>
    <x v="0"/>
    <x v="1"/>
    <n v="5.1643538000000003E-2"/>
  </r>
  <r>
    <x v="0"/>
    <x v="12"/>
    <x v="12"/>
    <x v="17"/>
    <x v="0"/>
    <x v="0"/>
    <n v="282.67779360100002"/>
  </r>
  <r>
    <x v="0"/>
    <x v="12"/>
    <x v="13"/>
    <x v="17"/>
    <x v="0"/>
    <x v="0"/>
    <n v="99.497180529000005"/>
  </r>
  <r>
    <x v="0"/>
    <x v="12"/>
    <x v="14"/>
    <x v="17"/>
    <x v="0"/>
    <x v="0"/>
    <n v="17.390885575999999"/>
  </r>
  <r>
    <x v="0"/>
    <x v="12"/>
    <x v="15"/>
    <x v="17"/>
    <x v="0"/>
    <x v="1"/>
    <n v="4.9709172000000003E-2"/>
  </r>
  <r>
    <x v="0"/>
    <x v="12"/>
    <x v="16"/>
    <x v="17"/>
    <x v="0"/>
    <x v="1"/>
    <n v="5.1256000000000003E-2"/>
  </r>
  <r>
    <x v="0"/>
    <x v="12"/>
    <x v="12"/>
    <x v="18"/>
    <x v="0"/>
    <x v="0"/>
    <n v="223.86068918399999"/>
  </r>
  <r>
    <x v="0"/>
    <x v="12"/>
    <x v="13"/>
    <x v="18"/>
    <x v="0"/>
    <x v="0"/>
    <n v="54.279893711"/>
  </r>
  <r>
    <x v="0"/>
    <x v="12"/>
    <x v="14"/>
    <x v="18"/>
    <x v="0"/>
    <x v="0"/>
    <n v="38.554798110999997"/>
  </r>
  <r>
    <x v="0"/>
    <x v="12"/>
    <x v="15"/>
    <x v="18"/>
    <x v="0"/>
    <x v="1"/>
    <n v="4.4943692E-2"/>
  </r>
  <r>
    <x v="0"/>
    <x v="12"/>
    <x v="16"/>
    <x v="18"/>
    <x v="0"/>
    <x v="1"/>
    <n v="4.5544664999999998E-2"/>
  </r>
  <r>
    <x v="0"/>
    <x v="12"/>
    <x v="12"/>
    <x v="19"/>
    <x v="0"/>
    <x v="0"/>
    <n v="215.94229104199999"/>
  </r>
  <r>
    <x v="0"/>
    <x v="12"/>
    <x v="13"/>
    <x v="19"/>
    <x v="0"/>
    <x v="0"/>
    <n v="294.55599056800003"/>
  </r>
  <r>
    <x v="0"/>
    <x v="12"/>
    <x v="14"/>
    <x v="19"/>
    <x v="0"/>
    <x v="0"/>
    <n v="98.020889017000002"/>
  </r>
  <r>
    <x v="0"/>
    <x v="12"/>
    <x v="15"/>
    <x v="19"/>
    <x v="0"/>
    <x v="1"/>
    <n v="4.5374361000000002E-2"/>
  </r>
  <r>
    <x v="0"/>
    <x v="12"/>
    <x v="16"/>
    <x v="19"/>
    <x v="0"/>
    <x v="1"/>
    <n v="4.9131007999999997E-2"/>
  </r>
  <r>
    <x v="0"/>
    <x v="12"/>
    <x v="12"/>
    <x v="20"/>
    <x v="0"/>
    <x v="0"/>
    <n v="34.857858512"/>
  </r>
  <r>
    <x v="0"/>
    <x v="12"/>
    <x v="13"/>
    <x v="20"/>
    <x v="0"/>
    <x v="0"/>
    <n v="41.808748387999998"/>
  </r>
  <r>
    <x v="0"/>
    <x v="12"/>
    <x v="14"/>
    <x v="20"/>
    <x v="0"/>
    <x v="0"/>
    <n v="7.7606521019999999"/>
  </r>
  <r>
    <x v="0"/>
    <x v="12"/>
    <x v="15"/>
    <x v="20"/>
    <x v="0"/>
    <x v="1"/>
    <n v="4.3861866999999999E-2"/>
  </r>
  <r>
    <x v="0"/>
    <x v="12"/>
    <x v="16"/>
    <x v="20"/>
    <x v="0"/>
    <x v="1"/>
    <n v="4.6545522999999998E-2"/>
  </r>
  <r>
    <x v="0"/>
    <x v="12"/>
    <x v="12"/>
    <x v="21"/>
    <x v="0"/>
    <x v="0"/>
    <n v="15.732922708"/>
  </r>
  <r>
    <x v="0"/>
    <x v="12"/>
    <x v="13"/>
    <x v="21"/>
    <x v="0"/>
    <x v="0"/>
    <n v="0.95619365999999995"/>
  </r>
  <r>
    <x v="0"/>
    <x v="12"/>
    <x v="14"/>
    <x v="21"/>
    <x v="0"/>
    <x v="0"/>
    <n v="1.39345677"/>
  </r>
  <r>
    <x v="0"/>
    <x v="12"/>
    <x v="15"/>
    <x v="21"/>
    <x v="0"/>
    <x v="1"/>
    <n v="5.5758301000000003E-2"/>
  </r>
  <r>
    <x v="0"/>
    <x v="12"/>
    <x v="16"/>
    <x v="21"/>
    <x v="0"/>
    <x v="1"/>
    <n v="5.6142190000000002E-2"/>
  </r>
  <r>
    <x v="0"/>
    <x v="12"/>
    <x v="12"/>
    <x v="22"/>
    <x v="0"/>
    <x v="0"/>
    <n v="83.300546010999994"/>
  </r>
  <r>
    <x v="0"/>
    <x v="12"/>
    <x v="13"/>
    <x v="22"/>
    <x v="0"/>
    <x v="0"/>
    <n v="1.345262773"/>
  </r>
  <r>
    <x v="0"/>
    <x v="12"/>
    <x v="14"/>
    <x v="22"/>
    <x v="0"/>
    <x v="0"/>
    <n v="4.8468614929999996"/>
  </r>
  <r>
    <x v="0"/>
    <x v="12"/>
    <x v="15"/>
    <x v="22"/>
    <x v="0"/>
    <x v="1"/>
    <n v="1.1103831E-2"/>
  </r>
  <r>
    <x v="0"/>
    <x v="12"/>
    <x v="16"/>
    <x v="22"/>
    <x v="0"/>
    <x v="1"/>
    <n v="9.3740490000000006E-3"/>
  </r>
  <r>
    <x v="0"/>
    <x v="12"/>
    <x v="12"/>
    <x v="23"/>
    <x v="0"/>
    <x v="0"/>
    <n v="7.844380031"/>
  </r>
  <r>
    <x v="0"/>
    <x v="12"/>
    <x v="13"/>
    <x v="23"/>
    <x v="0"/>
    <x v="0"/>
    <n v="0"/>
  </r>
  <r>
    <x v="0"/>
    <x v="12"/>
    <x v="14"/>
    <x v="23"/>
    <x v="0"/>
    <x v="0"/>
    <n v="0"/>
  </r>
  <r>
    <x v="0"/>
    <x v="12"/>
    <x v="15"/>
    <x v="23"/>
    <x v="0"/>
    <x v="1"/>
    <n v="5.3431945000000002E-2"/>
  </r>
  <r>
    <x v="0"/>
    <x v="12"/>
    <x v="16"/>
    <x v="23"/>
    <x v="0"/>
    <x v="1"/>
    <n v="5.3431945000000002E-2"/>
  </r>
  <r>
    <x v="0"/>
    <x v="12"/>
    <x v="12"/>
    <x v="24"/>
    <x v="0"/>
    <x v="0"/>
    <n v="411.713044051"/>
  </r>
  <r>
    <x v="0"/>
    <x v="12"/>
    <x v="13"/>
    <x v="24"/>
    <x v="0"/>
    <x v="0"/>
    <n v="0.31228232299999997"/>
  </r>
  <r>
    <x v="0"/>
    <x v="12"/>
    <x v="14"/>
    <x v="24"/>
    <x v="0"/>
    <x v="0"/>
    <n v="0.37596938099999999"/>
  </r>
  <r>
    <x v="0"/>
    <x v="12"/>
    <x v="15"/>
    <x v="24"/>
    <x v="0"/>
    <x v="1"/>
    <n v="4.1213380000000001E-2"/>
  </r>
  <r>
    <x v="0"/>
    <x v="12"/>
    <x v="16"/>
    <x v="24"/>
    <x v="0"/>
    <x v="1"/>
    <n v="4.1213919000000002E-2"/>
  </r>
  <r>
    <x v="0"/>
    <x v="12"/>
    <x v="12"/>
    <x v="25"/>
    <x v="0"/>
    <x v="0"/>
    <n v="20.883632297999998"/>
  </r>
  <r>
    <x v="0"/>
    <x v="12"/>
    <x v="13"/>
    <x v="25"/>
    <x v="0"/>
    <x v="0"/>
    <n v="1.7800000000000001E-7"/>
  </r>
  <r>
    <x v="0"/>
    <x v="12"/>
    <x v="14"/>
    <x v="25"/>
    <x v="0"/>
    <x v="0"/>
    <n v="0"/>
  </r>
  <r>
    <x v="0"/>
    <x v="12"/>
    <x v="15"/>
    <x v="25"/>
    <x v="0"/>
    <x v="1"/>
    <n v="3.7070356999999998E-2"/>
  </r>
  <r>
    <x v="0"/>
    <x v="12"/>
    <x v="16"/>
    <x v="25"/>
    <x v="0"/>
    <x v="1"/>
    <n v="3.7070356999999998E-2"/>
  </r>
  <r>
    <x v="0"/>
    <x v="12"/>
    <x v="12"/>
    <x v="26"/>
    <x v="0"/>
    <x v="0"/>
    <n v="9.8700719639999992"/>
  </r>
  <r>
    <x v="0"/>
    <x v="12"/>
    <x v="13"/>
    <x v="26"/>
    <x v="0"/>
    <x v="0"/>
    <n v="0"/>
  </r>
  <r>
    <x v="0"/>
    <x v="12"/>
    <x v="14"/>
    <x v="26"/>
    <x v="0"/>
    <x v="0"/>
    <n v="0"/>
  </r>
  <r>
    <x v="0"/>
    <x v="12"/>
    <x v="15"/>
    <x v="26"/>
    <x v="0"/>
    <x v="1"/>
    <n v="5.3155445000000003E-2"/>
  </r>
  <r>
    <x v="0"/>
    <x v="12"/>
    <x v="16"/>
    <x v="26"/>
    <x v="0"/>
    <x v="1"/>
    <n v="5.3155445000000003E-2"/>
  </r>
  <r>
    <x v="0"/>
    <x v="12"/>
    <x v="12"/>
    <x v="27"/>
    <x v="0"/>
    <x v="0"/>
    <n v="454.93874402900002"/>
  </r>
  <r>
    <x v="0"/>
    <x v="12"/>
    <x v="13"/>
    <x v="27"/>
    <x v="0"/>
    <x v="0"/>
    <n v="4.9654676960000002"/>
  </r>
  <r>
    <x v="0"/>
    <x v="12"/>
    <x v="14"/>
    <x v="27"/>
    <x v="0"/>
    <x v="0"/>
    <n v="1.6660290069999999"/>
  </r>
  <r>
    <x v="0"/>
    <x v="12"/>
    <x v="15"/>
    <x v="27"/>
    <x v="0"/>
    <x v="1"/>
    <n v="6.0734152999999999E-2"/>
  </r>
  <r>
    <x v="0"/>
    <x v="12"/>
    <x v="16"/>
    <x v="27"/>
    <x v="0"/>
    <x v="1"/>
    <n v="6.0820152000000002E-2"/>
  </r>
  <r>
    <x v="0"/>
    <x v="12"/>
    <x v="12"/>
    <x v="28"/>
    <x v="0"/>
    <x v="0"/>
    <n v="548.27491573700001"/>
  </r>
  <r>
    <x v="0"/>
    <x v="12"/>
    <x v="13"/>
    <x v="28"/>
    <x v="0"/>
    <x v="0"/>
    <n v="0"/>
  </r>
  <r>
    <x v="0"/>
    <x v="12"/>
    <x v="14"/>
    <x v="28"/>
    <x v="0"/>
    <x v="0"/>
    <n v="68.745389629000002"/>
  </r>
  <r>
    <x v="0"/>
    <x v="12"/>
    <x v="15"/>
    <x v="28"/>
    <x v="0"/>
    <x v="1"/>
    <n v="4.2699139999999997E-2"/>
  </r>
  <r>
    <x v="0"/>
    <x v="12"/>
    <x v="16"/>
    <x v="28"/>
    <x v="0"/>
    <x v="1"/>
    <n v="4.2699139999999997E-2"/>
  </r>
  <r>
    <x v="0"/>
    <x v="12"/>
    <x v="12"/>
    <x v="29"/>
    <x v="0"/>
    <x v="0"/>
    <n v="512.86411312300004"/>
  </r>
  <r>
    <x v="0"/>
    <x v="12"/>
    <x v="13"/>
    <x v="29"/>
    <x v="0"/>
    <x v="0"/>
    <n v="59.222982156999997"/>
  </r>
  <r>
    <x v="0"/>
    <x v="12"/>
    <x v="14"/>
    <x v="29"/>
    <x v="0"/>
    <x v="0"/>
    <n v="23.794632689"/>
  </r>
  <r>
    <x v="0"/>
    <x v="12"/>
    <x v="15"/>
    <x v="29"/>
    <x v="0"/>
    <x v="1"/>
    <n v="4.7271763000000001E-2"/>
  </r>
  <r>
    <x v="0"/>
    <x v="12"/>
    <x v="16"/>
    <x v="29"/>
    <x v="0"/>
    <x v="1"/>
    <n v="4.7715398999999999E-2"/>
  </r>
  <r>
    <x v="0"/>
    <x v="12"/>
    <x v="12"/>
    <x v="30"/>
    <x v="0"/>
    <x v="0"/>
    <n v="125.634817591"/>
  </r>
  <r>
    <x v="0"/>
    <x v="12"/>
    <x v="13"/>
    <x v="30"/>
    <x v="0"/>
    <x v="0"/>
    <n v="38.057711839"/>
  </r>
  <r>
    <x v="0"/>
    <x v="12"/>
    <x v="14"/>
    <x v="30"/>
    <x v="0"/>
    <x v="0"/>
    <n v="0.93273360299999997"/>
  </r>
  <r>
    <x v="0"/>
    <x v="12"/>
    <x v="15"/>
    <x v="30"/>
    <x v="0"/>
    <x v="1"/>
    <n v="7.3256736000000003E-2"/>
  </r>
  <r>
    <x v="0"/>
    <x v="12"/>
    <x v="16"/>
    <x v="30"/>
    <x v="0"/>
    <x v="1"/>
    <n v="7.6621664000000006E-2"/>
  </r>
  <r>
    <x v="0"/>
    <x v="12"/>
    <x v="12"/>
    <x v="31"/>
    <x v="0"/>
    <x v="0"/>
    <n v="185.17083681400001"/>
  </r>
  <r>
    <x v="0"/>
    <x v="12"/>
    <x v="13"/>
    <x v="31"/>
    <x v="0"/>
    <x v="0"/>
    <n v="8.2723580309999996"/>
  </r>
  <r>
    <x v="0"/>
    <x v="12"/>
    <x v="14"/>
    <x v="31"/>
    <x v="0"/>
    <x v="0"/>
    <n v="6.474624596"/>
  </r>
  <r>
    <x v="0"/>
    <x v="12"/>
    <x v="15"/>
    <x v="31"/>
    <x v="0"/>
    <x v="1"/>
    <n v="3.8281510999999997E-2"/>
  </r>
  <r>
    <x v="0"/>
    <x v="12"/>
    <x v="16"/>
    <x v="31"/>
    <x v="0"/>
    <x v="1"/>
    <n v="3.8230567999999999E-2"/>
  </r>
  <r>
    <x v="0"/>
    <x v="12"/>
    <x v="12"/>
    <x v="32"/>
    <x v="0"/>
    <x v="0"/>
    <n v="651.10738533999995"/>
  </r>
  <r>
    <x v="0"/>
    <x v="12"/>
    <x v="13"/>
    <x v="32"/>
    <x v="0"/>
    <x v="0"/>
    <n v="4.6327323360000001"/>
  </r>
  <r>
    <x v="0"/>
    <x v="12"/>
    <x v="14"/>
    <x v="32"/>
    <x v="0"/>
    <x v="0"/>
    <n v="3.0983154430000002"/>
  </r>
  <r>
    <x v="0"/>
    <x v="12"/>
    <x v="15"/>
    <x v="32"/>
    <x v="0"/>
    <x v="1"/>
    <n v="3.7382023E-2"/>
  </r>
  <r>
    <x v="0"/>
    <x v="12"/>
    <x v="16"/>
    <x v="32"/>
    <x v="0"/>
    <x v="1"/>
    <n v="3.7368165000000002E-2"/>
  </r>
  <r>
    <x v="0"/>
    <x v="12"/>
    <x v="12"/>
    <x v="33"/>
    <x v="0"/>
    <x v="0"/>
    <n v="581.97127914600003"/>
  </r>
  <r>
    <x v="0"/>
    <x v="12"/>
    <x v="13"/>
    <x v="33"/>
    <x v="0"/>
    <x v="0"/>
    <n v="0"/>
  </r>
  <r>
    <x v="0"/>
    <x v="12"/>
    <x v="14"/>
    <x v="33"/>
    <x v="0"/>
    <x v="0"/>
    <n v="0"/>
  </r>
  <r>
    <x v="0"/>
    <x v="12"/>
    <x v="15"/>
    <x v="33"/>
    <x v="0"/>
    <x v="1"/>
    <n v="2.2942275000000002E-2"/>
  </r>
  <r>
    <x v="0"/>
    <x v="12"/>
    <x v="16"/>
    <x v="33"/>
    <x v="0"/>
    <x v="1"/>
    <n v="2.2942275000000002E-2"/>
  </r>
  <r>
    <x v="0"/>
    <x v="12"/>
    <x v="12"/>
    <x v="34"/>
    <x v="0"/>
    <x v="0"/>
    <n v="301.56041519899998"/>
  </r>
  <r>
    <x v="0"/>
    <x v="12"/>
    <x v="13"/>
    <x v="34"/>
    <x v="0"/>
    <x v="0"/>
    <n v="61.826530730000002"/>
  </r>
  <r>
    <x v="0"/>
    <x v="12"/>
    <x v="14"/>
    <x v="34"/>
    <x v="0"/>
    <x v="0"/>
    <n v="15.235774633"/>
  </r>
  <r>
    <x v="0"/>
    <x v="12"/>
    <x v="15"/>
    <x v="34"/>
    <x v="0"/>
    <x v="1"/>
    <n v="5.0319190999999999E-2"/>
  </r>
  <r>
    <x v="0"/>
    <x v="12"/>
    <x v="16"/>
    <x v="34"/>
    <x v="0"/>
    <x v="1"/>
    <n v="5.1339344000000002E-2"/>
  </r>
  <r>
    <x v="0"/>
    <x v="12"/>
    <x v="12"/>
    <x v="35"/>
    <x v="0"/>
    <x v="0"/>
    <n v="249.150871451"/>
  </r>
  <r>
    <x v="0"/>
    <x v="12"/>
    <x v="13"/>
    <x v="35"/>
    <x v="0"/>
    <x v="0"/>
    <n v="6.5636643000000001"/>
  </r>
  <r>
    <x v="0"/>
    <x v="12"/>
    <x v="14"/>
    <x v="35"/>
    <x v="0"/>
    <x v="0"/>
    <n v="9.4702547999999998E-2"/>
  </r>
  <r>
    <x v="0"/>
    <x v="12"/>
    <x v="15"/>
    <x v="35"/>
    <x v="0"/>
    <x v="1"/>
    <n v="5.4250029999999998E-2"/>
  </r>
  <r>
    <x v="0"/>
    <x v="12"/>
    <x v="16"/>
    <x v="35"/>
    <x v="0"/>
    <x v="1"/>
    <n v="5.4420193999999998E-2"/>
  </r>
  <r>
    <x v="0"/>
    <x v="12"/>
    <x v="12"/>
    <x v="36"/>
    <x v="0"/>
    <x v="0"/>
    <n v="78.965926195999998"/>
  </r>
  <r>
    <x v="0"/>
    <x v="12"/>
    <x v="13"/>
    <x v="36"/>
    <x v="0"/>
    <x v="0"/>
    <n v="14.069783874000001"/>
  </r>
  <r>
    <x v="0"/>
    <x v="12"/>
    <x v="14"/>
    <x v="36"/>
    <x v="0"/>
    <x v="0"/>
    <n v="0.389350633"/>
  </r>
  <r>
    <x v="0"/>
    <x v="12"/>
    <x v="15"/>
    <x v="36"/>
    <x v="0"/>
    <x v="1"/>
    <n v="6.1456794000000002E-2"/>
  </r>
  <r>
    <x v="0"/>
    <x v="12"/>
    <x v="16"/>
    <x v="36"/>
    <x v="0"/>
    <x v="1"/>
    <n v="6.3009498999999997E-2"/>
  </r>
  <r>
    <x v="0"/>
    <x v="12"/>
    <x v="12"/>
    <x v="37"/>
    <x v="0"/>
    <x v="0"/>
    <n v="90.595193072000001"/>
  </r>
  <r>
    <x v="0"/>
    <x v="12"/>
    <x v="13"/>
    <x v="37"/>
    <x v="0"/>
    <x v="0"/>
    <n v="3.329778599"/>
  </r>
  <r>
    <x v="0"/>
    <x v="12"/>
    <x v="14"/>
    <x v="37"/>
    <x v="0"/>
    <x v="0"/>
    <n v="0.25367592799999999"/>
  </r>
  <r>
    <x v="0"/>
    <x v="12"/>
    <x v="15"/>
    <x v="37"/>
    <x v="0"/>
    <x v="1"/>
    <n v="6.7235242000000001E-2"/>
  </r>
  <r>
    <x v="0"/>
    <x v="12"/>
    <x v="16"/>
    <x v="37"/>
    <x v="0"/>
    <x v="1"/>
    <n v="6.7636343000000002E-2"/>
  </r>
  <r>
    <x v="0"/>
    <x v="12"/>
    <x v="12"/>
    <x v="38"/>
    <x v="0"/>
    <x v="0"/>
    <n v="276.902585122"/>
  </r>
  <r>
    <x v="0"/>
    <x v="12"/>
    <x v="13"/>
    <x v="38"/>
    <x v="0"/>
    <x v="0"/>
    <n v="15.233078026999999"/>
  </r>
  <r>
    <x v="0"/>
    <x v="12"/>
    <x v="14"/>
    <x v="38"/>
    <x v="0"/>
    <x v="0"/>
    <n v="8.6548680000000003E-2"/>
  </r>
  <r>
    <x v="0"/>
    <x v="12"/>
    <x v="15"/>
    <x v="38"/>
    <x v="0"/>
    <x v="1"/>
    <n v="9.7693323999999998E-2"/>
  </r>
  <r>
    <x v="0"/>
    <x v="12"/>
    <x v="16"/>
    <x v="38"/>
    <x v="0"/>
    <x v="1"/>
    <n v="9.8710049999999994E-2"/>
  </r>
  <r>
    <x v="0"/>
    <x v="12"/>
    <x v="12"/>
    <x v="39"/>
    <x v="0"/>
    <x v="0"/>
    <n v="140.39101150799999"/>
  </r>
  <r>
    <x v="0"/>
    <x v="12"/>
    <x v="13"/>
    <x v="39"/>
    <x v="0"/>
    <x v="0"/>
    <n v="5.7128138049999997"/>
  </r>
  <r>
    <x v="0"/>
    <x v="12"/>
    <x v="14"/>
    <x v="39"/>
    <x v="0"/>
    <x v="0"/>
    <n v="8.4153033000000002E-2"/>
  </r>
  <r>
    <x v="0"/>
    <x v="12"/>
    <x v="15"/>
    <x v="39"/>
    <x v="0"/>
    <x v="1"/>
    <n v="7.9638617999999994E-2"/>
  </r>
  <r>
    <x v="0"/>
    <x v="12"/>
    <x v="16"/>
    <x v="39"/>
    <x v="0"/>
    <x v="1"/>
    <n v="8.0152796999999998E-2"/>
  </r>
  <r>
    <x v="0"/>
    <x v="12"/>
    <x v="12"/>
    <x v="40"/>
    <x v="0"/>
    <x v="0"/>
    <n v="54.863296118000001"/>
  </r>
  <r>
    <x v="0"/>
    <x v="12"/>
    <x v="13"/>
    <x v="40"/>
    <x v="0"/>
    <x v="0"/>
    <n v="35.261084146999998"/>
  </r>
  <r>
    <x v="0"/>
    <x v="12"/>
    <x v="14"/>
    <x v="40"/>
    <x v="0"/>
    <x v="0"/>
    <n v="1.7613029469999999"/>
  </r>
  <r>
    <x v="0"/>
    <x v="12"/>
    <x v="15"/>
    <x v="40"/>
    <x v="0"/>
    <x v="1"/>
    <n v="5.6058664000000001E-2"/>
  </r>
  <r>
    <x v="0"/>
    <x v="12"/>
    <x v="16"/>
    <x v="40"/>
    <x v="0"/>
    <x v="1"/>
    <n v="6.0844039000000003E-2"/>
  </r>
  <r>
    <x v="0"/>
    <x v="12"/>
    <x v="12"/>
    <x v="41"/>
    <x v="0"/>
    <x v="0"/>
    <n v="597.18529170299996"/>
  </r>
  <r>
    <x v="0"/>
    <x v="12"/>
    <x v="13"/>
    <x v="41"/>
    <x v="0"/>
    <x v="0"/>
    <n v="12.30746963"/>
  </r>
  <r>
    <x v="0"/>
    <x v="12"/>
    <x v="14"/>
    <x v="41"/>
    <x v="0"/>
    <x v="0"/>
    <n v="0.14943046800000001"/>
  </r>
  <r>
    <x v="0"/>
    <x v="12"/>
    <x v="15"/>
    <x v="41"/>
    <x v="0"/>
    <x v="1"/>
    <n v="9.3786405000000003E-2"/>
  </r>
  <r>
    <x v="0"/>
    <x v="12"/>
    <x v="16"/>
    <x v="41"/>
    <x v="0"/>
    <x v="1"/>
    <n v="9.4122361000000002E-2"/>
  </r>
  <r>
    <x v="0"/>
    <x v="12"/>
    <x v="17"/>
    <x v="0"/>
    <x v="46"/>
    <x v="1"/>
    <n v="75.935605448999993"/>
  </r>
  <r>
    <x v="0"/>
    <x v="12"/>
    <x v="17"/>
    <x v="0"/>
    <x v="47"/>
    <x v="1"/>
    <n v="75.935605448999993"/>
  </r>
  <r>
    <x v="0"/>
    <x v="12"/>
    <x v="17"/>
    <x v="0"/>
    <x v="48"/>
    <x v="1"/>
    <n v="75.935605448999993"/>
  </r>
  <r>
    <x v="0"/>
    <x v="12"/>
    <x v="17"/>
    <x v="0"/>
    <x v="49"/>
    <x v="1"/>
    <n v="0"/>
  </r>
  <r>
    <x v="0"/>
    <x v="12"/>
    <x v="17"/>
    <x v="0"/>
    <x v="50"/>
    <x v="1"/>
    <n v="0"/>
  </r>
  <r>
    <x v="0"/>
    <x v="12"/>
    <x v="17"/>
    <x v="0"/>
    <x v="51"/>
    <x v="1"/>
    <n v="0"/>
  </r>
  <r>
    <x v="0"/>
    <x v="12"/>
    <x v="17"/>
    <x v="0"/>
    <x v="52"/>
    <x v="1"/>
    <n v="0"/>
  </r>
  <r>
    <x v="0"/>
    <x v="12"/>
    <x v="17"/>
    <x v="0"/>
    <x v="53"/>
    <x v="1"/>
    <n v="0"/>
  </r>
  <r>
    <x v="0"/>
    <x v="12"/>
    <x v="17"/>
    <x v="0"/>
    <x v="54"/>
    <x v="1"/>
    <n v="0"/>
  </r>
  <r>
    <x v="0"/>
    <x v="12"/>
    <x v="17"/>
    <x v="0"/>
    <x v="55"/>
    <x v="1"/>
    <n v="0"/>
  </r>
  <r>
    <x v="0"/>
    <x v="12"/>
    <x v="17"/>
    <x v="1"/>
    <x v="46"/>
    <x v="1"/>
    <n v="13.197967403"/>
  </r>
  <r>
    <x v="0"/>
    <x v="12"/>
    <x v="17"/>
    <x v="1"/>
    <x v="47"/>
    <x v="1"/>
    <n v="13.197967403"/>
  </r>
  <r>
    <x v="0"/>
    <x v="12"/>
    <x v="17"/>
    <x v="1"/>
    <x v="48"/>
    <x v="1"/>
    <n v="13.197967403"/>
  </r>
  <r>
    <x v="0"/>
    <x v="12"/>
    <x v="17"/>
    <x v="1"/>
    <x v="49"/>
    <x v="1"/>
    <n v="0"/>
  </r>
  <r>
    <x v="0"/>
    <x v="12"/>
    <x v="17"/>
    <x v="1"/>
    <x v="50"/>
    <x v="1"/>
    <n v="0"/>
  </r>
  <r>
    <x v="0"/>
    <x v="12"/>
    <x v="17"/>
    <x v="1"/>
    <x v="51"/>
    <x v="1"/>
    <n v="0"/>
  </r>
  <r>
    <x v="0"/>
    <x v="12"/>
    <x v="17"/>
    <x v="1"/>
    <x v="52"/>
    <x v="1"/>
    <n v="0"/>
  </r>
  <r>
    <x v="0"/>
    <x v="12"/>
    <x v="17"/>
    <x v="1"/>
    <x v="53"/>
    <x v="1"/>
    <n v="0"/>
  </r>
  <r>
    <x v="0"/>
    <x v="12"/>
    <x v="17"/>
    <x v="1"/>
    <x v="54"/>
    <x v="1"/>
    <n v="0"/>
  </r>
  <r>
    <x v="0"/>
    <x v="12"/>
    <x v="17"/>
    <x v="1"/>
    <x v="55"/>
    <x v="1"/>
    <n v="0"/>
  </r>
  <r>
    <x v="0"/>
    <x v="12"/>
    <x v="17"/>
    <x v="2"/>
    <x v="46"/>
    <x v="1"/>
    <n v="9.6122901830000007"/>
  </r>
  <r>
    <x v="0"/>
    <x v="12"/>
    <x v="17"/>
    <x v="2"/>
    <x v="47"/>
    <x v="1"/>
    <n v="9.6122901830000007"/>
  </r>
  <r>
    <x v="0"/>
    <x v="12"/>
    <x v="17"/>
    <x v="2"/>
    <x v="48"/>
    <x v="1"/>
    <n v="9.6122901830000007"/>
  </r>
  <r>
    <x v="0"/>
    <x v="12"/>
    <x v="17"/>
    <x v="2"/>
    <x v="49"/>
    <x v="1"/>
    <n v="0"/>
  </r>
  <r>
    <x v="0"/>
    <x v="12"/>
    <x v="17"/>
    <x v="2"/>
    <x v="50"/>
    <x v="1"/>
    <n v="0"/>
  </r>
  <r>
    <x v="0"/>
    <x v="12"/>
    <x v="17"/>
    <x v="2"/>
    <x v="51"/>
    <x v="1"/>
    <n v="0"/>
  </r>
  <r>
    <x v="0"/>
    <x v="12"/>
    <x v="17"/>
    <x v="2"/>
    <x v="52"/>
    <x v="1"/>
    <n v="0"/>
  </r>
  <r>
    <x v="0"/>
    <x v="12"/>
    <x v="17"/>
    <x v="2"/>
    <x v="53"/>
    <x v="1"/>
    <n v="0"/>
  </r>
  <r>
    <x v="0"/>
    <x v="12"/>
    <x v="17"/>
    <x v="2"/>
    <x v="54"/>
    <x v="1"/>
    <n v="0"/>
  </r>
  <r>
    <x v="0"/>
    <x v="12"/>
    <x v="17"/>
    <x v="2"/>
    <x v="55"/>
    <x v="1"/>
    <n v="0"/>
  </r>
  <r>
    <x v="0"/>
    <x v="12"/>
    <x v="17"/>
    <x v="3"/>
    <x v="46"/>
    <x v="1"/>
    <n v="5.9573674590000003"/>
  </r>
  <r>
    <x v="0"/>
    <x v="12"/>
    <x v="17"/>
    <x v="3"/>
    <x v="47"/>
    <x v="1"/>
    <n v="5.9573674590000003"/>
  </r>
  <r>
    <x v="0"/>
    <x v="12"/>
    <x v="17"/>
    <x v="3"/>
    <x v="48"/>
    <x v="1"/>
    <n v="5.9573674590000003"/>
  </r>
  <r>
    <x v="0"/>
    <x v="12"/>
    <x v="17"/>
    <x v="3"/>
    <x v="49"/>
    <x v="1"/>
    <n v="0"/>
  </r>
  <r>
    <x v="0"/>
    <x v="12"/>
    <x v="17"/>
    <x v="3"/>
    <x v="50"/>
    <x v="1"/>
    <n v="0"/>
  </r>
  <r>
    <x v="0"/>
    <x v="12"/>
    <x v="17"/>
    <x v="3"/>
    <x v="51"/>
    <x v="1"/>
    <n v="0"/>
  </r>
  <r>
    <x v="0"/>
    <x v="12"/>
    <x v="17"/>
    <x v="3"/>
    <x v="52"/>
    <x v="1"/>
    <n v="0"/>
  </r>
  <r>
    <x v="0"/>
    <x v="12"/>
    <x v="17"/>
    <x v="3"/>
    <x v="53"/>
    <x v="1"/>
    <n v="0"/>
  </r>
  <r>
    <x v="0"/>
    <x v="12"/>
    <x v="17"/>
    <x v="3"/>
    <x v="54"/>
    <x v="1"/>
    <n v="0"/>
  </r>
  <r>
    <x v="0"/>
    <x v="12"/>
    <x v="17"/>
    <x v="3"/>
    <x v="55"/>
    <x v="1"/>
    <n v="0"/>
  </r>
  <r>
    <x v="0"/>
    <x v="12"/>
    <x v="17"/>
    <x v="4"/>
    <x v="46"/>
    <x v="1"/>
    <n v="3.1562526929999999"/>
  </r>
  <r>
    <x v="0"/>
    <x v="12"/>
    <x v="17"/>
    <x v="4"/>
    <x v="47"/>
    <x v="1"/>
    <n v="3.1562526929999999"/>
  </r>
  <r>
    <x v="0"/>
    <x v="12"/>
    <x v="17"/>
    <x v="4"/>
    <x v="48"/>
    <x v="1"/>
    <n v="3.1562526929999999"/>
  </r>
  <r>
    <x v="0"/>
    <x v="12"/>
    <x v="17"/>
    <x v="4"/>
    <x v="49"/>
    <x v="1"/>
    <n v="0"/>
  </r>
  <r>
    <x v="0"/>
    <x v="12"/>
    <x v="17"/>
    <x v="4"/>
    <x v="50"/>
    <x v="1"/>
    <n v="0"/>
  </r>
  <r>
    <x v="0"/>
    <x v="12"/>
    <x v="17"/>
    <x v="4"/>
    <x v="51"/>
    <x v="1"/>
    <n v="0"/>
  </r>
  <r>
    <x v="0"/>
    <x v="12"/>
    <x v="17"/>
    <x v="4"/>
    <x v="52"/>
    <x v="1"/>
    <n v="0"/>
  </r>
  <r>
    <x v="0"/>
    <x v="12"/>
    <x v="17"/>
    <x v="4"/>
    <x v="53"/>
    <x v="1"/>
    <n v="0"/>
  </r>
  <r>
    <x v="0"/>
    <x v="12"/>
    <x v="17"/>
    <x v="4"/>
    <x v="54"/>
    <x v="1"/>
    <n v="0"/>
  </r>
  <r>
    <x v="0"/>
    <x v="12"/>
    <x v="17"/>
    <x v="4"/>
    <x v="55"/>
    <x v="1"/>
    <n v="0"/>
  </r>
  <r>
    <x v="0"/>
    <x v="12"/>
    <x v="17"/>
    <x v="5"/>
    <x v="46"/>
    <x v="1"/>
    <n v="44.759702162000004"/>
  </r>
  <r>
    <x v="0"/>
    <x v="12"/>
    <x v="17"/>
    <x v="5"/>
    <x v="47"/>
    <x v="1"/>
    <n v="44.759702162000004"/>
  </r>
  <r>
    <x v="0"/>
    <x v="12"/>
    <x v="17"/>
    <x v="5"/>
    <x v="48"/>
    <x v="1"/>
    <n v="44.759702162000004"/>
  </r>
  <r>
    <x v="0"/>
    <x v="12"/>
    <x v="17"/>
    <x v="5"/>
    <x v="49"/>
    <x v="1"/>
    <n v="0"/>
  </r>
  <r>
    <x v="0"/>
    <x v="12"/>
    <x v="17"/>
    <x v="5"/>
    <x v="50"/>
    <x v="1"/>
    <n v="0"/>
  </r>
  <r>
    <x v="0"/>
    <x v="12"/>
    <x v="17"/>
    <x v="5"/>
    <x v="51"/>
    <x v="1"/>
    <n v="0"/>
  </r>
  <r>
    <x v="0"/>
    <x v="12"/>
    <x v="17"/>
    <x v="5"/>
    <x v="52"/>
    <x v="1"/>
    <n v="0"/>
  </r>
  <r>
    <x v="0"/>
    <x v="12"/>
    <x v="17"/>
    <x v="5"/>
    <x v="53"/>
    <x v="1"/>
    <n v="0"/>
  </r>
  <r>
    <x v="0"/>
    <x v="12"/>
    <x v="17"/>
    <x v="5"/>
    <x v="54"/>
    <x v="1"/>
    <n v="0"/>
  </r>
  <r>
    <x v="0"/>
    <x v="12"/>
    <x v="17"/>
    <x v="5"/>
    <x v="55"/>
    <x v="1"/>
    <n v="0"/>
  </r>
  <r>
    <x v="0"/>
    <x v="12"/>
    <x v="17"/>
    <x v="6"/>
    <x v="46"/>
    <x v="1"/>
    <n v="12.976362195"/>
  </r>
  <r>
    <x v="0"/>
    <x v="12"/>
    <x v="17"/>
    <x v="6"/>
    <x v="47"/>
    <x v="1"/>
    <n v="12.976362195"/>
  </r>
  <r>
    <x v="0"/>
    <x v="12"/>
    <x v="17"/>
    <x v="6"/>
    <x v="48"/>
    <x v="1"/>
    <n v="12.976362195"/>
  </r>
  <r>
    <x v="0"/>
    <x v="12"/>
    <x v="17"/>
    <x v="6"/>
    <x v="49"/>
    <x v="1"/>
    <n v="0"/>
  </r>
  <r>
    <x v="0"/>
    <x v="12"/>
    <x v="17"/>
    <x v="6"/>
    <x v="50"/>
    <x v="1"/>
    <n v="0"/>
  </r>
  <r>
    <x v="0"/>
    <x v="12"/>
    <x v="17"/>
    <x v="6"/>
    <x v="51"/>
    <x v="1"/>
    <n v="0"/>
  </r>
  <r>
    <x v="0"/>
    <x v="12"/>
    <x v="17"/>
    <x v="6"/>
    <x v="52"/>
    <x v="1"/>
    <n v="0"/>
  </r>
  <r>
    <x v="0"/>
    <x v="12"/>
    <x v="17"/>
    <x v="6"/>
    <x v="53"/>
    <x v="1"/>
    <n v="0"/>
  </r>
  <r>
    <x v="0"/>
    <x v="12"/>
    <x v="17"/>
    <x v="6"/>
    <x v="54"/>
    <x v="1"/>
    <n v="0"/>
  </r>
  <r>
    <x v="0"/>
    <x v="12"/>
    <x v="17"/>
    <x v="6"/>
    <x v="55"/>
    <x v="1"/>
    <n v="0"/>
  </r>
  <r>
    <x v="0"/>
    <x v="12"/>
    <x v="17"/>
    <x v="7"/>
    <x v="46"/>
    <x v="1"/>
    <n v="8.3906083999999996"/>
  </r>
  <r>
    <x v="0"/>
    <x v="12"/>
    <x v="17"/>
    <x v="7"/>
    <x v="47"/>
    <x v="1"/>
    <n v="8.3906083999999996"/>
  </r>
  <r>
    <x v="0"/>
    <x v="12"/>
    <x v="17"/>
    <x v="7"/>
    <x v="48"/>
    <x v="1"/>
    <n v="8.3906083999999996"/>
  </r>
  <r>
    <x v="0"/>
    <x v="12"/>
    <x v="17"/>
    <x v="7"/>
    <x v="49"/>
    <x v="1"/>
    <n v="0"/>
  </r>
  <r>
    <x v="0"/>
    <x v="12"/>
    <x v="17"/>
    <x v="7"/>
    <x v="50"/>
    <x v="1"/>
    <n v="0"/>
  </r>
  <r>
    <x v="0"/>
    <x v="12"/>
    <x v="17"/>
    <x v="7"/>
    <x v="51"/>
    <x v="1"/>
    <n v="0"/>
  </r>
  <r>
    <x v="0"/>
    <x v="12"/>
    <x v="17"/>
    <x v="7"/>
    <x v="52"/>
    <x v="1"/>
    <n v="0"/>
  </r>
  <r>
    <x v="0"/>
    <x v="12"/>
    <x v="17"/>
    <x v="7"/>
    <x v="53"/>
    <x v="1"/>
    <n v="0"/>
  </r>
  <r>
    <x v="0"/>
    <x v="12"/>
    <x v="17"/>
    <x v="7"/>
    <x v="54"/>
    <x v="1"/>
    <n v="0"/>
  </r>
  <r>
    <x v="0"/>
    <x v="12"/>
    <x v="17"/>
    <x v="7"/>
    <x v="55"/>
    <x v="1"/>
    <n v="0"/>
  </r>
  <r>
    <x v="0"/>
    <x v="12"/>
    <x v="17"/>
    <x v="8"/>
    <x v="46"/>
    <x v="1"/>
    <n v="5.4717088049999996"/>
  </r>
  <r>
    <x v="0"/>
    <x v="12"/>
    <x v="17"/>
    <x v="8"/>
    <x v="47"/>
    <x v="1"/>
    <n v="5.4717088049999996"/>
  </r>
  <r>
    <x v="0"/>
    <x v="12"/>
    <x v="17"/>
    <x v="8"/>
    <x v="48"/>
    <x v="1"/>
    <n v="5.4717088049999996"/>
  </r>
  <r>
    <x v="0"/>
    <x v="12"/>
    <x v="17"/>
    <x v="8"/>
    <x v="49"/>
    <x v="1"/>
    <n v="0"/>
  </r>
  <r>
    <x v="0"/>
    <x v="12"/>
    <x v="17"/>
    <x v="8"/>
    <x v="50"/>
    <x v="1"/>
    <n v="0"/>
  </r>
  <r>
    <x v="0"/>
    <x v="12"/>
    <x v="17"/>
    <x v="8"/>
    <x v="51"/>
    <x v="1"/>
    <n v="0"/>
  </r>
  <r>
    <x v="0"/>
    <x v="12"/>
    <x v="17"/>
    <x v="8"/>
    <x v="52"/>
    <x v="1"/>
    <n v="0"/>
  </r>
  <r>
    <x v="0"/>
    <x v="12"/>
    <x v="17"/>
    <x v="8"/>
    <x v="53"/>
    <x v="1"/>
    <n v="0"/>
  </r>
  <r>
    <x v="0"/>
    <x v="12"/>
    <x v="17"/>
    <x v="8"/>
    <x v="54"/>
    <x v="1"/>
    <n v="0"/>
  </r>
  <r>
    <x v="0"/>
    <x v="12"/>
    <x v="17"/>
    <x v="8"/>
    <x v="55"/>
    <x v="1"/>
    <n v="0"/>
  </r>
  <r>
    <x v="0"/>
    <x v="12"/>
    <x v="17"/>
    <x v="9"/>
    <x v="46"/>
    <x v="1"/>
    <n v="12.778258725000001"/>
  </r>
  <r>
    <x v="0"/>
    <x v="12"/>
    <x v="17"/>
    <x v="9"/>
    <x v="47"/>
    <x v="1"/>
    <n v="12.778258725000001"/>
  </r>
  <r>
    <x v="0"/>
    <x v="12"/>
    <x v="17"/>
    <x v="9"/>
    <x v="48"/>
    <x v="1"/>
    <n v="12.778258725000001"/>
  </r>
  <r>
    <x v="0"/>
    <x v="12"/>
    <x v="17"/>
    <x v="9"/>
    <x v="49"/>
    <x v="1"/>
    <n v="0"/>
  </r>
  <r>
    <x v="0"/>
    <x v="12"/>
    <x v="17"/>
    <x v="9"/>
    <x v="50"/>
    <x v="1"/>
    <n v="0"/>
  </r>
  <r>
    <x v="0"/>
    <x v="12"/>
    <x v="17"/>
    <x v="9"/>
    <x v="51"/>
    <x v="1"/>
    <n v="0"/>
  </r>
  <r>
    <x v="0"/>
    <x v="12"/>
    <x v="17"/>
    <x v="9"/>
    <x v="52"/>
    <x v="1"/>
    <n v="0"/>
  </r>
  <r>
    <x v="0"/>
    <x v="12"/>
    <x v="17"/>
    <x v="9"/>
    <x v="53"/>
    <x v="1"/>
    <n v="0"/>
  </r>
  <r>
    <x v="0"/>
    <x v="12"/>
    <x v="17"/>
    <x v="9"/>
    <x v="54"/>
    <x v="1"/>
    <n v="0"/>
  </r>
  <r>
    <x v="0"/>
    <x v="12"/>
    <x v="17"/>
    <x v="9"/>
    <x v="55"/>
    <x v="1"/>
    <n v="0"/>
  </r>
  <r>
    <x v="0"/>
    <x v="12"/>
    <x v="17"/>
    <x v="10"/>
    <x v="46"/>
    <x v="1"/>
    <n v="13.622099923"/>
  </r>
  <r>
    <x v="0"/>
    <x v="12"/>
    <x v="17"/>
    <x v="10"/>
    <x v="47"/>
    <x v="1"/>
    <n v="13.622099923"/>
  </r>
  <r>
    <x v="0"/>
    <x v="12"/>
    <x v="17"/>
    <x v="10"/>
    <x v="48"/>
    <x v="1"/>
    <n v="13.622099923"/>
  </r>
  <r>
    <x v="0"/>
    <x v="12"/>
    <x v="17"/>
    <x v="10"/>
    <x v="49"/>
    <x v="1"/>
    <n v="0"/>
  </r>
  <r>
    <x v="0"/>
    <x v="12"/>
    <x v="17"/>
    <x v="10"/>
    <x v="50"/>
    <x v="1"/>
    <n v="0"/>
  </r>
  <r>
    <x v="0"/>
    <x v="12"/>
    <x v="17"/>
    <x v="10"/>
    <x v="51"/>
    <x v="1"/>
    <n v="0"/>
  </r>
  <r>
    <x v="0"/>
    <x v="12"/>
    <x v="17"/>
    <x v="10"/>
    <x v="52"/>
    <x v="1"/>
    <n v="0"/>
  </r>
  <r>
    <x v="0"/>
    <x v="12"/>
    <x v="17"/>
    <x v="10"/>
    <x v="53"/>
    <x v="1"/>
    <n v="0"/>
  </r>
  <r>
    <x v="0"/>
    <x v="12"/>
    <x v="17"/>
    <x v="10"/>
    <x v="54"/>
    <x v="1"/>
    <n v="0"/>
  </r>
  <r>
    <x v="0"/>
    <x v="12"/>
    <x v="17"/>
    <x v="10"/>
    <x v="55"/>
    <x v="1"/>
    <n v="0"/>
  </r>
  <r>
    <x v="0"/>
    <x v="12"/>
    <x v="17"/>
    <x v="11"/>
    <x v="46"/>
    <x v="1"/>
    <n v="44.580431501"/>
  </r>
  <r>
    <x v="0"/>
    <x v="12"/>
    <x v="17"/>
    <x v="11"/>
    <x v="47"/>
    <x v="1"/>
    <n v="44.580431501"/>
  </r>
  <r>
    <x v="0"/>
    <x v="12"/>
    <x v="17"/>
    <x v="11"/>
    <x v="48"/>
    <x v="1"/>
    <n v="44.580431501"/>
  </r>
  <r>
    <x v="0"/>
    <x v="12"/>
    <x v="17"/>
    <x v="11"/>
    <x v="49"/>
    <x v="1"/>
    <n v="0"/>
  </r>
  <r>
    <x v="0"/>
    <x v="12"/>
    <x v="17"/>
    <x v="11"/>
    <x v="50"/>
    <x v="1"/>
    <n v="0"/>
  </r>
  <r>
    <x v="0"/>
    <x v="12"/>
    <x v="17"/>
    <x v="11"/>
    <x v="51"/>
    <x v="1"/>
    <n v="0"/>
  </r>
  <r>
    <x v="0"/>
    <x v="12"/>
    <x v="17"/>
    <x v="11"/>
    <x v="52"/>
    <x v="1"/>
    <n v="0"/>
  </r>
  <r>
    <x v="0"/>
    <x v="12"/>
    <x v="17"/>
    <x v="11"/>
    <x v="53"/>
    <x v="1"/>
    <n v="0"/>
  </r>
  <r>
    <x v="0"/>
    <x v="12"/>
    <x v="17"/>
    <x v="11"/>
    <x v="54"/>
    <x v="1"/>
    <n v="0"/>
  </r>
  <r>
    <x v="0"/>
    <x v="12"/>
    <x v="17"/>
    <x v="11"/>
    <x v="55"/>
    <x v="1"/>
    <n v="0"/>
  </r>
  <r>
    <x v="0"/>
    <x v="12"/>
    <x v="17"/>
    <x v="12"/>
    <x v="46"/>
    <x v="1"/>
    <n v="11.852572910999999"/>
  </r>
  <r>
    <x v="0"/>
    <x v="12"/>
    <x v="17"/>
    <x v="12"/>
    <x v="47"/>
    <x v="1"/>
    <n v="11.852572910999999"/>
  </r>
  <r>
    <x v="0"/>
    <x v="12"/>
    <x v="17"/>
    <x v="12"/>
    <x v="48"/>
    <x v="1"/>
    <n v="11.852572910999999"/>
  </r>
  <r>
    <x v="0"/>
    <x v="12"/>
    <x v="17"/>
    <x v="12"/>
    <x v="49"/>
    <x v="1"/>
    <n v="0"/>
  </r>
  <r>
    <x v="0"/>
    <x v="12"/>
    <x v="17"/>
    <x v="12"/>
    <x v="50"/>
    <x v="1"/>
    <n v="0"/>
  </r>
  <r>
    <x v="0"/>
    <x v="12"/>
    <x v="17"/>
    <x v="12"/>
    <x v="51"/>
    <x v="1"/>
    <n v="0"/>
  </r>
  <r>
    <x v="0"/>
    <x v="12"/>
    <x v="17"/>
    <x v="12"/>
    <x v="52"/>
    <x v="1"/>
    <n v="0"/>
  </r>
  <r>
    <x v="0"/>
    <x v="12"/>
    <x v="17"/>
    <x v="12"/>
    <x v="53"/>
    <x v="1"/>
    <n v="0"/>
  </r>
  <r>
    <x v="0"/>
    <x v="12"/>
    <x v="17"/>
    <x v="12"/>
    <x v="54"/>
    <x v="1"/>
    <n v="0"/>
  </r>
  <r>
    <x v="0"/>
    <x v="12"/>
    <x v="17"/>
    <x v="12"/>
    <x v="55"/>
    <x v="1"/>
    <n v="0"/>
  </r>
  <r>
    <x v="0"/>
    <x v="12"/>
    <x v="17"/>
    <x v="13"/>
    <x v="46"/>
    <x v="1"/>
    <n v="27.140149718"/>
  </r>
  <r>
    <x v="0"/>
    <x v="12"/>
    <x v="17"/>
    <x v="13"/>
    <x v="47"/>
    <x v="1"/>
    <n v="27.140149718"/>
  </r>
  <r>
    <x v="0"/>
    <x v="12"/>
    <x v="17"/>
    <x v="13"/>
    <x v="48"/>
    <x v="1"/>
    <n v="27.140149718"/>
  </r>
  <r>
    <x v="0"/>
    <x v="12"/>
    <x v="17"/>
    <x v="13"/>
    <x v="49"/>
    <x v="1"/>
    <n v="0"/>
  </r>
  <r>
    <x v="0"/>
    <x v="12"/>
    <x v="17"/>
    <x v="13"/>
    <x v="50"/>
    <x v="1"/>
    <n v="0"/>
  </r>
  <r>
    <x v="0"/>
    <x v="12"/>
    <x v="17"/>
    <x v="13"/>
    <x v="51"/>
    <x v="1"/>
    <n v="0"/>
  </r>
  <r>
    <x v="0"/>
    <x v="12"/>
    <x v="17"/>
    <x v="13"/>
    <x v="52"/>
    <x v="1"/>
    <n v="0"/>
  </r>
  <r>
    <x v="0"/>
    <x v="12"/>
    <x v="17"/>
    <x v="13"/>
    <x v="53"/>
    <x v="1"/>
    <n v="0"/>
  </r>
  <r>
    <x v="0"/>
    <x v="12"/>
    <x v="17"/>
    <x v="13"/>
    <x v="54"/>
    <x v="1"/>
    <n v="0"/>
  </r>
  <r>
    <x v="0"/>
    <x v="12"/>
    <x v="17"/>
    <x v="13"/>
    <x v="55"/>
    <x v="1"/>
    <n v="0"/>
  </r>
  <r>
    <x v="0"/>
    <x v="12"/>
    <x v="17"/>
    <x v="14"/>
    <x v="46"/>
    <x v="1"/>
    <n v="8.5897405980000006"/>
  </r>
  <r>
    <x v="0"/>
    <x v="12"/>
    <x v="17"/>
    <x v="14"/>
    <x v="47"/>
    <x v="1"/>
    <n v="8.5897405980000006"/>
  </r>
  <r>
    <x v="0"/>
    <x v="12"/>
    <x v="17"/>
    <x v="14"/>
    <x v="48"/>
    <x v="1"/>
    <n v="8.5897405980000006"/>
  </r>
  <r>
    <x v="0"/>
    <x v="12"/>
    <x v="17"/>
    <x v="14"/>
    <x v="49"/>
    <x v="1"/>
    <n v="0"/>
  </r>
  <r>
    <x v="0"/>
    <x v="12"/>
    <x v="17"/>
    <x v="14"/>
    <x v="50"/>
    <x v="1"/>
    <n v="0"/>
  </r>
  <r>
    <x v="0"/>
    <x v="12"/>
    <x v="17"/>
    <x v="14"/>
    <x v="51"/>
    <x v="1"/>
    <n v="0"/>
  </r>
  <r>
    <x v="0"/>
    <x v="12"/>
    <x v="17"/>
    <x v="14"/>
    <x v="52"/>
    <x v="1"/>
    <n v="0"/>
  </r>
  <r>
    <x v="0"/>
    <x v="12"/>
    <x v="17"/>
    <x v="14"/>
    <x v="53"/>
    <x v="1"/>
    <n v="0"/>
  </r>
  <r>
    <x v="0"/>
    <x v="12"/>
    <x v="17"/>
    <x v="14"/>
    <x v="54"/>
    <x v="1"/>
    <n v="0"/>
  </r>
  <r>
    <x v="0"/>
    <x v="12"/>
    <x v="17"/>
    <x v="14"/>
    <x v="55"/>
    <x v="1"/>
    <n v="0"/>
  </r>
  <r>
    <x v="0"/>
    <x v="12"/>
    <x v="17"/>
    <x v="15"/>
    <x v="46"/>
    <x v="1"/>
    <n v="9.9618670389999995"/>
  </r>
  <r>
    <x v="0"/>
    <x v="12"/>
    <x v="17"/>
    <x v="15"/>
    <x v="47"/>
    <x v="1"/>
    <n v="9.9618670389999995"/>
  </r>
  <r>
    <x v="0"/>
    <x v="12"/>
    <x v="17"/>
    <x v="15"/>
    <x v="48"/>
    <x v="1"/>
    <n v="9.9618670389999995"/>
  </r>
  <r>
    <x v="0"/>
    <x v="12"/>
    <x v="17"/>
    <x v="15"/>
    <x v="49"/>
    <x v="1"/>
    <n v="0"/>
  </r>
  <r>
    <x v="0"/>
    <x v="12"/>
    <x v="17"/>
    <x v="15"/>
    <x v="50"/>
    <x v="1"/>
    <n v="0"/>
  </r>
  <r>
    <x v="0"/>
    <x v="12"/>
    <x v="17"/>
    <x v="15"/>
    <x v="51"/>
    <x v="1"/>
    <n v="0"/>
  </r>
  <r>
    <x v="0"/>
    <x v="12"/>
    <x v="17"/>
    <x v="15"/>
    <x v="52"/>
    <x v="1"/>
    <n v="0"/>
  </r>
  <r>
    <x v="0"/>
    <x v="12"/>
    <x v="17"/>
    <x v="15"/>
    <x v="53"/>
    <x v="1"/>
    <n v="0"/>
  </r>
  <r>
    <x v="0"/>
    <x v="12"/>
    <x v="17"/>
    <x v="15"/>
    <x v="54"/>
    <x v="1"/>
    <n v="0"/>
  </r>
  <r>
    <x v="0"/>
    <x v="12"/>
    <x v="17"/>
    <x v="15"/>
    <x v="55"/>
    <x v="1"/>
    <n v="0"/>
  </r>
  <r>
    <x v="0"/>
    <x v="12"/>
    <x v="17"/>
    <x v="16"/>
    <x v="46"/>
    <x v="1"/>
    <n v="6.4717283520000004"/>
  </r>
  <r>
    <x v="0"/>
    <x v="12"/>
    <x v="17"/>
    <x v="16"/>
    <x v="47"/>
    <x v="1"/>
    <n v="6.4717283520000004"/>
  </r>
  <r>
    <x v="0"/>
    <x v="12"/>
    <x v="17"/>
    <x v="16"/>
    <x v="48"/>
    <x v="1"/>
    <n v="6.4717283520000004"/>
  </r>
  <r>
    <x v="0"/>
    <x v="12"/>
    <x v="17"/>
    <x v="16"/>
    <x v="49"/>
    <x v="1"/>
    <n v="0"/>
  </r>
  <r>
    <x v="0"/>
    <x v="12"/>
    <x v="17"/>
    <x v="16"/>
    <x v="50"/>
    <x v="1"/>
    <n v="0"/>
  </r>
  <r>
    <x v="0"/>
    <x v="12"/>
    <x v="17"/>
    <x v="16"/>
    <x v="51"/>
    <x v="1"/>
    <n v="0"/>
  </r>
  <r>
    <x v="0"/>
    <x v="12"/>
    <x v="17"/>
    <x v="16"/>
    <x v="52"/>
    <x v="1"/>
    <n v="0"/>
  </r>
  <r>
    <x v="0"/>
    <x v="12"/>
    <x v="17"/>
    <x v="16"/>
    <x v="53"/>
    <x v="1"/>
    <n v="0"/>
  </r>
  <r>
    <x v="0"/>
    <x v="12"/>
    <x v="17"/>
    <x v="16"/>
    <x v="54"/>
    <x v="1"/>
    <n v="0"/>
  </r>
  <r>
    <x v="0"/>
    <x v="12"/>
    <x v="17"/>
    <x v="16"/>
    <x v="55"/>
    <x v="1"/>
    <n v="0"/>
  </r>
  <r>
    <x v="0"/>
    <x v="12"/>
    <x v="17"/>
    <x v="17"/>
    <x v="46"/>
    <x v="1"/>
    <n v="15.354941609999999"/>
  </r>
  <r>
    <x v="0"/>
    <x v="12"/>
    <x v="17"/>
    <x v="17"/>
    <x v="47"/>
    <x v="1"/>
    <n v="15.354941609999999"/>
  </r>
  <r>
    <x v="0"/>
    <x v="12"/>
    <x v="17"/>
    <x v="17"/>
    <x v="48"/>
    <x v="1"/>
    <n v="15.354941609999999"/>
  </r>
  <r>
    <x v="0"/>
    <x v="12"/>
    <x v="17"/>
    <x v="17"/>
    <x v="49"/>
    <x v="1"/>
    <n v="0"/>
  </r>
  <r>
    <x v="0"/>
    <x v="12"/>
    <x v="17"/>
    <x v="17"/>
    <x v="50"/>
    <x v="1"/>
    <n v="0"/>
  </r>
  <r>
    <x v="0"/>
    <x v="12"/>
    <x v="17"/>
    <x v="17"/>
    <x v="51"/>
    <x v="1"/>
    <n v="0"/>
  </r>
  <r>
    <x v="0"/>
    <x v="12"/>
    <x v="17"/>
    <x v="17"/>
    <x v="52"/>
    <x v="1"/>
    <n v="0"/>
  </r>
  <r>
    <x v="0"/>
    <x v="12"/>
    <x v="17"/>
    <x v="17"/>
    <x v="53"/>
    <x v="1"/>
    <n v="0"/>
  </r>
  <r>
    <x v="0"/>
    <x v="12"/>
    <x v="17"/>
    <x v="17"/>
    <x v="54"/>
    <x v="1"/>
    <n v="0"/>
  </r>
  <r>
    <x v="0"/>
    <x v="12"/>
    <x v="17"/>
    <x v="17"/>
    <x v="55"/>
    <x v="1"/>
    <n v="0"/>
  </r>
  <r>
    <x v="0"/>
    <x v="12"/>
    <x v="17"/>
    <x v="18"/>
    <x v="46"/>
    <x v="1"/>
    <n v="11.985159243"/>
  </r>
  <r>
    <x v="0"/>
    <x v="12"/>
    <x v="17"/>
    <x v="18"/>
    <x v="47"/>
    <x v="1"/>
    <n v="11.985159243"/>
  </r>
  <r>
    <x v="0"/>
    <x v="12"/>
    <x v="17"/>
    <x v="18"/>
    <x v="48"/>
    <x v="1"/>
    <n v="11.985159243"/>
  </r>
  <r>
    <x v="0"/>
    <x v="12"/>
    <x v="17"/>
    <x v="18"/>
    <x v="49"/>
    <x v="1"/>
    <n v="0"/>
  </r>
  <r>
    <x v="0"/>
    <x v="12"/>
    <x v="17"/>
    <x v="18"/>
    <x v="50"/>
    <x v="1"/>
    <n v="0"/>
  </r>
  <r>
    <x v="0"/>
    <x v="12"/>
    <x v="17"/>
    <x v="18"/>
    <x v="51"/>
    <x v="1"/>
    <n v="0"/>
  </r>
  <r>
    <x v="0"/>
    <x v="12"/>
    <x v="17"/>
    <x v="18"/>
    <x v="52"/>
    <x v="1"/>
    <n v="0"/>
  </r>
  <r>
    <x v="0"/>
    <x v="12"/>
    <x v="17"/>
    <x v="18"/>
    <x v="53"/>
    <x v="1"/>
    <n v="0"/>
  </r>
  <r>
    <x v="0"/>
    <x v="12"/>
    <x v="17"/>
    <x v="18"/>
    <x v="54"/>
    <x v="1"/>
    <n v="0"/>
  </r>
  <r>
    <x v="0"/>
    <x v="12"/>
    <x v="17"/>
    <x v="18"/>
    <x v="55"/>
    <x v="1"/>
    <n v="0"/>
  </r>
  <r>
    <x v="0"/>
    <x v="12"/>
    <x v="17"/>
    <x v="19"/>
    <x v="46"/>
    <x v="1"/>
    <n v="15.467985563999999"/>
  </r>
  <r>
    <x v="0"/>
    <x v="12"/>
    <x v="17"/>
    <x v="19"/>
    <x v="47"/>
    <x v="1"/>
    <n v="15.467985563999999"/>
  </r>
  <r>
    <x v="0"/>
    <x v="12"/>
    <x v="17"/>
    <x v="19"/>
    <x v="48"/>
    <x v="1"/>
    <n v="15.467985563999999"/>
  </r>
  <r>
    <x v="0"/>
    <x v="12"/>
    <x v="17"/>
    <x v="19"/>
    <x v="49"/>
    <x v="1"/>
    <n v="0"/>
  </r>
  <r>
    <x v="0"/>
    <x v="12"/>
    <x v="17"/>
    <x v="19"/>
    <x v="50"/>
    <x v="1"/>
    <n v="0"/>
  </r>
  <r>
    <x v="0"/>
    <x v="12"/>
    <x v="17"/>
    <x v="19"/>
    <x v="51"/>
    <x v="1"/>
    <n v="0"/>
  </r>
  <r>
    <x v="0"/>
    <x v="12"/>
    <x v="17"/>
    <x v="19"/>
    <x v="52"/>
    <x v="1"/>
    <n v="0"/>
  </r>
  <r>
    <x v="0"/>
    <x v="12"/>
    <x v="17"/>
    <x v="19"/>
    <x v="53"/>
    <x v="1"/>
    <n v="0"/>
  </r>
  <r>
    <x v="0"/>
    <x v="12"/>
    <x v="17"/>
    <x v="19"/>
    <x v="54"/>
    <x v="1"/>
    <n v="0"/>
  </r>
  <r>
    <x v="0"/>
    <x v="12"/>
    <x v="17"/>
    <x v="19"/>
    <x v="55"/>
    <x v="1"/>
    <n v="0"/>
  </r>
  <r>
    <x v="0"/>
    <x v="12"/>
    <x v="17"/>
    <x v="20"/>
    <x v="46"/>
    <x v="1"/>
    <n v="1.9781570909999999"/>
  </r>
  <r>
    <x v="0"/>
    <x v="12"/>
    <x v="17"/>
    <x v="20"/>
    <x v="47"/>
    <x v="1"/>
    <n v="1.9781570909999999"/>
  </r>
  <r>
    <x v="0"/>
    <x v="12"/>
    <x v="17"/>
    <x v="20"/>
    <x v="48"/>
    <x v="1"/>
    <n v="1.9781570909999999"/>
  </r>
  <r>
    <x v="0"/>
    <x v="12"/>
    <x v="17"/>
    <x v="20"/>
    <x v="49"/>
    <x v="1"/>
    <n v="0"/>
  </r>
  <r>
    <x v="0"/>
    <x v="12"/>
    <x v="17"/>
    <x v="20"/>
    <x v="50"/>
    <x v="1"/>
    <n v="0"/>
  </r>
  <r>
    <x v="0"/>
    <x v="12"/>
    <x v="17"/>
    <x v="20"/>
    <x v="51"/>
    <x v="1"/>
    <n v="0"/>
  </r>
  <r>
    <x v="0"/>
    <x v="12"/>
    <x v="17"/>
    <x v="20"/>
    <x v="52"/>
    <x v="1"/>
    <n v="0"/>
  </r>
  <r>
    <x v="0"/>
    <x v="12"/>
    <x v="17"/>
    <x v="20"/>
    <x v="53"/>
    <x v="1"/>
    <n v="0"/>
  </r>
  <r>
    <x v="0"/>
    <x v="12"/>
    <x v="17"/>
    <x v="20"/>
    <x v="54"/>
    <x v="1"/>
    <n v="0"/>
  </r>
  <r>
    <x v="0"/>
    <x v="12"/>
    <x v="17"/>
    <x v="20"/>
    <x v="55"/>
    <x v="1"/>
    <n v="0"/>
  </r>
  <r>
    <x v="0"/>
    <x v="12"/>
    <x v="17"/>
    <x v="21"/>
    <x v="46"/>
    <x v="1"/>
    <n v="0.95323560699999998"/>
  </r>
  <r>
    <x v="0"/>
    <x v="12"/>
    <x v="17"/>
    <x v="21"/>
    <x v="47"/>
    <x v="1"/>
    <n v="0.95323560699999998"/>
  </r>
  <r>
    <x v="0"/>
    <x v="12"/>
    <x v="17"/>
    <x v="21"/>
    <x v="48"/>
    <x v="1"/>
    <n v="0.95323560699999998"/>
  </r>
  <r>
    <x v="0"/>
    <x v="12"/>
    <x v="17"/>
    <x v="21"/>
    <x v="49"/>
    <x v="1"/>
    <n v="0"/>
  </r>
  <r>
    <x v="0"/>
    <x v="12"/>
    <x v="17"/>
    <x v="21"/>
    <x v="50"/>
    <x v="1"/>
    <n v="0"/>
  </r>
  <r>
    <x v="0"/>
    <x v="12"/>
    <x v="17"/>
    <x v="21"/>
    <x v="51"/>
    <x v="1"/>
    <n v="0"/>
  </r>
  <r>
    <x v="0"/>
    <x v="12"/>
    <x v="17"/>
    <x v="21"/>
    <x v="52"/>
    <x v="1"/>
    <n v="0"/>
  </r>
  <r>
    <x v="0"/>
    <x v="12"/>
    <x v="17"/>
    <x v="21"/>
    <x v="53"/>
    <x v="1"/>
    <n v="0"/>
  </r>
  <r>
    <x v="0"/>
    <x v="12"/>
    <x v="17"/>
    <x v="21"/>
    <x v="54"/>
    <x v="1"/>
    <n v="0"/>
  </r>
  <r>
    <x v="0"/>
    <x v="12"/>
    <x v="17"/>
    <x v="21"/>
    <x v="55"/>
    <x v="1"/>
    <n v="0"/>
  </r>
  <r>
    <x v="0"/>
    <x v="12"/>
    <x v="17"/>
    <x v="22"/>
    <x v="46"/>
    <x v="1"/>
    <n v="0.86636055099999998"/>
  </r>
  <r>
    <x v="0"/>
    <x v="12"/>
    <x v="17"/>
    <x v="22"/>
    <x v="47"/>
    <x v="1"/>
    <n v="0.86636055099999998"/>
  </r>
  <r>
    <x v="0"/>
    <x v="12"/>
    <x v="17"/>
    <x v="22"/>
    <x v="48"/>
    <x v="1"/>
    <n v="0.86636055099999998"/>
  </r>
  <r>
    <x v="0"/>
    <x v="12"/>
    <x v="17"/>
    <x v="22"/>
    <x v="49"/>
    <x v="1"/>
    <n v="0"/>
  </r>
  <r>
    <x v="0"/>
    <x v="12"/>
    <x v="17"/>
    <x v="22"/>
    <x v="50"/>
    <x v="1"/>
    <n v="0"/>
  </r>
  <r>
    <x v="0"/>
    <x v="12"/>
    <x v="17"/>
    <x v="22"/>
    <x v="51"/>
    <x v="1"/>
    <n v="0"/>
  </r>
  <r>
    <x v="0"/>
    <x v="12"/>
    <x v="17"/>
    <x v="22"/>
    <x v="52"/>
    <x v="1"/>
    <n v="0"/>
  </r>
  <r>
    <x v="0"/>
    <x v="12"/>
    <x v="17"/>
    <x v="22"/>
    <x v="53"/>
    <x v="1"/>
    <n v="0"/>
  </r>
  <r>
    <x v="0"/>
    <x v="12"/>
    <x v="17"/>
    <x v="22"/>
    <x v="54"/>
    <x v="1"/>
    <n v="0"/>
  </r>
  <r>
    <x v="0"/>
    <x v="12"/>
    <x v="17"/>
    <x v="22"/>
    <x v="55"/>
    <x v="1"/>
    <n v="0"/>
  </r>
  <r>
    <x v="0"/>
    <x v="12"/>
    <x v="17"/>
    <x v="23"/>
    <x v="46"/>
    <x v="1"/>
    <n v="0.41914047500000001"/>
  </r>
  <r>
    <x v="0"/>
    <x v="12"/>
    <x v="17"/>
    <x v="23"/>
    <x v="47"/>
    <x v="1"/>
    <n v="0.41914047500000001"/>
  </r>
  <r>
    <x v="0"/>
    <x v="12"/>
    <x v="17"/>
    <x v="23"/>
    <x v="48"/>
    <x v="1"/>
    <n v="0.41914047500000001"/>
  </r>
  <r>
    <x v="0"/>
    <x v="12"/>
    <x v="17"/>
    <x v="23"/>
    <x v="49"/>
    <x v="1"/>
    <n v="0"/>
  </r>
  <r>
    <x v="0"/>
    <x v="12"/>
    <x v="17"/>
    <x v="23"/>
    <x v="50"/>
    <x v="1"/>
    <n v="0"/>
  </r>
  <r>
    <x v="0"/>
    <x v="12"/>
    <x v="17"/>
    <x v="23"/>
    <x v="51"/>
    <x v="1"/>
    <n v="0"/>
  </r>
  <r>
    <x v="0"/>
    <x v="12"/>
    <x v="17"/>
    <x v="23"/>
    <x v="52"/>
    <x v="1"/>
    <n v="0"/>
  </r>
  <r>
    <x v="0"/>
    <x v="12"/>
    <x v="17"/>
    <x v="23"/>
    <x v="53"/>
    <x v="1"/>
    <n v="0"/>
  </r>
  <r>
    <x v="0"/>
    <x v="12"/>
    <x v="17"/>
    <x v="23"/>
    <x v="54"/>
    <x v="1"/>
    <n v="0"/>
  </r>
  <r>
    <x v="0"/>
    <x v="12"/>
    <x v="17"/>
    <x v="23"/>
    <x v="55"/>
    <x v="1"/>
    <n v="0"/>
  </r>
  <r>
    <x v="0"/>
    <x v="12"/>
    <x v="17"/>
    <x v="24"/>
    <x v="46"/>
    <x v="1"/>
    <n v="16.984210796999999"/>
  </r>
  <r>
    <x v="0"/>
    <x v="12"/>
    <x v="17"/>
    <x v="24"/>
    <x v="47"/>
    <x v="1"/>
    <n v="16.984210796999999"/>
  </r>
  <r>
    <x v="0"/>
    <x v="12"/>
    <x v="17"/>
    <x v="24"/>
    <x v="48"/>
    <x v="1"/>
    <n v="16.984210796999999"/>
  </r>
  <r>
    <x v="0"/>
    <x v="12"/>
    <x v="17"/>
    <x v="24"/>
    <x v="49"/>
    <x v="1"/>
    <n v="0"/>
  </r>
  <r>
    <x v="0"/>
    <x v="12"/>
    <x v="17"/>
    <x v="24"/>
    <x v="50"/>
    <x v="1"/>
    <n v="0"/>
  </r>
  <r>
    <x v="0"/>
    <x v="12"/>
    <x v="17"/>
    <x v="24"/>
    <x v="51"/>
    <x v="1"/>
    <n v="0"/>
  </r>
  <r>
    <x v="0"/>
    <x v="12"/>
    <x v="17"/>
    <x v="24"/>
    <x v="52"/>
    <x v="1"/>
    <n v="0"/>
  </r>
  <r>
    <x v="0"/>
    <x v="12"/>
    <x v="17"/>
    <x v="24"/>
    <x v="53"/>
    <x v="1"/>
    <n v="0"/>
  </r>
  <r>
    <x v="0"/>
    <x v="12"/>
    <x v="17"/>
    <x v="24"/>
    <x v="54"/>
    <x v="1"/>
    <n v="0"/>
  </r>
  <r>
    <x v="0"/>
    <x v="12"/>
    <x v="17"/>
    <x v="24"/>
    <x v="55"/>
    <x v="1"/>
    <n v="0"/>
  </r>
  <r>
    <x v="0"/>
    <x v="12"/>
    <x v="17"/>
    <x v="25"/>
    <x v="46"/>
    <x v="1"/>
    <n v="0.77416370300000004"/>
  </r>
  <r>
    <x v="0"/>
    <x v="12"/>
    <x v="17"/>
    <x v="25"/>
    <x v="47"/>
    <x v="1"/>
    <n v="0.77416370300000004"/>
  </r>
  <r>
    <x v="0"/>
    <x v="12"/>
    <x v="17"/>
    <x v="25"/>
    <x v="48"/>
    <x v="1"/>
    <n v="0.77416370300000004"/>
  </r>
  <r>
    <x v="0"/>
    <x v="12"/>
    <x v="17"/>
    <x v="25"/>
    <x v="49"/>
    <x v="1"/>
    <n v="0"/>
  </r>
  <r>
    <x v="0"/>
    <x v="12"/>
    <x v="17"/>
    <x v="25"/>
    <x v="50"/>
    <x v="1"/>
    <n v="0"/>
  </r>
  <r>
    <x v="0"/>
    <x v="12"/>
    <x v="17"/>
    <x v="25"/>
    <x v="51"/>
    <x v="1"/>
    <n v="0"/>
  </r>
  <r>
    <x v="0"/>
    <x v="12"/>
    <x v="17"/>
    <x v="25"/>
    <x v="52"/>
    <x v="1"/>
    <n v="0"/>
  </r>
  <r>
    <x v="0"/>
    <x v="12"/>
    <x v="17"/>
    <x v="25"/>
    <x v="53"/>
    <x v="1"/>
    <n v="0"/>
  </r>
  <r>
    <x v="0"/>
    <x v="12"/>
    <x v="17"/>
    <x v="25"/>
    <x v="54"/>
    <x v="1"/>
    <n v="0"/>
  </r>
  <r>
    <x v="0"/>
    <x v="12"/>
    <x v="17"/>
    <x v="25"/>
    <x v="55"/>
    <x v="1"/>
    <n v="0"/>
  </r>
  <r>
    <x v="0"/>
    <x v="12"/>
    <x v="17"/>
    <x v="26"/>
    <x v="46"/>
    <x v="1"/>
    <n v="0.52464806600000002"/>
  </r>
  <r>
    <x v="0"/>
    <x v="12"/>
    <x v="17"/>
    <x v="26"/>
    <x v="47"/>
    <x v="1"/>
    <n v="0.52464806600000002"/>
  </r>
  <r>
    <x v="0"/>
    <x v="12"/>
    <x v="17"/>
    <x v="26"/>
    <x v="48"/>
    <x v="1"/>
    <n v="0.52464806600000002"/>
  </r>
  <r>
    <x v="0"/>
    <x v="12"/>
    <x v="17"/>
    <x v="26"/>
    <x v="49"/>
    <x v="1"/>
    <n v="0"/>
  </r>
  <r>
    <x v="0"/>
    <x v="12"/>
    <x v="17"/>
    <x v="26"/>
    <x v="50"/>
    <x v="1"/>
    <n v="0"/>
  </r>
  <r>
    <x v="0"/>
    <x v="12"/>
    <x v="17"/>
    <x v="26"/>
    <x v="51"/>
    <x v="1"/>
    <n v="0"/>
  </r>
  <r>
    <x v="0"/>
    <x v="12"/>
    <x v="17"/>
    <x v="26"/>
    <x v="52"/>
    <x v="1"/>
    <n v="0"/>
  </r>
  <r>
    <x v="0"/>
    <x v="12"/>
    <x v="17"/>
    <x v="26"/>
    <x v="53"/>
    <x v="1"/>
    <n v="0"/>
  </r>
  <r>
    <x v="0"/>
    <x v="12"/>
    <x v="17"/>
    <x v="26"/>
    <x v="54"/>
    <x v="1"/>
    <n v="0"/>
  </r>
  <r>
    <x v="0"/>
    <x v="12"/>
    <x v="17"/>
    <x v="26"/>
    <x v="55"/>
    <x v="1"/>
    <n v="0"/>
  </r>
  <r>
    <x v="0"/>
    <x v="12"/>
    <x v="17"/>
    <x v="27"/>
    <x v="46"/>
    <x v="1"/>
    <n v="27.761824748999999"/>
  </r>
  <r>
    <x v="0"/>
    <x v="12"/>
    <x v="17"/>
    <x v="27"/>
    <x v="47"/>
    <x v="1"/>
    <n v="27.761824748999999"/>
  </r>
  <r>
    <x v="0"/>
    <x v="12"/>
    <x v="17"/>
    <x v="27"/>
    <x v="48"/>
    <x v="1"/>
    <n v="27.761824748999999"/>
  </r>
  <r>
    <x v="0"/>
    <x v="12"/>
    <x v="17"/>
    <x v="27"/>
    <x v="49"/>
    <x v="1"/>
    <n v="0"/>
  </r>
  <r>
    <x v="0"/>
    <x v="12"/>
    <x v="17"/>
    <x v="27"/>
    <x v="50"/>
    <x v="1"/>
    <n v="0"/>
  </r>
  <r>
    <x v="0"/>
    <x v="12"/>
    <x v="17"/>
    <x v="27"/>
    <x v="51"/>
    <x v="1"/>
    <n v="0"/>
  </r>
  <r>
    <x v="0"/>
    <x v="12"/>
    <x v="17"/>
    <x v="27"/>
    <x v="52"/>
    <x v="1"/>
    <n v="0"/>
  </r>
  <r>
    <x v="0"/>
    <x v="12"/>
    <x v="17"/>
    <x v="27"/>
    <x v="53"/>
    <x v="1"/>
    <n v="0"/>
  </r>
  <r>
    <x v="0"/>
    <x v="12"/>
    <x v="17"/>
    <x v="27"/>
    <x v="54"/>
    <x v="1"/>
    <n v="0"/>
  </r>
  <r>
    <x v="0"/>
    <x v="12"/>
    <x v="17"/>
    <x v="27"/>
    <x v="55"/>
    <x v="1"/>
    <n v="0"/>
  </r>
  <r>
    <x v="0"/>
    <x v="12"/>
    <x v="17"/>
    <x v="28"/>
    <x v="46"/>
    <x v="1"/>
    <n v="26.413168396"/>
  </r>
  <r>
    <x v="0"/>
    <x v="12"/>
    <x v="17"/>
    <x v="28"/>
    <x v="47"/>
    <x v="1"/>
    <n v="26.413168396"/>
  </r>
  <r>
    <x v="0"/>
    <x v="12"/>
    <x v="17"/>
    <x v="28"/>
    <x v="48"/>
    <x v="1"/>
    <n v="26.413168396"/>
  </r>
  <r>
    <x v="0"/>
    <x v="12"/>
    <x v="17"/>
    <x v="28"/>
    <x v="49"/>
    <x v="1"/>
    <n v="0"/>
  </r>
  <r>
    <x v="0"/>
    <x v="12"/>
    <x v="17"/>
    <x v="28"/>
    <x v="50"/>
    <x v="1"/>
    <n v="0"/>
  </r>
  <r>
    <x v="0"/>
    <x v="12"/>
    <x v="17"/>
    <x v="28"/>
    <x v="51"/>
    <x v="1"/>
    <n v="0"/>
  </r>
  <r>
    <x v="0"/>
    <x v="12"/>
    <x v="17"/>
    <x v="28"/>
    <x v="52"/>
    <x v="1"/>
    <n v="0"/>
  </r>
  <r>
    <x v="0"/>
    <x v="12"/>
    <x v="17"/>
    <x v="28"/>
    <x v="53"/>
    <x v="1"/>
    <n v="0"/>
  </r>
  <r>
    <x v="0"/>
    <x v="12"/>
    <x v="17"/>
    <x v="28"/>
    <x v="54"/>
    <x v="1"/>
    <n v="0"/>
  </r>
  <r>
    <x v="0"/>
    <x v="12"/>
    <x v="17"/>
    <x v="28"/>
    <x v="55"/>
    <x v="1"/>
    <n v="0"/>
  </r>
  <r>
    <x v="0"/>
    <x v="12"/>
    <x v="17"/>
    <x v="29"/>
    <x v="46"/>
    <x v="1"/>
    <n v="25.558614303999999"/>
  </r>
  <r>
    <x v="0"/>
    <x v="12"/>
    <x v="17"/>
    <x v="29"/>
    <x v="47"/>
    <x v="1"/>
    <n v="25.558614303999999"/>
  </r>
  <r>
    <x v="0"/>
    <x v="12"/>
    <x v="17"/>
    <x v="29"/>
    <x v="48"/>
    <x v="1"/>
    <n v="25.558614303999999"/>
  </r>
  <r>
    <x v="0"/>
    <x v="12"/>
    <x v="17"/>
    <x v="29"/>
    <x v="49"/>
    <x v="1"/>
    <n v="0"/>
  </r>
  <r>
    <x v="0"/>
    <x v="12"/>
    <x v="17"/>
    <x v="29"/>
    <x v="50"/>
    <x v="1"/>
    <n v="0"/>
  </r>
  <r>
    <x v="0"/>
    <x v="12"/>
    <x v="17"/>
    <x v="29"/>
    <x v="51"/>
    <x v="1"/>
    <n v="0"/>
  </r>
  <r>
    <x v="0"/>
    <x v="12"/>
    <x v="17"/>
    <x v="29"/>
    <x v="52"/>
    <x v="1"/>
    <n v="0"/>
  </r>
  <r>
    <x v="0"/>
    <x v="12"/>
    <x v="17"/>
    <x v="29"/>
    <x v="53"/>
    <x v="1"/>
    <n v="0"/>
  </r>
  <r>
    <x v="0"/>
    <x v="12"/>
    <x v="17"/>
    <x v="29"/>
    <x v="54"/>
    <x v="1"/>
    <n v="0"/>
  </r>
  <r>
    <x v="0"/>
    <x v="12"/>
    <x v="17"/>
    <x v="29"/>
    <x v="55"/>
    <x v="1"/>
    <n v="0"/>
  </r>
  <r>
    <x v="0"/>
    <x v="12"/>
    <x v="17"/>
    <x v="30"/>
    <x v="46"/>
    <x v="1"/>
    <n v="9.6848686480000001"/>
  </r>
  <r>
    <x v="0"/>
    <x v="12"/>
    <x v="17"/>
    <x v="30"/>
    <x v="47"/>
    <x v="1"/>
    <n v="9.6848686480000001"/>
  </r>
  <r>
    <x v="0"/>
    <x v="12"/>
    <x v="17"/>
    <x v="30"/>
    <x v="48"/>
    <x v="1"/>
    <n v="9.6848686480000001"/>
  </r>
  <r>
    <x v="0"/>
    <x v="12"/>
    <x v="17"/>
    <x v="30"/>
    <x v="49"/>
    <x v="1"/>
    <n v="0"/>
  </r>
  <r>
    <x v="0"/>
    <x v="12"/>
    <x v="17"/>
    <x v="30"/>
    <x v="50"/>
    <x v="1"/>
    <n v="0"/>
  </r>
  <r>
    <x v="0"/>
    <x v="12"/>
    <x v="17"/>
    <x v="30"/>
    <x v="51"/>
    <x v="1"/>
    <n v="0"/>
  </r>
  <r>
    <x v="0"/>
    <x v="12"/>
    <x v="17"/>
    <x v="30"/>
    <x v="52"/>
    <x v="1"/>
    <n v="0"/>
  </r>
  <r>
    <x v="0"/>
    <x v="12"/>
    <x v="17"/>
    <x v="30"/>
    <x v="53"/>
    <x v="1"/>
    <n v="0"/>
  </r>
  <r>
    <x v="0"/>
    <x v="12"/>
    <x v="17"/>
    <x v="30"/>
    <x v="54"/>
    <x v="1"/>
    <n v="0"/>
  </r>
  <r>
    <x v="0"/>
    <x v="12"/>
    <x v="17"/>
    <x v="30"/>
    <x v="55"/>
    <x v="1"/>
    <n v="0"/>
  </r>
  <r>
    <x v="0"/>
    <x v="12"/>
    <x v="17"/>
    <x v="31"/>
    <x v="46"/>
    <x v="1"/>
    <n v="7.339250399"/>
  </r>
  <r>
    <x v="0"/>
    <x v="12"/>
    <x v="17"/>
    <x v="31"/>
    <x v="47"/>
    <x v="1"/>
    <n v="7.339250399"/>
  </r>
  <r>
    <x v="0"/>
    <x v="12"/>
    <x v="17"/>
    <x v="31"/>
    <x v="48"/>
    <x v="1"/>
    <n v="7.339250399"/>
  </r>
  <r>
    <x v="0"/>
    <x v="12"/>
    <x v="17"/>
    <x v="31"/>
    <x v="49"/>
    <x v="1"/>
    <n v="0"/>
  </r>
  <r>
    <x v="0"/>
    <x v="12"/>
    <x v="17"/>
    <x v="31"/>
    <x v="50"/>
    <x v="1"/>
    <n v="0"/>
  </r>
  <r>
    <x v="0"/>
    <x v="12"/>
    <x v="17"/>
    <x v="31"/>
    <x v="51"/>
    <x v="1"/>
    <n v="0"/>
  </r>
  <r>
    <x v="0"/>
    <x v="12"/>
    <x v="17"/>
    <x v="31"/>
    <x v="52"/>
    <x v="1"/>
    <n v="0"/>
  </r>
  <r>
    <x v="0"/>
    <x v="12"/>
    <x v="17"/>
    <x v="31"/>
    <x v="53"/>
    <x v="1"/>
    <n v="0"/>
  </r>
  <r>
    <x v="0"/>
    <x v="12"/>
    <x v="17"/>
    <x v="31"/>
    <x v="54"/>
    <x v="1"/>
    <n v="0"/>
  </r>
  <r>
    <x v="0"/>
    <x v="12"/>
    <x v="17"/>
    <x v="31"/>
    <x v="55"/>
    <x v="1"/>
    <n v="0"/>
  </r>
  <r>
    <x v="0"/>
    <x v="12"/>
    <x v="17"/>
    <x v="32"/>
    <x v="46"/>
    <x v="1"/>
    <n v="24.452568006"/>
  </r>
  <r>
    <x v="0"/>
    <x v="12"/>
    <x v="17"/>
    <x v="32"/>
    <x v="47"/>
    <x v="1"/>
    <n v="24.452568006"/>
  </r>
  <r>
    <x v="0"/>
    <x v="12"/>
    <x v="17"/>
    <x v="32"/>
    <x v="48"/>
    <x v="1"/>
    <n v="24.452568006"/>
  </r>
  <r>
    <x v="0"/>
    <x v="12"/>
    <x v="17"/>
    <x v="32"/>
    <x v="49"/>
    <x v="1"/>
    <n v="0"/>
  </r>
  <r>
    <x v="0"/>
    <x v="12"/>
    <x v="17"/>
    <x v="32"/>
    <x v="50"/>
    <x v="1"/>
    <n v="0"/>
  </r>
  <r>
    <x v="0"/>
    <x v="12"/>
    <x v="17"/>
    <x v="32"/>
    <x v="51"/>
    <x v="1"/>
    <n v="0"/>
  </r>
  <r>
    <x v="0"/>
    <x v="12"/>
    <x v="17"/>
    <x v="32"/>
    <x v="52"/>
    <x v="1"/>
    <n v="0"/>
  </r>
  <r>
    <x v="0"/>
    <x v="12"/>
    <x v="17"/>
    <x v="32"/>
    <x v="53"/>
    <x v="1"/>
    <n v="0"/>
  </r>
  <r>
    <x v="0"/>
    <x v="12"/>
    <x v="17"/>
    <x v="32"/>
    <x v="54"/>
    <x v="1"/>
    <n v="0"/>
  </r>
  <r>
    <x v="0"/>
    <x v="12"/>
    <x v="17"/>
    <x v="32"/>
    <x v="55"/>
    <x v="1"/>
    <n v="0"/>
  </r>
  <r>
    <x v="0"/>
    <x v="12"/>
    <x v="17"/>
    <x v="33"/>
    <x v="46"/>
    <x v="1"/>
    <n v="13.351742148"/>
  </r>
  <r>
    <x v="0"/>
    <x v="12"/>
    <x v="17"/>
    <x v="33"/>
    <x v="47"/>
    <x v="1"/>
    <n v="13.351742148"/>
  </r>
  <r>
    <x v="0"/>
    <x v="12"/>
    <x v="17"/>
    <x v="33"/>
    <x v="48"/>
    <x v="1"/>
    <n v="13.351742148"/>
  </r>
  <r>
    <x v="0"/>
    <x v="12"/>
    <x v="17"/>
    <x v="33"/>
    <x v="49"/>
    <x v="1"/>
    <n v="0"/>
  </r>
  <r>
    <x v="0"/>
    <x v="12"/>
    <x v="17"/>
    <x v="33"/>
    <x v="50"/>
    <x v="1"/>
    <n v="0"/>
  </r>
  <r>
    <x v="0"/>
    <x v="12"/>
    <x v="17"/>
    <x v="33"/>
    <x v="51"/>
    <x v="1"/>
    <n v="0"/>
  </r>
  <r>
    <x v="0"/>
    <x v="12"/>
    <x v="17"/>
    <x v="33"/>
    <x v="52"/>
    <x v="1"/>
    <n v="0"/>
  </r>
  <r>
    <x v="0"/>
    <x v="12"/>
    <x v="17"/>
    <x v="33"/>
    <x v="53"/>
    <x v="1"/>
    <n v="0"/>
  </r>
  <r>
    <x v="0"/>
    <x v="12"/>
    <x v="17"/>
    <x v="33"/>
    <x v="54"/>
    <x v="1"/>
    <n v="0"/>
  </r>
  <r>
    <x v="0"/>
    <x v="12"/>
    <x v="17"/>
    <x v="33"/>
    <x v="55"/>
    <x v="1"/>
    <n v="0"/>
  </r>
  <r>
    <x v="0"/>
    <x v="12"/>
    <x v="17"/>
    <x v="34"/>
    <x v="46"/>
    <x v="1"/>
    <n v="16.203921080000001"/>
  </r>
  <r>
    <x v="0"/>
    <x v="12"/>
    <x v="17"/>
    <x v="34"/>
    <x v="47"/>
    <x v="1"/>
    <n v="16.203921080000001"/>
  </r>
  <r>
    <x v="0"/>
    <x v="12"/>
    <x v="17"/>
    <x v="34"/>
    <x v="48"/>
    <x v="1"/>
    <n v="16.203921080000001"/>
  </r>
  <r>
    <x v="0"/>
    <x v="12"/>
    <x v="17"/>
    <x v="34"/>
    <x v="49"/>
    <x v="1"/>
    <n v="0"/>
  </r>
  <r>
    <x v="0"/>
    <x v="12"/>
    <x v="17"/>
    <x v="34"/>
    <x v="50"/>
    <x v="1"/>
    <n v="0"/>
  </r>
  <r>
    <x v="0"/>
    <x v="12"/>
    <x v="17"/>
    <x v="34"/>
    <x v="51"/>
    <x v="1"/>
    <n v="0"/>
  </r>
  <r>
    <x v="0"/>
    <x v="12"/>
    <x v="17"/>
    <x v="34"/>
    <x v="52"/>
    <x v="1"/>
    <n v="0"/>
  </r>
  <r>
    <x v="0"/>
    <x v="12"/>
    <x v="17"/>
    <x v="34"/>
    <x v="53"/>
    <x v="1"/>
    <n v="0"/>
  </r>
  <r>
    <x v="0"/>
    <x v="12"/>
    <x v="17"/>
    <x v="34"/>
    <x v="54"/>
    <x v="1"/>
    <n v="0"/>
  </r>
  <r>
    <x v="0"/>
    <x v="12"/>
    <x v="17"/>
    <x v="34"/>
    <x v="55"/>
    <x v="1"/>
    <n v="0"/>
  </r>
  <r>
    <x v="0"/>
    <x v="12"/>
    <x v="17"/>
    <x v="35"/>
    <x v="46"/>
    <x v="1"/>
    <n v="13.563373338"/>
  </r>
  <r>
    <x v="0"/>
    <x v="12"/>
    <x v="17"/>
    <x v="35"/>
    <x v="47"/>
    <x v="1"/>
    <n v="13.563373338"/>
  </r>
  <r>
    <x v="0"/>
    <x v="12"/>
    <x v="17"/>
    <x v="35"/>
    <x v="48"/>
    <x v="1"/>
    <n v="13.563373338"/>
  </r>
  <r>
    <x v="0"/>
    <x v="12"/>
    <x v="17"/>
    <x v="35"/>
    <x v="49"/>
    <x v="1"/>
    <n v="0"/>
  </r>
  <r>
    <x v="0"/>
    <x v="12"/>
    <x v="17"/>
    <x v="35"/>
    <x v="50"/>
    <x v="1"/>
    <n v="0"/>
  </r>
  <r>
    <x v="0"/>
    <x v="12"/>
    <x v="17"/>
    <x v="35"/>
    <x v="51"/>
    <x v="1"/>
    <n v="0"/>
  </r>
  <r>
    <x v="0"/>
    <x v="12"/>
    <x v="17"/>
    <x v="35"/>
    <x v="52"/>
    <x v="1"/>
    <n v="0"/>
  </r>
  <r>
    <x v="0"/>
    <x v="12"/>
    <x v="17"/>
    <x v="35"/>
    <x v="53"/>
    <x v="1"/>
    <n v="0"/>
  </r>
  <r>
    <x v="0"/>
    <x v="12"/>
    <x v="17"/>
    <x v="35"/>
    <x v="54"/>
    <x v="1"/>
    <n v="0"/>
  </r>
  <r>
    <x v="0"/>
    <x v="12"/>
    <x v="17"/>
    <x v="35"/>
    <x v="55"/>
    <x v="1"/>
    <n v="0"/>
  </r>
  <r>
    <x v="0"/>
    <x v="12"/>
    <x v="17"/>
    <x v="36"/>
    <x v="46"/>
    <x v="1"/>
    <n v="4.9943924180000003"/>
  </r>
  <r>
    <x v="0"/>
    <x v="12"/>
    <x v="17"/>
    <x v="36"/>
    <x v="47"/>
    <x v="1"/>
    <n v="4.9943924180000003"/>
  </r>
  <r>
    <x v="0"/>
    <x v="12"/>
    <x v="17"/>
    <x v="36"/>
    <x v="48"/>
    <x v="1"/>
    <n v="4.9943924180000003"/>
  </r>
  <r>
    <x v="0"/>
    <x v="12"/>
    <x v="17"/>
    <x v="36"/>
    <x v="49"/>
    <x v="1"/>
    <n v="0"/>
  </r>
  <r>
    <x v="0"/>
    <x v="12"/>
    <x v="17"/>
    <x v="36"/>
    <x v="50"/>
    <x v="1"/>
    <n v="0"/>
  </r>
  <r>
    <x v="0"/>
    <x v="12"/>
    <x v="17"/>
    <x v="36"/>
    <x v="51"/>
    <x v="1"/>
    <n v="0"/>
  </r>
  <r>
    <x v="0"/>
    <x v="12"/>
    <x v="17"/>
    <x v="36"/>
    <x v="52"/>
    <x v="1"/>
    <n v="0"/>
  </r>
  <r>
    <x v="0"/>
    <x v="12"/>
    <x v="17"/>
    <x v="36"/>
    <x v="53"/>
    <x v="1"/>
    <n v="0"/>
  </r>
  <r>
    <x v="0"/>
    <x v="12"/>
    <x v="17"/>
    <x v="36"/>
    <x v="54"/>
    <x v="1"/>
    <n v="0"/>
  </r>
  <r>
    <x v="0"/>
    <x v="12"/>
    <x v="17"/>
    <x v="36"/>
    <x v="55"/>
    <x v="1"/>
    <n v="0"/>
  </r>
  <r>
    <x v="0"/>
    <x v="12"/>
    <x v="17"/>
    <x v="37"/>
    <x v="46"/>
    <x v="1"/>
    <n v="6.1423394939999998"/>
  </r>
  <r>
    <x v="0"/>
    <x v="12"/>
    <x v="17"/>
    <x v="37"/>
    <x v="47"/>
    <x v="1"/>
    <n v="6.1423394939999998"/>
  </r>
  <r>
    <x v="0"/>
    <x v="12"/>
    <x v="17"/>
    <x v="37"/>
    <x v="48"/>
    <x v="1"/>
    <n v="6.1423394939999998"/>
  </r>
  <r>
    <x v="0"/>
    <x v="12"/>
    <x v="17"/>
    <x v="37"/>
    <x v="49"/>
    <x v="1"/>
    <n v="0"/>
  </r>
  <r>
    <x v="0"/>
    <x v="12"/>
    <x v="17"/>
    <x v="37"/>
    <x v="50"/>
    <x v="1"/>
    <n v="0"/>
  </r>
  <r>
    <x v="0"/>
    <x v="12"/>
    <x v="17"/>
    <x v="37"/>
    <x v="51"/>
    <x v="1"/>
    <n v="0"/>
  </r>
  <r>
    <x v="0"/>
    <x v="12"/>
    <x v="17"/>
    <x v="37"/>
    <x v="52"/>
    <x v="1"/>
    <n v="0"/>
  </r>
  <r>
    <x v="0"/>
    <x v="12"/>
    <x v="17"/>
    <x v="37"/>
    <x v="53"/>
    <x v="1"/>
    <n v="0"/>
  </r>
  <r>
    <x v="0"/>
    <x v="12"/>
    <x v="17"/>
    <x v="37"/>
    <x v="54"/>
    <x v="1"/>
    <n v="0"/>
  </r>
  <r>
    <x v="0"/>
    <x v="12"/>
    <x v="17"/>
    <x v="37"/>
    <x v="55"/>
    <x v="1"/>
    <n v="0"/>
  </r>
  <r>
    <x v="0"/>
    <x v="12"/>
    <x v="17"/>
    <x v="38"/>
    <x v="46"/>
    <x v="1"/>
    <n v="27.338539363999999"/>
  </r>
  <r>
    <x v="0"/>
    <x v="12"/>
    <x v="17"/>
    <x v="38"/>
    <x v="47"/>
    <x v="1"/>
    <n v="27.338539363999999"/>
  </r>
  <r>
    <x v="0"/>
    <x v="12"/>
    <x v="17"/>
    <x v="38"/>
    <x v="48"/>
    <x v="1"/>
    <n v="27.338539363999999"/>
  </r>
  <r>
    <x v="0"/>
    <x v="12"/>
    <x v="17"/>
    <x v="38"/>
    <x v="49"/>
    <x v="1"/>
    <n v="0"/>
  </r>
  <r>
    <x v="0"/>
    <x v="12"/>
    <x v="17"/>
    <x v="38"/>
    <x v="50"/>
    <x v="1"/>
    <n v="0"/>
  </r>
  <r>
    <x v="0"/>
    <x v="12"/>
    <x v="17"/>
    <x v="38"/>
    <x v="51"/>
    <x v="1"/>
    <n v="0"/>
  </r>
  <r>
    <x v="0"/>
    <x v="12"/>
    <x v="17"/>
    <x v="38"/>
    <x v="52"/>
    <x v="1"/>
    <n v="0"/>
  </r>
  <r>
    <x v="0"/>
    <x v="12"/>
    <x v="17"/>
    <x v="38"/>
    <x v="53"/>
    <x v="1"/>
    <n v="0"/>
  </r>
  <r>
    <x v="0"/>
    <x v="12"/>
    <x v="17"/>
    <x v="38"/>
    <x v="54"/>
    <x v="1"/>
    <n v="0"/>
  </r>
  <r>
    <x v="0"/>
    <x v="12"/>
    <x v="17"/>
    <x v="38"/>
    <x v="55"/>
    <x v="1"/>
    <n v="0"/>
  </r>
  <r>
    <x v="0"/>
    <x v="12"/>
    <x v="17"/>
    <x v="39"/>
    <x v="46"/>
    <x v="1"/>
    <n v="11.257709440999999"/>
  </r>
  <r>
    <x v="0"/>
    <x v="12"/>
    <x v="17"/>
    <x v="39"/>
    <x v="47"/>
    <x v="1"/>
    <n v="11.257709440999999"/>
  </r>
  <r>
    <x v="0"/>
    <x v="12"/>
    <x v="17"/>
    <x v="39"/>
    <x v="48"/>
    <x v="1"/>
    <n v="11.257709440999999"/>
  </r>
  <r>
    <x v="0"/>
    <x v="12"/>
    <x v="17"/>
    <x v="39"/>
    <x v="49"/>
    <x v="1"/>
    <n v="0"/>
  </r>
  <r>
    <x v="0"/>
    <x v="12"/>
    <x v="17"/>
    <x v="39"/>
    <x v="50"/>
    <x v="1"/>
    <n v="0"/>
  </r>
  <r>
    <x v="0"/>
    <x v="12"/>
    <x v="17"/>
    <x v="39"/>
    <x v="51"/>
    <x v="1"/>
    <n v="0"/>
  </r>
  <r>
    <x v="0"/>
    <x v="12"/>
    <x v="17"/>
    <x v="39"/>
    <x v="52"/>
    <x v="1"/>
    <n v="0"/>
  </r>
  <r>
    <x v="0"/>
    <x v="12"/>
    <x v="17"/>
    <x v="39"/>
    <x v="53"/>
    <x v="1"/>
    <n v="0"/>
  </r>
  <r>
    <x v="0"/>
    <x v="12"/>
    <x v="17"/>
    <x v="39"/>
    <x v="54"/>
    <x v="1"/>
    <n v="0"/>
  </r>
  <r>
    <x v="0"/>
    <x v="12"/>
    <x v="17"/>
    <x v="39"/>
    <x v="55"/>
    <x v="1"/>
    <n v="0"/>
  </r>
  <r>
    <x v="0"/>
    <x v="12"/>
    <x v="17"/>
    <x v="40"/>
    <x v="46"/>
    <x v="1"/>
    <n v="3.4295115699999998"/>
  </r>
  <r>
    <x v="0"/>
    <x v="12"/>
    <x v="17"/>
    <x v="40"/>
    <x v="47"/>
    <x v="1"/>
    <n v="3.4295115699999998"/>
  </r>
  <r>
    <x v="0"/>
    <x v="12"/>
    <x v="17"/>
    <x v="40"/>
    <x v="48"/>
    <x v="1"/>
    <n v="3.4295115699999998"/>
  </r>
  <r>
    <x v="0"/>
    <x v="12"/>
    <x v="17"/>
    <x v="40"/>
    <x v="49"/>
    <x v="1"/>
    <n v="0"/>
  </r>
  <r>
    <x v="0"/>
    <x v="12"/>
    <x v="17"/>
    <x v="40"/>
    <x v="50"/>
    <x v="1"/>
    <n v="0"/>
  </r>
  <r>
    <x v="0"/>
    <x v="12"/>
    <x v="17"/>
    <x v="40"/>
    <x v="51"/>
    <x v="1"/>
    <n v="0"/>
  </r>
  <r>
    <x v="0"/>
    <x v="12"/>
    <x v="17"/>
    <x v="40"/>
    <x v="52"/>
    <x v="1"/>
    <n v="0"/>
  </r>
  <r>
    <x v="0"/>
    <x v="12"/>
    <x v="17"/>
    <x v="40"/>
    <x v="53"/>
    <x v="1"/>
    <n v="0"/>
  </r>
  <r>
    <x v="0"/>
    <x v="12"/>
    <x v="17"/>
    <x v="40"/>
    <x v="54"/>
    <x v="1"/>
    <n v="0"/>
  </r>
  <r>
    <x v="0"/>
    <x v="12"/>
    <x v="17"/>
    <x v="40"/>
    <x v="55"/>
    <x v="1"/>
    <n v="0"/>
  </r>
  <r>
    <x v="0"/>
    <x v="12"/>
    <x v="17"/>
    <x v="41"/>
    <x v="46"/>
    <x v="1"/>
    <n v="56.217080686000003"/>
  </r>
  <r>
    <x v="0"/>
    <x v="12"/>
    <x v="17"/>
    <x v="41"/>
    <x v="47"/>
    <x v="1"/>
    <n v="56.217080686000003"/>
  </r>
  <r>
    <x v="0"/>
    <x v="12"/>
    <x v="17"/>
    <x v="41"/>
    <x v="48"/>
    <x v="1"/>
    <n v="56.217080686000003"/>
  </r>
  <r>
    <x v="0"/>
    <x v="12"/>
    <x v="17"/>
    <x v="41"/>
    <x v="49"/>
    <x v="1"/>
    <n v="0"/>
  </r>
  <r>
    <x v="0"/>
    <x v="12"/>
    <x v="17"/>
    <x v="41"/>
    <x v="50"/>
    <x v="1"/>
    <n v="0"/>
  </r>
  <r>
    <x v="0"/>
    <x v="12"/>
    <x v="17"/>
    <x v="41"/>
    <x v="51"/>
    <x v="1"/>
    <n v="0"/>
  </r>
  <r>
    <x v="0"/>
    <x v="12"/>
    <x v="17"/>
    <x v="41"/>
    <x v="52"/>
    <x v="1"/>
    <n v="0"/>
  </r>
  <r>
    <x v="0"/>
    <x v="12"/>
    <x v="17"/>
    <x v="41"/>
    <x v="53"/>
    <x v="1"/>
    <n v="0"/>
  </r>
  <r>
    <x v="0"/>
    <x v="12"/>
    <x v="17"/>
    <x v="41"/>
    <x v="54"/>
    <x v="1"/>
    <n v="0"/>
  </r>
  <r>
    <x v="0"/>
    <x v="12"/>
    <x v="17"/>
    <x v="41"/>
    <x v="55"/>
    <x v="1"/>
    <n v="0"/>
  </r>
  <r>
    <x v="0"/>
    <x v="12"/>
    <x v="18"/>
    <x v="42"/>
    <x v="46"/>
    <x v="1"/>
    <n v="24.680787420000001"/>
  </r>
  <r>
    <x v="0"/>
    <x v="12"/>
    <x v="18"/>
    <x v="42"/>
    <x v="47"/>
    <x v="1"/>
    <n v="24.680787420000001"/>
  </r>
  <r>
    <x v="0"/>
    <x v="12"/>
    <x v="18"/>
    <x v="42"/>
    <x v="48"/>
    <x v="1"/>
    <n v="24.680787420000001"/>
  </r>
  <r>
    <x v="0"/>
    <x v="12"/>
    <x v="18"/>
    <x v="42"/>
    <x v="49"/>
    <x v="1"/>
    <n v="0"/>
  </r>
  <r>
    <x v="0"/>
    <x v="12"/>
    <x v="18"/>
    <x v="42"/>
    <x v="50"/>
    <x v="1"/>
    <n v="0"/>
  </r>
  <r>
    <x v="0"/>
    <x v="12"/>
    <x v="18"/>
    <x v="42"/>
    <x v="51"/>
    <x v="1"/>
    <n v="0"/>
  </r>
  <r>
    <x v="0"/>
    <x v="12"/>
    <x v="18"/>
    <x v="42"/>
    <x v="52"/>
    <x v="1"/>
    <n v="0"/>
  </r>
  <r>
    <x v="0"/>
    <x v="12"/>
    <x v="18"/>
    <x v="42"/>
    <x v="53"/>
    <x v="1"/>
    <n v="0"/>
  </r>
  <r>
    <x v="0"/>
    <x v="12"/>
    <x v="18"/>
    <x v="42"/>
    <x v="54"/>
    <x v="1"/>
    <n v="0"/>
  </r>
  <r>
    <x v="0"/>
    <x v="12"/>
    <x v="18"/>
    <x v="42"/>
    <x v="55"/>
    <x v="1"/>
    <n v="0"/>
  </r>
  <r>
    <x v="0"/>
    <x v="12"/>
    <x v="18"/>
    <x v="43"/>
    <x v="46"/>
    <x v="1"/>
    <n v="51.643695508999997"/>
  </r>
  <r>
    <x v="0"/>
    <x v="12"/>
    <x v="18"/>
    <x v="43"/>
    <x v="47"/>
    <x v="1"/>
    <n v="51.643695508999997"/>
  </r>
  <r>
    <x v="0"/>
    <x v="12"/>
    <x v="18"/>
    <x v="43"/>
    <x v="48"/>
    <x v="1"/>
    <n v="51.643695508999997"/>
  </r>
  <r>
    <x v="0"/>
    <x v="12"/>
    <x v="18"/>
    <x v="43"/>
    <x v="49"/>
    <x v="1"/>
    <n v="0"/>
  </r>
  <r>
    <x v="0"/>
    <x v="12"/>
    <x v="18"/>
    <x v="43"/>
    <x v="50"/>
    <x v="1"/>
    <n v="0"/>
  </r>
  <r>
    <x v="0"/>
    <x v="12"/>
    <x v="18"/>
    <x v="43"/>
    <x v="51"/>
    <x v="1"/>
    <n v="0"/>
  </r>
  <r>
    <x v="0"/>
    <x v="12"/>
    <x v="18"/>
    <x v="43"/>
    <x v="52"/>
    <x v="1"/>
    <n v="0"/>
  </r>
  <r>
    <x v="0"/>
    <x v="12"/>
    <x v="18"/>
    <x v="43"/>
    <x v="53"/>
    <x v="1"/>
    <n v="0"/>
  </r>
  <r>
    <x v="0"/>
    <x v="12"/>
    <x v="18"/>
    <x v="43"/>
    <x v="54"/>
    <x v="1"/>
    <n v="0"/>
  </r>
  <r>
    <x v="0"/>
    <x v="12"/>
    <x v="18"/>
    <x v="43"/>
    <x v="55"/>
    <x v="1"/>
    <n v="0"/>
  </r>
  <r>
    <x v="0"/>
    <x v="12"/>
    <x v="19"/>
    <x v="44"/>
    <x v="46"/>
    <x v="5"/>
    <n v="729.796103195"/>
  </r>
  <r>
    <x v="0"/>
    <x v="12"/>
    <x v="19"/>
    <x v="44"/>
    <x v="47"/>
    <x v="5"/>
    <n v="729.796103195"/>
  </r>
  <r>
    <x v="0"/>
    <x v="12"/>
    <x v="19"/>
    <x v="44"/>
    <x v="48"/>
    <x v="5"/>
    <n v="729.796103195"/>
  </r>
  <r>
    <x v="0"/>
    <x v="12"/>
    <x v="19"/>
    <x v="44"/>
    <x v="49"/>
    <x v="5"/>
    <n v="0"/>
  </r>
  <r>
    <x v="0"/>
    <x v="12"/>
    <x v="19"/>
    <x v="44"/>
    <x v="50"/>
    <x v="5"/>
    <n v="0"/>
  </r>
  <r>
    <x v="0"/>
    <x v="12"/>
    <x v="19"/>
    <x v="44"/>
    <x v="51"/>
    <x v="5"/>
    <n v="0"/>
  </r>
  <r>
    <x v="0"/>
    <x v="12"/>
    <x v="19"/>
    <x v="44"/>
    <x v="52"/>
    <x v="5"/>
    <n v="0"/>
  </r>
  <r>
    <x v="0"/>
    <x v="12"/>
    <x v="19"/>
    <x v="44"/>
    <x v="53"/>
    <x v="5"/>
    <n v="0"/>
  </r>
  <r>
    <x v="0"/>
    <x v="12"/>
    <x v="19"/>
    <x v="44"/>
    <x v="54"/>
    <x v="5"/>
    <n v="0"/>
  </r>
  <r>
    <x v="0"/>
    <x v="12"/>
    <x v="19"/>
    <x v="44"/>
    <x v="55"/>
    <x v="5"/>
    <n v="0"/>
  </r>
  <r>
    <x v="0"/>
    <x v="12"/>
    <x v="20"/>
    <x v="44"/>
    <x v="0"/>
    <x v="6"/>
    <n v="287.41544528499998"/>
  </r>
  <r>
    <x v="0"/>
    <x v="12"/>
    <x v="21"/>
    <x v="44"/>
    <x v="0"/>
    <x v="6"/>
    <n v="4142.1810108959999"/>
  </r>
  <r>
    <x v="0"/>
    <x v="12"/>
    <x v="22"/>
    <x v="44"/>
    <x v="0"/>
    <x v="5"/>
    <n v="6.9387465999999995E-2"/>
  </r>
  <r>
    <x v="0"/>
    <x v="12"/>
    <x v="23"/>
    <x v="44"/>
    <x v="0"/>
    <x v="5"/>
    <n v="879.66794816799995"/>
  </r>
  <r>
    <x v="0"/>
    <x v="12"/>
    <x v="24"/>
    <x v="44"/>
    <x v="0"/>
    <x v="6"/>
    <n v="1528.6484328060001"/>
  </r>
  <r>
    <x v="0"/>
    <x v="12"/>
    <x v="25"/>
    <x v="45"/>
    <x v="0"/>
    <x v="6"/>
    <n v="1873.7562688789999"/>
  </r>
  <r>
    <x v="0"/>
    <x v="12"/>
    <x v="26"/>
    <x v="44"/>
    <x v="0"/>
    <x v="6"/>
    <n v="1273.0282685269999"/>
  </r>
  <r>
    <x v="0"/>
    <x v="12"/>
    <x v="27"/>
    <x v="44"/>
    <x v="0"/>
    <x v="6"/>
    <n v="780.43026080899995"/>
  </r>
  <r>
    <x v="0"/>
    <x v="12"/>
    <x v="28"/>
    <x v="44"/>
    <x v="0"/>
    <x v="6"/>
    <n v="1313.682220125"/>
  </r>
  <r>
    <x v="0"/>
    <x v="12"/>
    <x v="29"/>
    <x v="44"/>
    <x v="0"/>
    <x v="6"/>
    <n v="5.9971002860000002"/>
  </r>
  <r>
    <x v="0"/>
    <x v="12"/>
    <x v="30"/>
    <x v="44"/>
    <x v="0"/>
    <x v="6"/>
    <n v="259.25124816800002"/>
  </r>
  <r>
    <x v="0"/>
    <x v="12"/>
    <x v="31"/>
    <x v="44"/>
    <x v="0"/>
    <x v="6"/>
    <n v="11859.678323275"/>
  </r>
  <r>
    <x v="0"/>
    <x v="12"/>
    <x v="32"/>
    <x v="44"/>
    <x v="0"/>
    <x v="5"/>
    <n v="2.1859889E-2"/>
  </r>
  <r>
    <x v="0"/>
    <x v="12"/>
    <x v="33"/>
    <x v="44"/>
    <x v="0"/>
    <x v="5"/>
    <n v="2.3108E-5"/>
  </r>
  <r>
    <x v="0"/>
    <x v="12"/>
    <x v="34"/>
    <x v="44"/>
    <x v="0"/>
    <x v="5"/>
    <n v="1"/>
  </r>
  <r>
    <x v="0"/>
    <x v="12"/>
    <x v="35"/>
    <x v="44"/>
    <x v="0"/>
    <x v="5"/>
    <n v="1.075"/>
  </r>
  <r>
    <x v="0"/>
    <x v="12"/>
    <x v="36"/>
    <x v="44"/>
    <x v="0"/>
    <x v="5"/>
    <n v="2.5700306999999999E-2"/>
  </r>
  <r>
    <x v="0"/>
    <x v="12"/>
    <x v="37"/>
    <x v="45"/>
    <x v="0"/>
    <x v="6"/>
    <n v="0"/>
  </r>
  <r>
    <x v="0"/>
    <x v="12"/>
    <x v="38"/>
    <x v="45"/>
    <x v="0"/>
    <x v="6"/>
    <n v="0"/>
  </r>
  <r>
    <x v="0"/>
    <x v="12"/>
    <x v="39"/>
    <x v="45"/>
    <x v="0"/>
    <x v="6"/>
    <n v="1"/>
  </r>
  <r>
    <x v="0"/>
    <x v="12"/>
    <x v="40"/>
    <x v="45"/>
    <x v="0"/>
    <x v="6"/>
    <n v="188.46570329400001"/>
  </r>
  <r>
    <x v="0"/>
    <x v="12"/>
    <x v="41"/>
    <x v="45"/>
    <x v="0"/>
    <x v="6"/>
    <n v="173.263820192"/>
  </r>
  <r>
    <x v="0"/>
    <x v="12"/>
    <x v="42"/>
    <x v="45"/>
    <x v="0"/>
    <x v="6"/>
    <n v="15.201883102"/>
  </r>
  <r>
    <x v="0"/>
    <x v="12"/>
    <x v="43"/>
    <x v="45"/>
    <x v="0"/>
    <x v="6"/>
    <n v="293.35566010000002"/>
  </r>
  <r>
    <x v="0"/>
    <x v="12"/>
    <x v="44"/>
    <x v="45"/>
    <x v="0"/>
    <x v="6"/>
    <n v="0"/>
  </r>
  <r>
    <x v="0"/>
    <x v="12"/>
    <x v="45"/>
    <x v="44"/>
    <x v="0"/>
    <x v="5"/>
    <n v="5.1820656999999999E-2"/>
  </r>
  <r>
    <x v="0"/>
    <x v="12"/>
    <x v="46"/>
    <x v="45"/>
    <x v="0"/>
    <x v="5"/>
    <n v="4.4066403750000003"/>
  </r>
  <r>
    <x v="0"/>
    <x v="12"/>
    <x v="47"/>
    <x v="46"/>
    <x v="0"/>
    <x v="6"/>
    <n v="0.46235161699999999"/>
  </r>
  <r>
    <x v="0"/>
    <x v="12"/>
    <x v="48"/>
    <x v="47"/>
    <x v="0"/>
    <x v="6"/>
    <n v="0"/>
  </r>
  <r>
    <x v="0"/>
    <x v="12"/>
    <x v="49"/>
    <x v="47"/>
    <x v="0"/>
    <x v="6"/>
    <n v="0"/>
  </r>
  <r>
    <x v="0"/>
    <x v="12"/>
    <x v="50"/>
    <x v="48"/>
    <x v="0"/>
    <x v="7"/>
    <n v="133.69411933800001"/>
  </r>
  <r>
    <x v="0"/>
    <x v="12"/>
    <x v="50"/>
    <x v="49"/>
    <x v="0"/>
    <x v="7"/>
    <n v="125.094777213"/>
  </r>
  <r>
    <x v="0"/>
    <x v="12"/>
    <x v="51"/>
    <x v="42"/>
    <x v="0"/>
    <x v="4"/>
    <n v="63.658386728000004"/>
  </r>
  <r>
    <x v="0"/>
    <x v="12"/>
    <x v="51"/>
    <x v="43"/>
    <x v="0"/>
    <x v="4"/>
    <n v="211.84118739199999"/>
  </r>
  <r>
    <x v="0"/>
    <x v="12"/>
    <x v="52"/>
    <x v="42"/>
    <x v="0"/>
    <x v="4"/>
    <n v="34.831905083000002"/>
  </r>
  <r>
    <x v="0"/>
    <x v="12"/>
    <x v="52"/>
    <x v="43"/>
    <x v="0"/>
    <x v="4"/>
    <n v="67.720239665999998"/>
  </r>
  <r>
    <x v="0"/>
    <x v="12"/>
    <x v="53"/>
    <x v="42"/>
    <x v="0"/>
    <x v="4"/>
    <n v="10.151117663000001"/>
  </r>
  <r>
    <x v="0"/>
    <x v="12"/>
    <x v="53"/>
    <x v="43"/>
    <x v="0"/>
    <x v="4"/>
    <n v="16.076544156000001"/>
  </r>
  <r>
    <x v="0"/>
    <x v="12"/>
    <x v="54"/>
    <x v="42"/>
    <x v="56"/>
    <x v="4"/>
    <n v="23.890326038000001"/>
  </r>
  <r>
    <x v="0"/>
    <x v="12"/>
    <x v="54"/>
    <x v="43"/>
    <x v="56"/>
    <x v="4"/>
    <n v="136.37438726900001"/>
  </r>
  <r>
    <x v="0"/>
    <x v="12"/>
    <x v="55"/>
    <x v="42"/>
    <x v="0"/>
    <x v="4"/>
    <n v="6.3637915000000003E-2"/>
  </r>
  <r>
    <x v="0"/>
    <x v="12"/>
    <x v="55"/>
    <x v="43"/>
    <x v="0"/>
    <x v="4"/>
    <n v="5.8889377E-2"/>
  </r>
  <r>
    <x v="0"/>
    <x v="12"/>
    <x v="56"/>
    <x v="42"/>
    <x v="0"/>
    <x v="4"/>
    <n v="8.1117887E-2"/>
  </r>
  <r>
    <x v="0"/>
    <x v="12"/>
    <x v="56"/>
    <x v="43"/>
    <x v="0"/>
    <x v="4"/>
    <n v="7.8313648999999999E-2"/>
  </r>
  <r>
    <x v="0"/>
    <x v="12"/>
    <x v="57"/>
    <x v="42"/>
    <x v="0"/>
    <x v="4"/>
    <n v="4.1369264000000003E-2"/>
  </r>
  <r>
    <x v="0"/>
    <x v="12"/>
    <x v="57"/>
    <x v="43"/>
    <x v="0"/>
    <x v="4"/>
    <n v="3.8935516000000003E-2"/>
  </r>
  <r>
    <x v="0"/>
    <x v="12"/>
    <x v="58"/>
    <x v="44"/>
    <x v="57"/>
    <x v="5"/>
    <n v="3.9934797000000001E-2"/>
  </r>
  <r>
    <x v="0"/>
    <x v="12"/>
    <x v="59"/>
    <x v="44"/>
    <x v="57"/>
    <x v="6"/>
    <n v="704.06799999999998"/>
  </r>
  <r>
    <x v="0"/>
    <x v="12"/>
    <x v="60"/>
    <x v="0"/>
    <x v="57"/>
    <x v="8"/>
    <n v="225.76065378000001"/>
  </r>
  <r>
    <x v="0"/>
    <x v="12"/>
    <x v="60"/>
    <x v="1"/>
    <x v="57"/>
    <x v="8"/>
    <n v="26.441436266"/>
  </r>
  <r>
    <x v="0"/>
    <x v="12"/>
    <x v="60"/>
    <x v="2"/>
    <x v="57"/>
    <x v="8"/>
    <n v="87.262306839999994"/>
  </r>
  <r>
    <x v="0"/>
    <x v="12"/>
    <x v="60"/>
    <x v="3"/>
    <x v="57"/>
    <x v="8"/>
    <n v="60.927147677999997"/>
  </r>
  <r>
    <x v="0"/>
    <x v="12"/>
    <x v="60"/>
    <x v="4"/>
    <x v="57"/>
    <x v="8"/>
    <n v="4.5829382799999996"/>
  </r>
  <r>
    <x v="0"/>
    <x v="12"/>
    <x v="60"/>
    <x v="5"/>
    <x v="57"/>
    <x v="8"/>
    <n v="92.523660649999997"/>
  </r>
  <r>
    <x v="0"/>
    <x v="12"/>
    <x v="60"/>
    <x v="6"/>
    <x v="57"/>
    <x v="8"/>
    <n v="14.064778985"/>
  </r>
  <r>
    <x v="0"/>
    <x v="12"/>
    <x v="60"/>
    <x v="7"/>
    <x v="57"/>
    <x v="8"/>
    <n v="22.766130081"/>
  </r>
  <r>
    <x v="0"/>
    <x v="12"/>
    <x v="60"/>
    <x v="8"/>
    <x v="57"/>
    <x v="8"/>
    <n v="6.2324046050000002"/>
  </r>
  <r>
    <x v="0"/>
    <x v="12"/>
    <x v="60"/>
    <x v="9"/>
    <x v="57"/>
    <x v="8"/>
    <n v="22.546095922999999"/>
  </r>
  <r>
    <x v="0"/>
    <x v="12"/>
    <x v="60"/>
    <x v="10"/>
    <x v="57"/>
    <x v="8"/>
    <n v="20.792335392999998"/>
  </r>
  <r>
    <x v="0"/>
    <x v="12"/>
    <x v="60"/>
    <x v="11"/>
    <x v="57"/>
    <x v="8"/>
    <n v="120.639472103"/>
  </r>
  <r>
    <x v="0"/>
    <x v="12"/>
    <x v="60"/>
    <x v="12"/>
    <x v="57"/>
    <x v="8"/>
    <n v="4.6374416050000002"/>
  </r>
  <r>
    <x v="0"/>
    <x v="12"/>
    <x v="60"/>
    <x v="13"/>
    <x v="57"/>
    <x v="8"/>
    <n v="45.780021855999998"/>
  </r>
  <r>
    <x v="0"/>
    <x v="12"/>
    <x v="60"/>
    <x v="14"/>
    <x v="57"/>
    <x v="8"/>
    <n v="6.0434257730000001"/>
  </r>
  <r>
    <x v="0"/>
    <x v="12"/>
    <x v="60"/>
    <x v="15"/>
    <x v="57"/>
    <x v="8"/>
    <n v="40.824905444999999"/>
  </r>
  <r>
    <x v="0"/>
    <x v="12"/>
    <x v="60"/>
    <x v="16"/>
    <x v="57"/>
    <x v="8"/>
    <n v="34.999787486999999"/>
  </r>
  <r>
    <x v="0"/>
    <x v="12"/>
    <x v="60"/>
    <x v="17"/>
    <x v="57"/>
    <x v="8"/>
    <n v="57.416641177000002"/>
  </r>
  <r>
    <x v="0"/>
    <x v="12"/>
    <x v="60"/>
    <x v="18"/>
    <x v="57"/>
    <x v="8"/>
    <n v="30.632071744000001"/>
  </r>
  <r>
    <x v="0"/>
    <x v="12"/>
    <x v="60"/>
    <x v="19"/>
    <x v="57"/>
    <x v="8"/>
    <n v="183.47559398300001"/>
  </r>
  <r>
    <x v="0"/>
    <x v="12"/>
    <x v="60"/>
    <x v="20"/>
    <x v="57"/>
    <x v="8"/>
    <n v="27.764210308999999"/>
  </r>
  <r>
    <x v="0"/>
    <x v="12"/>
    <x v="60"/>
    <x v="21"/>
    <x v="57"/>
    <x v="8"/>
    <n v="0.536599928"/>
  </r>
  <r>
    <x v="0"/>
    <x v="12"/>
    <x v="60"/>
    <x v="22"/>
    <x v="57"/>
    <x v="8"/>
    <n v="1.1731563389999999"/>
  </r>
  <r>
    <x v="0"/>
    <x v="12"/>
    <x v="60"/>
    <x v="23"/>
    <x v="57"/>
    <x v="8"/>
    <n v="0"/>
  </r>
  <r>
    <x v="0"/>
    <x v="12"/>
    <x v="60"/>
    <x v="24"/>
    <x v="57"/>
    <x v="8"/>
    <n v="0.179283106"/>
  </r>
  <r>
    <x v="0"/>
    <x v="12"/>
    <x v="60"/>
    <x v="25"/>
    <x v="57"/>
    <x v="8"/>
    <n v="-5.7000000000000001E-8"/>
  </r>
  <r>
    <x v="0"/>
    <x v="12"/>
    <x v="60"/>
    <x v="26"/>
    <x v="57"/>
    <x v="8"/>
    <n v="0"/>
  </r>
  <r>
    <x v="0"/>
    <x v="12"/>
    <x v="60"/>
    <x v="27"/>
    <x v="57"/>
    <x v="8"/>
    <n v="2.8647991199999998"/>
  </r>
  <r>
    <x v="0"/>
    <x v="12"/>
    <x v="60"/>
    <x v="28"/>
    <x v="57"/>
    <x v="8"/>
    <n v="0"/>
  </r>
  <r>
    <x v="0"/>
    <x v="12"/>
    <x v="60"/>
    <x v="29"/>
    <x v="57"/>
    <x v="8"/>
    <n v="37.052626986"/>
  </r>
  <r>
    <x v="0"/>
    <x v="12"/>
    <x v="60"/>
    <x v="30"/>
    <x v="57"/>
    <x v="8"/>
    <n v="24.341964318999999"/>
  </r>
  <r>
    <x v="0"/>
    <x v="12"/>
    <x v="60"/>
    <x v="31"/>
    <x v="57"/>
    <x v="8"/>
    <n v="5.4622295510000001"/>
  </r>
  <r>
    <x v="0"/>
    <x v="12"/>
    <x v="60"/>
    <x v="32"/>
    <x v="57"/>
    <x v="8"/>
    <n v="3.3073730170000002"/>
  </r>
  <r>
    <x v="0"/>
    <x v="12"/>
    <x v="60"/>
    <x v="33"/>
    <x v="57"/>
    <x v="8"/>
    <n v="0"/>
  </r>
  <r>
    <x v="0"/>
    <x v="12"/>
    <x v="60"/>
    <x v="34"/>
    <x v="57"/>
    <x v="8"/>
    <n v="38.085318020999999"/>
  </r>
  <r>
    <x v="0"/>
    <x v="12"/>
    <x v="60"/>
    <x v="35"/>
    <x v="57"/>
    <x v="8"/>
    <n v="4.035884716"/>
  </r>
  <r>
    <x v="0"/>
    <x v="12"/>
    <x v="60"/>
    <x v="36"/>
    <x v="57"/>
    <x v="8"/>
    <n v="8.9887813340000005"/>
  </r>
  <r>
    <x v="0"/>
    <x v="12"/>
    <x v="60"/>
    <x v="37"/>
    <x v="57"/>
    <x v="8"/>
    <n v="2.2543312919999998"/>
  </r>
  <r>
    <x v="0"/>
    <x v="12"/>
    <x v="60"/>
    <x v="38"/>
    <x v="57"/>
    <x v="8"/>
    <n v="12.048274341000001"/>
  </r>
  <r>
    <x v="0"/>
    <x v="12"/>
    <x v="60"/>
    <x v="39"/>
    <x v="57"/>
    <x v="8"/>
    <n v="3.6491250079999999"/>
  </r>
  <r>
    <x v="0"/>
    <x v="12"/>
    <x v="60"/>
    <x v="40"/>
    <x v="57"/>
    <x v="8"/>
    <n v="24.808202804"/>
  </r>
  <r>
    <x v="0"/>
    <x v="12"/>
    <x v="60"/>
    <x v="41"/>
    <x v="57"/>
    <x v="8"/>
    <n v="8.7808103370000001"/>
  </r>
  <r>
    <x v="0"/>
    <x v="12"/>
    <x v="61"/>
    <x v="0"/>
    <x v="57"/>
    <x v="8"/>
    <n v="1.3671466750000001"/>
  </r>
  <r>
    <x v="0"/>
    <x v="12"/>
    <x v="61"/>
    <x v="1"/>
    <x v="57"/>
    <x v="8"/>
    <n v="0.47365990200000002"/>
  </r>
  <r>
    <x v="0"/>
    <x v="12"/>
    <x v="61"/>
    <x v="2"/>
    <x v="57"/>
    <x v="8"/>
    <n v="2.953621354"/>
  </r>
  <r>
    <x v="0"/>
    <x v="12"/>
    <x v="61"/>
    <x v="3"/>
    <x v="57"/>
    <x v="8"/>
    <n v="0.42904060799999999"/>
  </r>
  <r>
    <x v="0"/>
    <x v="12"/>
    <x v="61"/>
    <x v="4"/>
    <x v="57"/>
    <x v="8"/>
    <n v="0.79216024600000001"/>
  </r>
  <r>
    <x v="0"/>
    <x v="12"/>
    <x v="61"/>
    <x v="5"/>
    <x v="57"/>
    <x v="8"/>
    <n v="8.9781972339999996"/>
  </r>
  <r>
    <x v="0"/>
    <x v="12"/>
    <x v="61"/>
    <x v="6"/>
    <x v="57"/>
    <x v="8"/>
    <n v="17.278451523000001"/>
  </r>
  <r>
    <x v="0"/>
    <x v="12"/>
    <x v="61"/>
    <x v="7"/>
    <x v="57"/>
    <x v="8"/>
    <n v="35.114505072"/>
  </r>
  <r>
    <x v="0"/>
    <x v="12"/>
    <x v="61"/>
    <x v="8"/>
    <x v="57"/>
    <x v="8"/>
    <n v="13.415965085"/>
  </r>
  <r>
    <x v="0"/>
    <x v="12"/>
    <x v="61"/>
    <x v="9"/>
    <x v="57"/>
    <x v="8"/>
    <n v="31.261400936000001"/>
  </r>
  <r>
    <x v="0"/>
    <x v="12"/>
    <x v="61"/>
    <x v="10"/>
    <x v="57"/>
    <x v="8"/>
    <n v="12.343333017999999"/>
  </r>
  <r>
    <x v="0"/>
    <x v="12"/>
    <x v="61"/>
    <x v="11"/>
    <x v="57"/>
    <x v="8"/>
    <n v="67.071953686000001"/>
  </r>
  <r>
    <x v="0"/>
    <x v="12"/>
    <x v="61"/>
    <x v="12"/>
    <x v="57"/>
    <x v="8"/>
    <n v="14.939648451"/>
  </r>
  <r>
    <x v="0"/>
    <x v="12"/>
    <x v="61"/>
    <x v="13"/>
    <x v="57"/>
    <x v="8"/>
    <n v="38.092531457"/>
  </r>
  <r>
    <x v="0"/>
    <x v="12"/>
    <x v="61"/>
    <x v="14"/>
    <x v="57"/>
    <x v="8"/>
    <n v="28.334814157"/>
  </r>
  <r>
    <x v="0"/>
    <x v="12"/>
    <x v="61"/>
    <x v="15"/>
    <x v="57"/>
    <x v="8"/>
    <n v="38.162082099000003"/>
  </r>
  <r>
    <x v="0"/>
    <x v="12"/>
    <x v="61"/>
    <x v="16"/>
    <x v="57"/>
    <x v="8"/>
    <n v="17.855218301000001"/>
  </r>
  <r>
    <x v="0"/>
    <x v="12"/>
    <x v="61"/>
    <x v="17"/>
    <x v="57"/>
    <x v="8"/>
    <n v="30.136630188000002"/>
  </r>
  <r>
    <x v="0"/>
    <x v="12"/>
    <x v="61"/>
    <x v="18"/>
    <x v="57"/>
    <x v="8"/>
    <n v="68.318929291000003"/>
  </r>
  <r>
    <x v="0"/>
    <x v="12"/>
    <x v="61"/>
    <x v="19"/>
    <x v="57"/>
    <x v="8"/>
    <n v="157.36501751599999"/>
  </r>
  <r>
    <x v="0"/>
    <x v="12"/>
    <x v="61"/>
    <x v="20"/>
    <x v="57"/>
    <x v="8"/>
    <n v="11.686381404"/>
  </r>
  <r>
    <x v="0"/>
    <x v="12"/>
    <x v="61"/>
    <x v="21"/>
    <x v="57"/>
    <x v="8"/>
    <n v="2.4830687810000001"/>
  </r>
  <r>
    <x v="0"/>
    <x v="12"/>
    <x v="61"/>
    <x v="22"/>
    <x v="57"/>
    <x v="8"/>
    <n v="5.5579142499999996"/>
  </r>
  <r>
    <x v="0"/>
    <x v="12"/>
    <x v="61"/>
    <x v="23"/>
    <x v="57"/>
    <x v="8"/>
    <n v="0"/>
  </r>
  <r>
    <x v="0"/>
    <x v="12"/>
    <x v="61"/>
    <x v="24"/>
    <x v="57"/>
    <x v="8"/>
    <n v="0.65487816700000001"/>
  </r>
  <r>
    <x v="0"/>
    <x v="12"/>
    <x v="61"/>
    <x v="25"/>
    <x v="57"/>
    <x v="8"/>
    <n v="0"/>
  </r>
  <r>
    <x v="0"/>
    <x v="12"/>
    <x v="61"/>
    <x v="26"/>
    <x v="57"/>
    <x v="8"/>
    <n v="0"/>
  </r>
  <r>
    <x v="0"/>
    <x v="12"/>
    <x v="61"/>
    <x v="27"/>
    <x v="57"/>
    <x v="8"/>
    <n v="2.8876765419999999"/>
  </r>
  <r>
    <x v="0"/>
    <x v="12"/>
    <x v="61"/>
    <x v="28"/>
    <x v="57"/>
    <x v="8"/>
    <n v="90.014675831999995"/>
  </r>
  <r>
    <x v="0"/>
    <x v="12"/>
    <x v="61"/>
    <x v="29"/>
    <x v="57"/>
    <x v="8"/>
    <n v="38.032097094999997"/>
  </r>
  <r>
    <x v="0"/>
    <x v="12"/>
    <x v="61"/>
    <x v="30"/>
    <x v="57"/>
    <x v="8"/>
    <n v="1.45829261"/>
  </r>
  <r>
    <x v="0"/>
    <x v="12"/>
    <x v="61"/>
    <x v="31"/>
    <x v="57"/>
    <x v="8"/>
    <n v="9.8055953660000004"/>
  </r>
  <r>
    <x v="0"/>
    <x v="12"/>
    <x v="61"/>
    <x v="32"/>
    <x v="57"/>
    <x v="8"/>
    <n v="4.3398993890000002"/>
  </r>
  <r>
    <x v="0"/>
    <x v="12"/>
    <x v="61"/>
    <x v="33"/>
    <x v="57"/>
    <x v="8"/>
    <n v="0"/>
  </r>
  <r>
    <x v="0"/>
    <x v="12"/>
    <x v="61"/>
    <x v="34"/>
    <x v="57"/>
    <x v="8"/>
    <n v="24.733286670999998"/>
  </r>
  <r>
    <x v="0"/>
    <x v="12"/>
    <x v="61"/>
    <x v="35"/>
    <x v="57"/>
    <x v="8"/>
    <n v="0.15401721700000001"/>
  </r>
  <r>
    <x v="0"/>
    <x v="12"/>
    <x v="61"/>
    <x v="36"/>
    <x v="57"/>
    <x v="8"/>
    <n v="0.60943514600000004"/>
  </r>
  <r>
    <x v="0"/>
    <x v="12"/>
    <x v="61"/>
    <x v="37"/>
    <x v="57"/>
    <x v="8"/>
    <n v="0.37469411800000002"/>
  </r>
  <r>
    <x v="0"/>
    <x v="12"/>
    <x v="61"/>
    <x v="38"/>
    <x v="57"/>
    <x v="8"/>
    <n v="0.10942669100000001"/>
  </r>
  <r>
    <x v="0"/>
    <x v="12"/>
    <x v="61"/>
    <x v="39"/>
    <x v="57"/>
    <x v="8"/>
    <n v="0.13174407799999999"/>
  </r>
  <r>
    <x v="0"/>
    <x v="12"/>
    <x v="61"/>
    <x v="40"/>
    <x v="57"/>
    <x v="8"/>
    <n v="2.503424045"/>
  </r>
  <r>
    <x v="0"/>
    <x v="12"/>
    <x v="61"/>
    <x v="41"/>
    <x v="57"/>
    <x v="8"/>
    <n v="0.20944660800000001"/>
  </r>
  <r>
    <x v="0"/>
    <x v="12"/>
    <x v="62"/>
    <x v="0"/>
    <x v="57"/>
    <x v="9"/>
    <n v="3.9934797000000001E-2"/>
  </r>
  <r>
    <x v="0"/>
    <x v="12"/>
    <x v="62"/>
    <x v="1"/>
    <x v="57"/>
    <x v="9"/>
    <n v="3.9934797000000001E-2"/>
  </r>
  <r>
    <x v="0"/>
    <x v="12"/>
    <x v="62"/>
    <x v="2"/>
    <x v="57"/>
    <x v="9"/>
    <n v="3.9934797000000001E-2"/>
  </r>
  <r>
    <x v="0"/>
    <x v="12"/>
    <x v="62"/>
    <x v="3"/>
    <x v="57"/>
    <x v="9"/>
    <n v="3.9934797000000001E-2"/>
  </r>
  <r>
    <x v="0"/>
    <x v="12"/>
    <x v="62"/>
    <x v="4"/>
    <x v="57"/>
    <x v="9"/>
    <n v="3.9934797000000001E-2"/>
  </r>
  <r>
    <x v="0"/>
    <x v="12"/>
    <x v="62"/>
    <x v="5"/>
    <x v="57"/>
    <x v="9"/>
    <n v="3.9934797000000001E-2"/>
  </r>
  <r>
    <x v="0"/>
    <x v="12"/>
    <x v="62"/>
    <x v="6"/>
    <x v="57"/>
    <x v="9"/>
    <n v="3.9934797000000001E-2"/>
  </r>
  <r>
    <x v="0"/>
    <x v="12"/>
    <x v="62"/>
    <x v="7"/>
    <x v="57"/>
    <x v="9"/>
    <n v="3.9934797000000001E-2"/>
  </r>
  <r>
    <x v="0"/>
    <x v="12"/>
    <x v="62"/>
    <x v="8"/>
    <x v="57"/>
    <x v="9"/>
    <n v="3.9934797000000001E-2"/>
  </r>
  <r>
    <x v="0"/>
    <x v="12"/>
    <x v="62"/>
    <x v="9"/>
    <x v="57"/>
    <x v="9"/>
    <n v="3.9934797000000001E-2"/>
  </r>
  <r>
    <x v="0"/>
    <x v="12"/>
    <x v="62"/>
    <x v="10"/>
    <x v="57"/>
    <x v="9"/>
    <n v="3.9934797000000001E-2"/>
  </r>
  <r>
    <x v="0"/>
    <x v="12"/>
    <x v="62"/>
    <x v="11"/>
    <x v="57"/>
    <x v="9"/>
    <n v="3.9934797000000001E-2"/>
  </r>
  <r>
    <x v="0"/>
    <x v="12"/>
    <x v="62"/>
    <x v="12"/>
    <x v="57"/>
    <x v="9"/>
    <n v="3.9934797000000001E-2"/>
  </r>
  <r>
    <x v="0"/>
    <x v="12"/>
    <x v="62"/>
    <x v="13"/>
    <x v="57"/>
    <x v="9"/>
    <n v="3.9934797000000001E-2"/>
  </r>
  <r>
    <x v="0"/>
    <x v="12"/>
    <x v="62"/>
    <x v="14"/>
    <x v="57"/>
    <x v="9"/>
    <n v="3.9934797000000001E-2"/>
  </r>
  <r>
    <x v="0"/>
    <x v="12"/>
    <x v="62"/>
    <x v="15"/>
    <x v="57"/>
    <x v="9"/>
    <n v="3.9934797000000001E-2"/>
  </r>
  <r>
    <x v="0"/>
    <x v="12"/>
    <x v="62"/>
    <x v="16"/>
    <x v="57"/>
    <x v="9"/>
    <n v="3.9934797000000001E-2"/>
  </r>
  <r>
    <x v="0"/>
    <x v="12"/>
    <x v="62"/>
    <x v="17"/>
    <x v="57"/>
    <x v="9"/>
    <n v="3.9934797000000001E-2"/>
  </r>
  <r>
    <x v="0"/>
    <x v="12"/>
    <x v="62"/>
    <x v="18"/>
    <x v="57"/>
    <x v="9"/>
    <n v="3.9934797000000001E-2"/>
  </r>
  <r>
    <x v="0"/>
    <x v="12"/>
    <x v="62"/>
    <x v="19"/>
    <x v="57"/>
    <x v="9"/>
    <n v="3.9934797000000001E-2"/>
  </r>
  <r>
    <x v="0"/>
    <x v="12"/>
    <x v="62"/>
    <x v="20"/>
    <x v="57"/>
    <x v="9"/>
    <n v="3.9934797000000001E-2"/>
  </r>
  <r>
    <x v="0"/>
    <x v="12"/>
    <x v="62"/>
    <x v="21"/>
    <x v="57"/>
    <x v="9"/>
    <n v="3.9934797000000001E-2"/>
  </r>
  <r>
    <x v="0"/>
    <x v="12"/>
    <x v="62"/>
    <x v="22"/>
    <x v="57"/>
    <x v="9"/>
    <n v="3.9934797000000001E-2"/>
  </r>
  <r>
    <x v="0"/>
    <x v="12"/>
    <x v="62"/>
    <x v="23"/>
    <x v="57"/>
    <x v="9"/>
    <n v="1"/>
  </r>
  <r>
    <x v="0"/>
    <x v="12"/>
    <x v="62"/>
    <x v="24"/>
    <x v="57"/>
    <x v="9"/>
    <n v="3.9934797000000001E-2"/>
  </r>
  <r>
    <x v="0"/>
    <x v="12"/>
    <x v="62"/>
    <x v="25"/>
    <x v="57"/>
    <x v="9"/>
    <n v="3.9934797000000001E-2"/>
  </r>
  <r>
    <x v="0"/>
    <x v="12"/>
    <x v="62"/>
    <x v="26"/>
    <x v="57"/>
    <x v="9"/>
    <n v="1"/>
  </r>
  <r>
    <x v="0"/>
    <x v="12"/>
    <x v="62"/>
    <x v="27"/>
    <x v="57"/>
    <x v="9"/>
    <n v="3.9934797000000001E-2"/>
  </r>
  <r>
    <x v="0"/>
    <x v="12"/>
    <x v="62"/>
    <x v="28"/>
    <x v="57"/>
    <x v="9"/>
    <n v="1"/>
  </r>
  <r>
    <x v="0"/>
    <x v="12"/>
    <x v="62"/>
    <x v="29"/>
    <x v="57"/>
    <x v="9"/>
    <n v="3.9934797000000001E-2"/>
  </r>
  <r>
    <x v="0"/>
    <x v="12"/>
    <x v="62"/>
    <x v="30"/>
    <x v="57"/>
    <x v="9"/>
    <n v="3.9934797000000001E-2"/>
  </r>
  <r>
    <x v="0"/>
    <x v="12"/>
    <x v="62"/>
    <x v="31"/>
    <x v="57"/>
    <x v="9"/>
    <n v="3.9934797000000001E-2"/>
  </r>
  <r>
    <x v="0"/>
    <x v="12"/>
    <x v="62"/>
    <x v="32"/>
    <x v="57"/>
    <x v="9"/>
    <n v="3.9934797000000001E-2"/>
  </r>
  <r>
    <x v="0"/>
    <x v="12"/>
    <x v="62"/>
    <x v="33"/>
    <x v="57"/>
    <x v="9"/>
    <n v="1"/>
  </r>
  <r>
    <x v="0"/>
    <x v="12"/>
    <x v="62"/>
    <x v="34"/>
    <x v="57"/>
    <x v="9"/>
    <n v="3.9934797000000001E-2"/>
  </r>
  <r>
    <x v="0"/>
    <x v="12"/>
    <x v="62"/>
    <x v="35"/>
    <x v="57"/>
    <x v="9"/>
    <n v="3.9934797000000001E-2"/>
  </r>
  <r>
    <x v="0"/>
    <x v="12"/>
    <x v="62"/>
    <x v="36"/>
    <x v="57"/>
    <x v="9"/>
    <n v="3.9934797000000001E-2"/>
  </r>
  <r>
    <x v="0"/>
    <x v="12"/>
    <x v="62"/>
    <x v="37"/>
    <x v="57"/>
    <x v="9"/>
    <n v="3.9934797000000001E-2"/>
  </r>
  <r>
    <x v="0"/>
    <x v="12"/>
    <x v="62"/>
    <x v="38"/>
    <x v="57"/>
    <x v="9"/>
    <n v="3.9934797000000001E-2"/>
  </r>
  <r>
    <x v="0"/>
    <x v="12"/>
    <x v="62"/>
    <x v="39"/>
    <x v="57"/>
    <x v="9"/>
    <n v="3.9934797000000001E-2"/>
  </r>
  <r>
    <x v="0"/>
    <x v="12"/>
    <x v="62"/>
    <x v="40"/>
    <x v="57"/>
    <x v="9"/>
    <n v="3.9934797000000001E-2"/>
  </r>
  <r>
    <x v="0"/>
    <x v="12"/>
    <x v="62"/>
    <x v="41"/>
    <x v="57"/>
    <x v="9"/>
    <n v="3.9934797000000001E-2"/>
  </r>
  <r>
    <x v="0"/>
    <x v="12"/>
    <x v="63"/>
    <x v="0"/>
    <x v="57"/>
    <x v="9"/>
    <n v="5.1297552000000003E-2"/>
  </r>
  <r>
    <x v="0"/>
    <x v="12"/>
    <x v="63"/>
    <x v="1"/>
    <x v="57"/>
    <x v="9"/>
    <n v="3.3822311000000001E-2"/>
  </r>
  <r>
    <x v="0"/>
    <x v="12"/>
    <x v="63"/>
    <x v="2"/>
    <x v="57"/>
    <x v="9"/>
    <n v="2.9086342000000001E-2"/>
  </r>
  <r>
    <x v="0"/>
    <x v="12"/>
    <x v="63"/>
    <x v="3"/>
    <x v="57"/>
    <x v="9"/>
    <n v="3.2593704000000001E-2"/>
  </r>
  <r>
    <x v="0"/>
    <x v="12"/>
    <x v="63"/>
    <x v="4"/>
    <x v="57"/>
    <x v="9"/>
    <n v="3.0736125E-2"/>
  </r>
  <r>
    <x v="0"/>
    <x v="12"/>
    <x v="63"/>
    <x v="5"/>
    <x v="57"/>
    <x v="9"/>
    <n v="3.3610058999999998E-2"/>
  </r>
  <r>
    <x v="0"/>
    <x v="12"/>
    <x v="63"/>
    <x v="6"/>
    <x v="57"/>
    <x v="9"/>
    <n v="3.2156458999999998E-2"/>
  </r>
  <r>
    <x v="0"/>
    <x v="12"/>
    <x v="63"/>
    <x v="7"/>
    <x v="57"/>
    <x v="9"/>
    <n v="3.2997958000000001E-2"/>
  </r>
  <r>
    <x v="0"/>
    <x v="12"/>
    <x v="63"/>
    <x v="8"/>
    <x v="57"/>
    <x v="9"/>
    <n v="3.1711669999999997E-2"/>
  </r>
  <r>
    <x v="0"/>
    <x v="12"/>
    <x v="63"/>
    <x v="9"/>
    <x v="57"/>
    <x v="9"/>
    <n v="2.8089982999999999E-2"/>
  </r>
  <r>
    <x v="0"/>
    <x v="12"/>
    <x v="63"/>
    <x v="10"/>
    <x v="57"/>
    <x v="9"/>
    <n v="2.232553E-2"/>
  </r>
  <r>
    <x v="0"/>
    <x v="12"/>
    <x v="63"/>
    <x v="11"/>
    <x v="57"/>
    <x v="9"/>
    <n v="2.6214147E-2"/>
  </r>
  <r>
    <x v="0"/>
    <x v="12"/>
    <x v="63"/>
    <x v="12"/>
    <x v="57"/>
    <x v="9"/>
    <n v="2.7923821000000001E-2"/>
  </r>
  <r>
    <x v="0"/>
    <x v="12"/>
    <x v="63"/>
    <x v="13"/>
    <x v="57"/>
    <x v="9"/>
    <n v="2.3935769999999999E-2"/>
  </r>
  <r>
    <x v="0"/>
    <x v="12"/>
    <x v="63"/>
    <x v="14"/>
    <x v="57"/>
    <x v="9"/>
    <n v="2.5728615E-2"/>
  </r>
  <r>
    <x v="0"/>
    <x v="12"/>
    <x v="63"/>
    <x v="15"/>
    <x v="57"/>
    <x v="9"/>
    <n v="2.8778748999999999E-2"/>
  </r>
  <r>
    <x v="0"/>
    <x v="12"/>
    <x v="63"/>
    <x v="16"/>
    <x v="57"/>
    <x v="9"/>
    <n v="2.9666080000000001E-2"/>
  </r>
  <r>
    <x v="0"/>
    <x v="12"/>
    <x v="63"/>
    <x v="17"/>
    <x v="57"/>
    <x v="9"/>
    <n v="2.8736081E-2"/>
  </r>
  <r>
    <x v="0"/>
    <x v="12"/>
    <x v="63"/>
    <x v="18"/>
    <x v="57"/>
    <x v="9"/>
    <n v="2.6193316000000001E-2"/>
  </r>
  <r>
    <x v="0"/>
    <x v="12"/>
    <x v="63"/>
    <x v="19"/>
    <x v="57"/>
    <x v="9"/>
    <n v="3.0874225000000002E-2"/>
  </r>
  <r>
    <x v="0"/>
    <x v="12"/>
    <x v="63"/>
    <x v="20"/>
    <x v="57"/>
    <x v="9"/>
    <n v="3.0435413000000001E-2"/>
  </r>
  <r>
    <x v="0"/>
    <x v="12"/>
    <x v="63"/>
    <x v="21"/>
    <x v="57"/>
    <x v="9"/>
    <n v="2.8172745999999999E-2"/>
  </r>
  <r>
    <x v="0"/>
    <x v="12"/>
    <x v="63"/>
    <x v="22"/>
    <x v="57"/>
    <x v="9"/>
    <n v="1.5382287E-2"/>
  </r>
  <r>
    <x v="0"/>
    <x v="12"/>
    <x v="63"/>
    <x v="23"/>
    <x v="57"/>
    <x v="9"/>
    <n v="1"/>
  </r>
  <r>
    <x v="0"/>
    <x v="12"/>
    <x v="63"/>
    <x v="24"/>
    <x v="57"/>
    <x v="9"/>
    <n v="2.4283039999999999E-2"/>
  </r>
  <r>
    <x v="0"/>
    <x v="12"/>
    <x v="63"/>
    <x v="25"/>
    <x v="57"/>
    <x v="9"/>
    <n v="1"/>
  </r>
  <r>
    <x v="0"/>
    <x v="12"/>
    <x v="63"/>
    <x v="26"/>
    <x v="57"/>
    <x v="9"/>
    <n v="1"/>
  </r>
  <r>
    <x v="0"/>
    <x v="12"/>
    <x v="63"/>
    <x v="27"/>
    <x v="57"/>
    <x v="9"/>
    <n v="3.1991429000000002E-2"/>
  </r>
  <r>
    <x v="0"/>
    <x v="12"/>
    <x v="63"/>
    <x v="28"/>
    <x v="57"/>
    <x v="9"/>
    <n v="3.3353461000000001E-2"/>
  </r>
  <r>
    <x v="0"/>
    <x v="12"/>
    <x v="63"/>
    <x v="29"/>
    <x v="57"/>
    <x v="9"/>
    <n v="2.8583712000000001E-2"/>
  </r>
  <r>
    <x v="0"/>
    <x v="12"/>
    <x v="63"/>
    <x v="30"/>
    <x v="57"/>
    <x v="9"/>
    <n v="4.0129001999999997E-2"/>
  </r>
  <r>
    <x v="0"/>
    <x v="12"/>
    <x v="63"/>
    <x v="31"/>
    <x v="57"/>
    <x v="9"/>
    <n v="2.6522019000000001E-2"/>
  </r>
  <r>
    <x v="0"/>
    <x v="12"/>
    <x v="63"/>
    <x v="32"/>
    <x v="57"/>
    <x v="9"/>
    <n v="2.8083495999999999E-2"/>
  </r>
  <r>
    <x v="0"/>
    <x v="12"/>
    <x v="63"/>
    <x v="33"/>
    <x v="57"/>
    <x v="9"/>
    <n v="1"/>
  </r>
  <r>
    <x v="0"/>
    <x v="12"/>
    <x v="63"/>
    <x v="34"/>
    <x v="57"/>
    <x v="9"/>
    <n v="2.9191714000000001E-2"/>
  </r>
  <r>
    <x v="0"/>
    <x v="12"/>
    <x v="63"/>
    <x v="35"/>
    <x v="57"/>
    <x v="9"/>
    <n v="2.9442711999999999E-2"/>
  </r>
  <r>
    <x v="0"/>
    <x v="12"/>
    <x v="63"/>
    <x v="36"/>
    <x v="57"/>
    <x v="9"/>
    <n v="3.0830105E-2"/>
  </r>
  <r>
    <x v="0"/>
    <x v="12"/>
    <x v="63"/>
    <x v="37"/>
    <x v="57"/>
    <x v="9"/>
    <n v="3.9530733999999998E-2"/>
  </r>
  <r>
    <x v="0"/>
    <x v="12"/>
    <x v="63"/>
    <x v="38"/>
    <x v="57"/>
    <x v="9"/>
    <n v="4.9999096999999999E-2"/>
  </r>
  <r>
    <x v="0"/>
    <x v="12"/>
    <x v="63"/>
    <x v="39"/>
    <x v="57"/>
    <x v="9"/>
    <n v="3.7778802E-2"/>
  </r>
  <r>
    <x v="0"/>
    <x v="12"/>
    <x v="63"/>
    <x v="40"/>
    <x v="57"/>
    <x v="9"/>
    <n v="3.6512796E-2"/>
  </r>
  <r>
    <x v="0"/>
    <x v="12"/>
    <x v="63"/>
    <x v="41"/>
    <x v="57"/>
    <x v="9"/>
    <n v="4.1018341E-2"/>
  </r>
  <r>
    <x v="0"/>
    <x v="12"/>
    <x v="64"/>
    <x v="0"/>
    <x v="57"/>
    <x v="10"/>
    <n v="0"/>
  </r>
  <r>
    <x v="0"/>
    <x v="12"/>
    <x v="64"/>
    <x v="1"/>
    <x v="57"/>
    <x v="10"/>
    <n v="0"/>
  </r>
  <r>
    <x v="0"/>
    <x v="12"/>
    <x v="64"/>
    <x v="2"/>
    <x v="57"/>
    <x v="10"/>
    <n v="0"/>
  </r>
  <r>
    <x v="0"/>
    <x v="12"/>
    <x v="64"/>
    <x v="3"/>
    <x v="57"/>
    <x v="10"/>
    <n v="0"/>
  </r>
  <r>
    <x v="0"/>
    <x v="12"/>
    <x v="64"/>
    <x v="4"/>
    <x v="57"/>
    <x v="10"/>
    <n v="0"/>
  </r>
  <r>
    <x v="0"/>
    <x v="12"/>
    <x v="64"/>
    <x v="5"/>
    <x v="57"/>
    <x v="10"/>
    <n v="0"/>
  </r>
  <r>
    <x v="0"/>
    <x v="12"/>
    <x v="64"/>
    <x v="6"/>
    <x v="57"/>
    <x v="10"/>
    <n v="0"/>
  </r>
  <r>
    <x v="0"/>
    <x v="12"/>
    <x v="64"/>
    <x v="7"/>
    <x v="57"/>
    <x v="10"/>
    <n v="0"/>
  </r>
  <r>
    <x v="0"/>
    <x v="12"/>
    <x v="64"/>
    <x v="8"/>
    <x v="57"/>
    <x v="10"/>
    <n v="0"/>
  </r>
  <r>
    <x v="0"/>
    <x v="12"/>
    <x v="64"/>
    <x v="9"/>
    <x v="57"/>
    <x v="10"/>
    <n v="0"/>
  </r>
  <r>
    <x v="0"/>
    <x v="12"/>
    <x v="64"/>
    <x v="10"/>
    <x v="57"/>
    <x v="10"/>
    <n v="0"/>
  </r>
  <r>
    <x v="0"/>
    <x v="12"/>
    <x v="64"/>
    <x v="11"/>
    <x v="57"/>
    <x v="10"/>
    <n v="0"/>
  </r>
  <r>
    <x v="0"/>
    <x v="12"/>
    <x v="64"/>
    <x v="12"/>
    <x v="57"/>
    <x v="10"/>
    <n v="0"/>
  </r>
  <r>
    <x v="0"/>
    <x v="12"/>
    <x v="64"/>
    <x v="13"/>
    <x v="57"/>
    <x v="10"/>
    <n v="0"/>
  </r>
  <r>
    <x v="0"/>
    <x v="12"/>
    <x v="64"/>
    <x v="14"/>
    <x v="57"/>
    <x v="10"/>
    <n v="0"/>
  </r>
  <r>
    <x v="0"/>
    <x v="12"/>
    <x v="64"/>
    <x v="15"/>
    <x v="57"/>
    <x v="10"/>
    <n v="0"/>
  </r>
  <r>
    <x v="0"/>
    <x v="12"/>
    <x v="64"/>
    <x v="16"/>
    <x v="57"/>
    <x v="10"/>
    <n v="0"/>
  </r>
  <r>
    <x v="0"/>
    <x v="12"/>
    <x v="64"/>
    <x v="17"/>
    <x v="57"/>
    <x v="10"/>
    <n v="0"/>
  </r>
  <r>
    <x v="0"/>
    <x v="12"/>
    <x v="64"/>
    <x v="18"/>
    <x v="57"/>
    <x v="10"/>
    <n v="0"/>
  </r>
  <r>
    <x v="0"/>
    <x v="12"/>
    <x v="64"/>
    <x v="19"/>
    <x v="57"/>
    <x v="10"/>
    <n v="0"/>
  </r>
  <r>
    <x v="0"/>
    <x v="12"/>
    <x v="64"/>
    <x v="20"/>
    <x v="57"/>
    <x v="10"/>
    <n v="0"/>
  </r>
  <r>
    <x v="0"/>
    <x v="12"/>
    <x v="64"/>
    <x v="21"/>
    <x v="57"/>
    <x v="10"/>
    <n v="0"/>
  </r>
  <r>
    <x v="0"/>
    <x v="12"/>
    <x v="64"/>
    <x v="22"/>
    <x v="57"/>
    <x v="10"/>
    <n v="0"/>
  </r>
  <r>
    <x v="0"/>
    <x v="12"/>
    <x v="64"/>
    <x v="23"/>
    <x v="57"/>
    <x v="10"/>
    <n v="0"/>
  </r>
  <r>
    <x v="0"/>
    <x v="12"/>
    <x v="64"/>
    <x v="24"/>
    <x v="57"/>
    <x v="10"/>
    <n v="0"/>
  </r>
  <r>
    <x v="0"/>
    <x v="12"/>
    <x v="64"/>
    <x v="25"/>
    <x v="57"/>
    <x v="10"/>
    <n v="0"/>
  </r>
  <r>
    <x v="0"/>
    <x v="12"/>
    <x v="64"/>
    <x v="26"/>
    <x v="57"/>
    <x v="10"/>
    <n v="0"/>
  </r>
  <r>
    <x v="0"/>
    <x v="12"/>
    <x v="64"/>
    <x v="27"/>
    <x v="57"/>
    <x v="10"/>
    <n v="0"/>
  </r>
  <r>
    <x v="0"/>
    <x v="12"/>
    <x v="64"/>
    <x v="28"/>
    <x v="57"/>
    <x v="10"/>
    <n v="0"/>
  </r>
  <r>
    <x v="0"/>
    <x v="12"/>
    <x v="64"/>
    <x v="29"/>
    <x v="57"/>
    <x v="10"/>
    <n v="0"/>
  </r>
  <r>
    <x v="0"/>
    <x v="12"/>
    <x v="64"/>
    <x v="30"/>
    <x v="57"/>
    <x v="10"/>
    <n v="0"/>
  </r>
  <r>
    <x v="0"/>
    <x v="12"/>
    <x v="64"/>
    <x v="31"/>
    <x v="57"/>
    <x v="10"/>
    <n v="0"/>
  </r>
  <r>
    <x v="0"/>
    <x v="12"/>
    <x v="64"/>
    <x v="32"/>
    <x v="57"/>
    <x v="10"/>
    <n v="0"/>
  </r>
  <r>
    <x v="0"/>
    <x v="12"/>
    <x v="64"/>
    <x v="33"/>
    <x v="57"/>
    <x v="10"/>
    <n v="0"/>
  </r>
  <r>
    <x v="0"/>
    <x v="12"/>
    <x v="64"/>
    <x v="34"/>
    <x v="57"/>
    <x v="10"/>
    <n v="0"/>
  </r>
  <r>
    <x v="0"/>
    <x v="12"/>
    <x v="64"/>
    <x v="35"/>
    <x v="57"/>
    <x v="10"/>
    <n v="0"/>
  </r>
  <r>
    <x v="0"/>
    <x v="12"/>
    <x v="64"/>
    <x v="36"/>
    <x v="57"/>
    <x v="10"/>
    <n v="0"/>
  </r>
  <r>
    <x v="0"/>
    <x v="12"/>
    <x v="64"/>
    <x v="37"/>
    <x v="57"/>
    <x v="10"/>
    <n v="0"/>
  </r>
  <r>
    <x v="0"/>
    <x v="12"/>
    <x v="64"/>
    <x v="38"/>
    <x v="57"/>
    <x v="10"/>
    <n v="0"/>
  </r>
  <r>
    <x v="0"/>
    <x v="12"/>
    <x v="64"/>
    <x v="39"/>
    <x v="57"/>
    <x v="10"/>
    <n v="0"/>
  </r>
  <r>
    <x v="0"/>
    <x v="12"/>
    <x v="64"/>
    <x v="40"/>
    <x v="57"/>
    <x v="10"/>
    <n v="0"/>
  </r>
  <r>
    <x v="0"/>
    <x v="12"/>
    <x v="64"/>
    <x v="41"/>
    <x v="57"/>
    <x v="10"/>
    <n v="0"/>
  </r>
  <r>
    <x v="0"/>
    <x v="12"/>
    <x v="65"/>
    <x v="48"/>
    <x v="58"/>
    <x v="11"/>
    <n v="1845.8735914910001"/>
  </r>
  <r>
    <x v="0"/>
    <x v="12"/>
    <x v="65"/>
    <x v="49"/>
    <x v="58"/>
    <x v="11"/>
    <n v="1785.522770602"/>
  </r>
  <r>
    <x v="0"/>
    <x v="12"/>
    <x v="66"/>
    <x v="48"/>
    <x v="58"/>
    <x v="12"/>
    <n v="7.2428643000000001E-2"/>
  </r>
  <r>
    <x v="0"/>
    <x v="12"/>
    <x v="66"/>
    <x v="49"/>
    <x v="58"/>
    <x v="12"/>
    <n v="7.0060589000000006E-2"/>
  </r>
  <r>
    <x v="0"/>
    <x v="13"/>
    <x v="0"/>
    <x v="0"/>
    <x v="0"/>
    <x v="0"/>
    <n v="750.91056903699996"/>
  </r>
  <r>
    <x v="0"/>
    <x v="13"/>
    <x v="1"/>
    <x v="0"/>
    <x v="0"/>
    <x v="1"/>
    <n v="0.104768047"/>
  </r>
  <r>
    <x v="0"/>
    <x v="13"/>
    <x v="2"/>
    <x v="0"/>
    <x v="0"/>
    <x v="1"/>
    <n v="286.91461042499998"/>
  </r>
  <r>
    <x v="0"/>
    <x v="13"/>
    <x v="3"/>
    <x v="0"/>
    <x v="0"/>
    <x v="1"/>
    <n v="0.127435312"/>
  </r>
  <r>
    <x v="0"/>
    <x v="13"/>
    <x v="0"/>
    <x v="1"/>
    <x v="0"/>
    <x v="0"/>
    <n v="235.24916793"/>
  </r>
  <r>
    <x v="0"/>
    <x v="13"/>
    <x v="1"/>
    <x v="1"/>
    <x v="0"/>
    <x v="1"/>
    <n v="5.8610032999999999E-2"/>
  </r>
  <r>
    <x v="0"/>
    <x v="13"/>
    <x v="2"/>
    <x v="1"/>
    <x v="0"/>
    <x v="1"/>
    <n v="143.37019903300001"/>
  </r>
  <r>
    <x v="0"/>
    <x v="13"/>
    <x v="3"/>
    <x v="1"/>
    <x v="0"/>
    <x v="1"/>
    <n v="7.4320891E-2"/>
  </r>
  <r>
    <x v="0"/>
    <x v="13"/>
    <x v="0"/>
    <x v="2"/>
    <x v="0"/>
    <x v="0"/>
    <n v="273.94609786199999"/>
  </r>
  <r>
    <x v="0"/>
    <x v="13"/>
    <x v="1"/>
    <x v="2"/>
    <x v="0"/>
    <x v="1"/>
    <n v="3.7009699E-2"/>
  </r>
  <r>
    <x v="0"/>
    <x v="13"/>
    <x v="2"/>
    <x v="2"/>
    <x v="0"/>
    <x v="1"/>
    <n v="157.01973867699999"/>
  </r>
  <r>
    <x v="0"/>
    <x v="13"/>
    <x v="3"/>
    <x v="2"/>
    <x v="0"/>
    <x v="1"/>
    <n v="2.5463610000000001E-2"/>
  </r>
  <r>
    <x v="0"/>
    <x v="13"/>
    <x v="0"/>
    <x v="3"/>
    <x v="0"/>
    <x v="0"/>
    <n v="129.33921626099999"/>
  </r>
  <r>
    <x v="0"/>
    <x v="13"/>
    <x v="1"/>
    <x v="3"/>
    <x v="0"/>
    <x v="1"/>
    <n v="4.8218980000000002E-2"/>
  </r>
  <r>
    <x v="0"/>
    <x v="13"/>
    <x v="2"/>
    <x v="3"/>
    <x v="0"/>
    <x v="1"/>
    <n v="88.092155767999998"/>
  </r>
  <r>
    <x v="0"/>
    <x v="13"/>
    <x v="3"/>
    <x v="3"/>
    <x v="0"/>
    <x v="1"/>
    <n v="5.5900684999999999E-2"/>
  </r>
  <r>
    <x v="0"/>
    <x v="13"/>
    <x v="0"/>
    <x v="4"/>
    <x v="0"/>
    <x v="0"/>
    <n v="62.915151358000003"/>
  </r>
  <r>
    <x v="0"/>
    <x v="13"/>
    <x v="1"/>
    <x v="4"/>
    <x v="0"/>
    <x v="1"/>
    <n v="5.2327434999999999E-2"/>
  </r>
  <r>
    <x v="0"/>
    <x v="13"/>
    <x v="2"/>
    <x v="4"/>
    <x v="0"/>
    <x v="1"/>
    <n v="42.332813881"/>
  </r>
  <r>
    <x v="0"/>
    <x v="13"/>
    <x v="3"/>
    <x v="4"/>
    <x v="0"/>
    <x v="1"/>
    <n v="6.5581523000000003E-2"/>
  </r>
  <r>
    <x v="0"/>
    <x v="13"/>
    <x v="0"/>
    <x v="5"/>
    <x v="0"/>
    <x v="0"/>
    <n v="648.785036203"/>
  </r>
  <r>
    <x v="0"/>
    <x v="13"/>
    <x v="1"/>
    <x v="5"/>
    <x v="0"/>
    <x v="1"/>
    <n v="7.1417474999999994E-2"/>
  </r>
  <r>
    <x v="0"/>
    <x v="13"/>
    <x v="2"/>
    <x v="5"/>
    <x v="0"/>
    <x v="1"/>
    <n v="542.10915195099994"/>
  </r>
  <r>
    <x v="0"/>
    <x v="13"/>
    <x v="3"/>
    <x v="5"/>
    <x v="0"/>
    <x v="1"/>
    <n v="4.5009097999999997E-2"/>
  </r>
  <r>
    <x v="0"/>
    <x v="13"/>
    <x v="0"/>
    <x v="6"/>
    <x v="0"/>
    <x v="0"/>
    <n v="208.97754852200001"/>
  </r>
  <r>
    <x v="0"/>
    <x v="13"/>
    <x v="1"/>
    <x v="6"/>
    <x v="0"/>
    <x v="1"/>
    <n v="6.5189516000000003E-2"/>
  </r>
  <r>
    <x v="0"/>
    <x v="13"/>
    <x v="2"/>
    <x v="6"/>
    <x v="0"/>
    <x v="1"/>
    <n v="174.91714053499999"/>
  </r>
  <r>
    <x v="0"/>
    <x v="13"/>
    <x v="3"/>
    <x v="6"/>
    <x v="0"/>
    <x v="1"/>
    <n v="6.0940888999999998E-2"/>
  </r>
  <r>
    <x v="0"/>
    <x v="13"/>
    <x v="0"/>
    <x v="7"/>
    <x v="0"/>
    <x v="0"/>
    <n v="139.06386147399999"/>
  </r>
  <r>
    <x v="0"/>
    <x v="13"/>
    <x v="1"/>
    <x v="7"/>
    <x v="0"/>
    <x v="1"/>
    <n v="6.2956839000000001E-2"/>
  </r>
  <r>
    <x v="0"/>
    <x v="13"/>
    <x v="2"/>
    <x v="7"/>
    <x v="0"/>
    <x v="1"/>
    <n v="113.112538168"/>
  </r>
  <r>
    <x v="0"/>
    <x v="13"/>
    <x v="3"/>
    <x v="7"/>
    <x v="0"/>
    <x v="1"/>
    <n v="7.1999122999999998E-2"/>
  </r>
  <r>
    <x v="0"/>
    <x v="13"/>
    <x v="0"/>
    <x v="8"/>
    <x v="0"/>
    <x v="0"/>
    <n v="95.119617982999998"/>
  </r>
  <r>
    <x v="0"/>
    <x v="13"/>
    <x v="1"/>
    <x v="8"/>
    <x v="0"/>
    <x v="1"/>
    <n v="5.9685243999999998E-2"/>
  </r>
  <r>
    <x v="0"/>
    <x v="13"/>
    <x v="2"/>
    <x v="8"/>
    <x v="0"/>
    <x v="1"/>
    <n v="77.668885239999994"/>
  </r>
  <r>
    <x v="0"/>
    <x v="13"/>
    <x v="3"/>
    <x v="8"/>
    <x v="0"/>
    <x v="1"/>
    <n v="5.8375303000000003E-2"/>
  </r>
  <r>
    <x v="0"/>
    <x v="13"/>
    <x v="0"/>
    <x v="9"/>
    <x v="0"/>
    <x v="0"/>
    <n v="252.06292390900001"/>
  </r>
  <r>
    <x v="0"/>
    <x v="13"/>
    <x v="1"/>
    <x v="9"/>
    <x v="0"/>
    <x v="1"/>
    <n v="5.3397633E-2"/>
  </r>
  <r>
    <x v="0"/>
    <x v="13"/>
    <x v="2"/>
    <x v="9"/>
    <x v="0"/>
    <x v="1"/>
    <n v="201.84169804499999"/>
  </r>
  <r>
    <x v="0"/>
    <x v="13"/>
    <x v="3"/>
    <x v="9"/>
    <x v="0"/>
    <x v="1"/>
    <n v="6.2725883999999996E-2"/>
  </r>
  <r>
    <x v="0"/>
    <x v="13"/>
    <x v="0"/>
    <x v="10"/>
    <x v="0"/>
    <x v="0"/>
    <n v="377.05790019699998"/>
  </r>
  <r>
    <x v="0"/>
    <x v="13"/>
    <x v="1"/>
    <x v="10"/>
    <x v="0"/>
    <x v="1"/>
    <n v="3.7937868E-2"/>
  </r>
  <r>
    <x v="0"/>
    <x v="13"/>
    <x v="2"/>
    <x v="10"/>
    <x v="0"/>
    <x v="1"/>
    <n v="345.40064213300002"/>
  </r>
  <r>
    <x v="0"/>
    <x v="13"/>
    <x v="3"/>
    <x v="10"/>
    <x v="0"/>
    <x v="1"/>
    <n v="4.4809528000000001E-2"/>
  </r>
  <r>
    <x v="0"/>
    <x v="13"/>
    <x v="0"/>
    <x v="11"/>
    <x v="0"/>
    <x v="0"/>
    <n v="993.64167185199994"/>
  </r>
  <r>
    <x v="0"/>
    <x v="13"/>
    <x v="1"/>
    <x v="11"/>
    <x v="0"/>
    <x v="1"/>
    <n v="4.7218401E-2"/>
  </r>
  <r>
    <x v="0"/>
    <x v="13"/>
    <x v="2"/>
    <x v="11"/>
    <x v="0"/>
    <x v="1"/>
    <n v="834.92275556300001"/>
  </r>
  <r>
    <x v="0"/>
    <x v="13"/>
    <x v="3"/>
    <x v="11"/>
    <x v="0"/>
    <x v="1"/>
    <n v="4.0810521000000002E-2"/>
  </r>
  <r>
    <x v="0"/>
    <x v="13"/>
    <x v="0"/>
    <x v="12"/>
    <x v="0"/>
    <x v="0"/>
    <n v="254.40357869600001"/>
  </r>
  <r>
    <x v="0"/>
    <x v="13"/>
    <x v="1"/>
    <x v="12"/>
    <x v="0"/>
    <x v="1"/>
    <n v="4.7958372999999999E-2"/>
  </r>
  <r>
    <x v="0"/>
    <x v="13"/>
    <x v="2"/>
    <x v="12"/>
    <x v="0"/>
    <x v="1"/>
    <n v="203.81302707899999"/>
  </r>
  <r>
    <x v="0"/>
    <x v="13"/>
    <x v="3"/>
    <x v="12"/>
    <x v="0"/>
    <x v="1"/>
    <n v="5.3580490000000001E-2"/>
  </r>
  <r>
    <x v="0"/>
    <x v="13"/>
    <x v="0"/>
    <x v="13"/>
    <x v="0"/>
    <x v="0"/>
    <n v="720.65986251000004"/>
  </r>
  <r>
    <x v="0"/>
    <x v="13"/>
    <x v="1"/>
    <x v="13"/>
    <x v="0"/>
    <x v="1"/>
    <n v="3.9144153000000001E-2"/>
  </r>
  <r>
    <x v="0"/>
    <x v="13"/>
    <x v="2"/>
    <x v="13"/>
    <x v="0"/>
    <x v="1"/>
    <n v="611.60172752899996"/>
  </r>
  <r>
    <x v="0"/>
    <x v="13"/>
    <x v="3"/>
    <x v="13"/>
    <x v="0"/>
    <x v="1"/>
    <n v="3.5312492000000001E-2"/>
  </r>
  <r>
    <x v="0"/>
    <x v="13"/>
    <x v="0"/>
    <x v="14"/>
    <x v="0"/>
    <x v="0"/>
    <n v="199.36873334200001"/>
  </r>
  <r>
    <x v="0"/>
    <x v="13"/>
    <x v="1"/>
    <x v="14"/>
    <x v="0"/>
    <x v="1"/>
    <n v="4.4797599E-2"/>
  </r>
  <r>
    <x v="0"/>
    <x v="13"/>
    <x v="2"/>
    <x v="14"/>
    <x v="0"/>
    <x v="1"/>
    <n v="166.397525073"/>
  </r>
  <r>
    <x v="0"/>
    <x v="13"/>
    <x v="3"/>
    <x v="14"/>
    <x v="0"/>
    <x v="1"/>
    <n v="5.7088318999999998E-2"/>
  </r>
  <r>
    <x v="0"/>
    <x v="13"/>
    <x v="0"/>
    <x v="15"/>
    <x v="0"/>
    <x v="0"/>
    <n v="215.74395511099999"/>
  </r>
  <r>
    <x v="0"/>
    <x v="13"/>
    <x v="1"/>
    <x v="15"/>
    <x v="0"/>
    <x v="1"/>
    <n v="4.8039597000000003E-2"/>
  </r>
  <r>
    <x v="0"/>
    <x v="13"/>
    <x v="2"/>
    <x v="15"/>
    <x v="0"/>
    <x v="1"/>
    <n v="178.24511673200001"/>
  </r>
  <r>
    <x v="0"/>
    <x v="13"/>
    <x v="3"/>
    <x v="15"/>
    <x v="0"/>
    <x v="1"/>
    <n v="6.2265204999999997E-2"/>
  </r>
  <r>
    <x v="0"/>
    <x v="13"/>
    <x v="0"/>
    <x v="16"/>
    <x v="0"/>
    <x v="0"/>
    <n v="138.15444468199999"/>
  </r>
  <r>
    <x v="0"/>
    <x v="13"/>
    <x v="1"/>
    <x v="16"/>
    <x v="0"/>
    <x v="1"/>
    <n v="4.8681478E-2"/>
  </r>
  <r>
    <x v="0"/>
    <x v="13"/>
    <x v="2"/>
    <x v="16"/>
    <x v="0"/>
    <x v="1"/>
    <n v="112.89856856999999"/>
  </r>
  <r>
    <x v="0"/>
    <x v="13"/>
    <x v="3"/>
    <x v="16"/>
    <x v="0"/>
    <x v="1"/>
    <n v="6.1487233000000002E-2"/>
  </r>
  <r>
    <x v="0"/>
    <x v="13"/>
    <x v="0"/>
    <x v="17"/>
    <x v="0"/>
    <x v="0"/>
    <n v="324.675323402"/>
  </r>
  <r>
    <x v="0"/>
    <x v="13"/>
    <x v="1"/>
    <x v="17"/>
    <x v="0"/>
    <x v="1"/>
    <n v="4.9173666999999997E-2"/>
  </r>
  <r>
    <x v="0"/>
    <x v="13"/>
    <x v="2"/>
    <x v="17"/>
    <x v="0"/>
    <x v="1"/>
    <n v="271.53324755"/>
  </r>
  <r>
    <x v="0"/>
    <x v="13"/>
    <x v="3"/>
    <x v="17"/>
    <x v="0"/>
    <x v="1"/>
    <n v="5.9550757000000003E-2"/>
  </r>
  <r>
    <x v="0"/>
    <x v="13"/>
    <x v="0"/>
    <x v="18"/>
    <x v="0"/>
    <x v="0"/>
    <n v="279.51793850400003"/>
  </r>
  <r>
    <x v="0"/>
    <x v="13"/>
    <x v="1"/>
    <x v="18"/>
    <x v="0"/>
    <x v="1"/>
    <n v="4.4654205000000002E-2"/>
  </r>
  <r>
    <x v="0"/>
    <x v="13"/>
    <x v="2"/>
    <x v="18"/>
    <x v="0"/>
    <x v="1"/>
    <n v="239.820736587"/>
  </r>
  <r>
    <x v="0"/>
    <x v="13"/>
    <x v="3"/>
    <x v="18"/>
    <x v="0"/>
    <x v="1"/>
    <n v="4.9208295999999999E-2"/>
  </r>
  <r>
    <x v="0"/>
    <x v="13"/>
    <x v="0"/>
    <x v="19"/>
    <x v="0"/>
    <x v="0"/>
    <n v="331.53966431399999"/>
  </r>
  <r>
    <x v="0"/>
    <x v="13"/>
    <x v="1"/>
    <x v="19"/>
    <x v="0"/>
    <x v="1"/>
    <n v="4.9031927000000003E-2"/>
  </r>
  <r>
    <x v="0"/>
    <x v="13"/>
    <x v="2"/>
    <x v="19"/>
    <x v="0"/>
    <x v="1"/>
    <n v="281.02517619899999"/>
  </r>
  <r>
    <x v="0"/>
    <x v="13"/>
    <x v="3"/>
    <x v="19"/>
    <x v="0"/>
    <x v="1"/>
    <n v="6.7266286999999994E-2"/>
  </r>
  <r>
    <x v="0"/>
    <x v="13"/>
    <x v="0"/>
    <x v="20"/>
    <x v="0"/>
    <x v="0"/>
    <n v="43.918927551000003"/>
  </r>
  <r>
    <x v="0"/>
    <x v="13"/>
    <x v="1"/>
    <x v="20"/>
    <x v="0"/>
    <x v="1"/>
    <n v="4.7677837000000001E-2"/>
  </r>
  <r>
    <x v="0"/>
    <x v="13"/>
    <x v="2"/>
    <x v="20"/>
    <x v="0"/>
    <x v="1"/>
    <n v="35.211899760000001"/>
  </r>
  <r>
    <x v="0"/>
    <x v="13"/>
    <x v="3"/>
    <x v="20"/>
    <x v="0"/>
    <x v="1"/>
    <n v="5.5763198E-2"/>
  </r>
  <r>
    <x v="0"/>
    <x v="13"/>
    <x v="0"/>
    <x v="21"/>
    <x v="0"/>
    <x v="0"/>
    <n v="18.310635904000002"/>
  </r>
  <r>
    <x v="0"/>
    <x v="13"/>
    <x v="1"/>
    <x v="21"/>
    <x v="0"/>
    <x v="1"/>
    <n v="5.4564279E-2"/>
  </r>
  <r>
    <x v="0"/>
    <x v="13"/>
    <x v="2"/>
    <x v="21"/>
    <x v="0"/>
    <x v="1"/>
    <n v="14.996860078999999"/>
  </r>
  <r>
    <x v="0"/>
    <x v="13"/>
    <x v="3"/>
    <x v="21"/>
    <x v="0"/>
    <x v="1"/>
    <n v="6.4266325999999999E-2"/>
  </r>
  <r>
    <x v="0"/>
    <x v="13"/>
    <x v="0"/>
    <x v="22"/>
    <x v="0"/>
    <x v="0"/>
    <n v="80.864578522000002"/>
  </r>
  <r>
    <x v="0"/>
    <x v="13"/>
    <x v="1"/>
    <x v="22"/>
    <x v="0"/>
    <x v="1"/>
    <n v="1.1150336E-2"/>
  </r>
  <r>
    <x v="0"/>
    <x v="13"/>
    <x v="2"/>
    <x v="22"/>
    <x v="0"/>
    <x v="1"/>
    <n v="19.433146412999999"/>
  </r>
  <r>
    <x v="0"/>
    <x v="13"/>
    <x v="3"/>
    <x v="22"/>
    <x v="0"/>
    <x v="1"/>
    <n v="2.252834E-3"/>
  </r>
  <r>
    <x v="0"/>
    <x v="13"/>
    <x v="0"/>
    <x v="23"/>
    <x v="0"/>
    <x v="0"/>
    <n v="7.9657263909999996"/>
  </r>
  <r>
    <x v="0"/>
    <x v="13"/>
    <x v="1"/>
    <x v="23"/>
    <x v="0"/>
    <x v="1"/>
    <n v="5.4991488999999998E-2"/>
  </r>
  <r>
    <x v="0"/>
    <x v="13"/>
    <x v="2"/>
    <x v="23"/>
    <x v="0"/>
    <x v="1"/>
    <n v="6.5689673080000004"/>
  </r>
  <r>
    <x v="0"/>
    <x v="13"/>
    <x v="3"/>
    <x v="23"/>
    <x v="0"/>
    <x v="1"/>
    <n v="9.9699075999999998E-2"/>
  </r>
  <r>
    <x v="0"/>
    <x v="13"/>
    <x v="0"/>
    <x v="24"/>
    <x v="0"/>
    <x v="0"/>
    <n v="420.345656276"/>
  </r>
  <r>
    <x v="0"/>
    <x v="13"/>
    <x v="1"/>
    <x v="24"/>
    <x v="0"/>
    <x v="1"/>
    <n v="4.2199581E-2"/>
  </r>
  <r>
    <x v="0"/>
    <x v="13"/>
    <x v="2"/>
    <x v="24"/>
    <x v="0"/>
    <x v="1"/>
    <n v="329.66668724800002"/>
  </r>
  <r>
    <x v="0"/>
    <x v="13"/>
    <x v="3"/>
    <x v="24"/>
    <x v="0"/>
    <x v="1"/>
    <n v="3.1718101999999998E-2"/>
  </r>
  <r>
    <x v="0"/>
    <x v="13"/>
    <x v="0"/>
    <x v="25"/>
    <x v="0"/>
    <x v="0"/>
    <n v="22.436837173000001"/>
  </r>
  <r>
    <x v="0"/>
    <x v="13"/>
    <x v="1"/>
    <x v="25"/>
    <x v="0"/>
    <x v="1"/>
    <n v="3.6049095000000003E-2"/>
  </r>
  <r>
    <x v="0"/>
    <x v="13"/>
    <x v="2"/>
    <x v="25"/>
    <x v="0"/>
    <x v="1"/>
    <n v="18.078702080999999"/>
  </r>
  <r>
    <x v="0"/>
    <x v="13"/>
    <x v="3"/>
    <x v="25"/>
    <x v="0"/>
    <x v="1"/>
    <n v="2.856552E-2"/>
  </r>
  <r>
    <x v="0"/>
    <x v="13"/>
    <x v="0"/>
    <x v="26"/>
    <x v="0"/>
    <x v="0"/>
    <n v="10.37780645"/>
  </r>
  <r>
    <x v="0"/>
    <x v="13"/>
    <x v="1"/>
    <x v="26"/>
    <x v="0"/>
    <x v="1"/>
    <n v="5.3398959000000003E-2"/>
  </r>
  <r>
    <x v="0"/>
    <x v="13"/>
    <x v="2"/>
    <x v="26"/>
    <x v="0"/>
    <x v="1"/>
    <n v="6.1442290149999996"/>
  </r>
  <r>
    <x v="0"/>
    <x v="13"/>
    <x v="3"/>
    <x v="26"/>
    <x v="0"/>
    <x v="1"/>
    <n v="6.1781124E-2"/>
  </r>
  <r>
    <x v="0"/>
    <x v="13"/>
    <x v="0"/>
    <x v="27"/>
    <x v="0"/>
    <x v="0"/>
    <n v="513.46025748199997"/>
  </r>
  <r>
    <x v="0"/>
    <x v="13"/>
    <x v="1"/>
    <x v="27"/>
    <x v="0"/>
    <x v="1"/>
    <n v="5.5157112000000001E-2"/>
  </r>
  <r>
    <x v="0"/>
    <x v="13"/>
    <x v="2"/>
    <x v="27"/>
    <x v="0"/>
    <x v="1"/>
    <n v="396.096372454"/>
  </r>
  <r>
    <x v="0"/>
    <x v="13"/>
    <x v="3"/>
    <x v="27"/>
    <x v="0"/>
    <x v="1"/>
    <n v="8.4885587999999998E-2"/>
  </r>
  <r>
    <x v="0"/>
    <x v="13"/>
    <x v="0"/>
    <x v="28"/>
    <x v="0"/>
    <x v="0"/>
    <n v="619.89335701699997"/>
  </r>
  <r>
    <x v="0"/>
    <x v="13"/>
    <x v="1"/>
    <x v="28"/>
    <x v="0"/>
    <x v="1"/>
    <n v="4.4513039999999997E-2"/>
  </r>
  <r>
    <x v="0"/>
    <x v="13"/>
    <x v="2"/>
    <x v="28"/>
    <x v="0"/>
    <x v="1"/>
    <n v="331.89104645999998"/>
  </r>
  <r>
    <x v="0"/>
    <x v="13"/>
    <x v="3"/>
    <x v="28"/>
    <x v="0"/>
    <x v="1"/>
    <n v="4.4714904999999999E-2"/>
  </r>
  <r>
    <x v="0"/>
    <x v="13"/>
    <x v="0"/>
    <x v="29"/>
    <x v="0"/>
    <x v="0"/>
    <n v="553.26594863299999"/>
  </r>
  <r>
    <x v="0"/>
    <x v="13"/>
    <x v="1"/>
    <x v="29"/>
    <x v="0"/>
    <x v="1"/>
    <n v="4.8590161999999999E-2"/>
  </r>
  <r>
    <x v="0"/>
    <x v="13"/>
    <x v="2"/>
    <x v="29"/>
    <x v="0"/>
    <x v="1"/>
    <n v="355.10697724900001"/>
  </r>
  <r>
    <x v="0"/>
    <x v="13"/>
    <x v="3"/>
    <x v="29"/>
    <x v="0"/>
    <x v="1"/>
    <n v="5.2539572999999999E-2"/>
  </r>
  <r>
    <x v="0"/>
    <x v="13"/>
    <x v="0"/>
    <x v="30"/>
    <x v="0"/>
    <x v="0"/>
    <n v="136.409094737"/>
  </r>
  <r>
    <x v="0"/>
    <x v="13"/>
    <x v="1"/>
    <x v="30"/>
    <x v="0"/>
    <x v="1"/>
    <n v="7.5817869999999996E-2"/>
  </r>
  <r>
    <x v="0"/>
    <x v="13"/>
    <x v="2"/>
    <x v="30"/>
    <x v="0"/>
    <x v="1"/>
    <n v="85.678294530000002"/>
  </r>
  <r>
    <x v="0"/>
    <x v="13"/>
    <x v="3"/>
    <x v="30"/>
    <x v="0"/>
    <x v="1"/>
    <n v="8.9201170999999996E-2"/>
  </r>
  <r>
    <x v="0"/>
    <x v="13"/>
    <x v="0"/>
    <x v="31"/>
    <x v="0"/>
    <x v="0"/>
    <n v="202.617578501"/>
  </r>
  <r>
    <x v="0"/>
    <x v="13"/>
    <x v="1"/>
    <x v="31"/>
    <x v="0"/>
    <x v="1"/>
    <n v="3.7913018999999999E-2"/>
  </r>
  <r>
    <x v="0"/>
    <x v="13"/>
    <x v="2"/>
    <x v="31"/>
    <x v="0"/>
    <x v="1"/>
    <n v="111.410119549"/>
  </r>
  <r>
    <x v="0"/>
    <x v="13"/>
    <x v="3"/>
    <x v="31"/>
    <x v="0"/>
    <x v="1"/>
    <n v="2.9443761999999998E-2"/>
  </r>
  <r>
    <x v="0"/>
    <x v="13"/>
    <x v="0"/>
    <x v="32"/>
    <x v="0"/>
    <x v="0"/>
    <n v="648.62197620899997"/>
  </r>
  <r>
    <x v="0"/>
    <x v="13"/>
    <x v="1"/>
    <x v="32"/>
    <x v="0"/>
    <x v="1"/>
    <n v="3.9413258999999999E-2"/>
  </r>
  <r>
    <x v="0"/>
    <x v="13"/>
    <x v="2"/>
    <x v="32"/>
    <x v="0"/>
    <x v="1"/>
    <n v="305.08412282199998"/>
  </r>
  <r>
    <x v="0"/>
    <x v="13"/>
    <x v="3"/>
    <x v="32"/>
    <x v="0"/>
    <x v="1"/>
    <n v="3.3004203000000003E-2"/>
  </r>
  <r>
    <x v="0"/>
    <x v="13"/>
    <x v="0"/>
    <x v="33"/>
    <x v="0"/>
    <x v="0"/>
    <n v="597.72547879299998"/>
  </r>
  <r>
    <x v="0"/>
    <x v="13"/>
    <x v="1"/>
    <x v="33"/>
    <x v="0"/>
    <x v="1"/>
    <n v="2.3042394000000001E-2"/>
  </r>
  <r>
    <x v="0"/>
    <x v="13"/>
    <x v="2"/>
    <x v="33"/>
    <x v="0"/>
    <x v="1"/>
    <n v="230.295725116"/>
  </r>
  <r>
    <x v="0"/>
    <x v="13"/>
    <x v="3"/>
    <x v="33"/>
    <x v="0"/>
    <x v="1"/>
    <n v="1.0409643999999999E-2"/>
  </r>
  <r>
    <x v="0"/>
    <x v="13"/>
    <x v="0"/>
    <x v="34"/>
    <x v="0"/>
    <x v="0"/>
    <n v="324.04751257200002"/>
  </r>
  <r>
    <x v="0"/>
    <x v="13"/>
    <x v="1"/>
    <x v="34"/>
    <x v="0"/>
    <x v="1"/>
    <n v="5.2541503000000003E-2"/>
  </r>
  <r>
    <x v="0"/>
    <x v="13"/>
    <x v="2"/>
    <x v="34"/>
    <x v="0"/>
    <x v="1"/>
    <n v="229.05123998799999"/>
  </r>
  <r>
    <x v="0"/>
    <x v="13"/>
    <x v="3"/>
    <x v="34"/>
    <x v="0"/>
    <x v="1"/>
    <n v="5.9990435000000002E-2"/>
  </r>
  <r>
    <x v="0"/>
    <x v="13"/>
    <x v="0"/>
    <x v="35"/>
    <x v="0"/>
    <x v="0"/>
    <n v="261.46122787299998"/>
  </r>
  <r>
    <x v="0"/>
    <x v="13"/>
    <x v="1"/>
    <x v="35"/>
    <x v="0"/>
    <x v="1"/>
    <n v="5.4864244E-2"/>
  </r>
  <r>
    <x v="0"/>
    <x v="13"/>
    <x v="2"/>
    <x v="35"/>
    <x v="0"/>
    <x v="1"/>
    <n v="171.65860819400001"/>
  </r>
  <r>
    <x v="0"/>
    <x v="13"/>
    <x v="3"/>
    <x v="35"/>
    <x v="0"/>
    <x v="1"/>
    <n v="6.4705558999999996E-2"/>
  </r>
  <r>
    <x v="0"/>
    <x v="13"/>
    <x v="0"/>
    <x v="36"/>
    <x v="0"/>
    <x v="0"/>
    <n v="89.351595220999997"/>
  </r>
  <r>
    <x v="0"/>
    <x v="13"/>
    <x v="1"/>
    <x v="36"/>
    <x v="0"/>
    <x v="1"/>
    <n v="6.0014700999999997E-2"/>
  </r>
  <r>
    <x v="0"/>
    <x v="13"/>
    <x v="2"/>
    <x v="36"/>
    <x v="0"/>
    <x v="1"/>
    <n v="52.782091661000003"/>
  </r>
  <r>
    <x v="0"/>
    <x v="13"/>
    <x v="3"/>
    <x v="36"/>
    <x v="0"/>
    <x v="1"/>
    <n v="6.7223920000000006E-2"/>
  </r>
  <r>
    <x v="0"/>
    <x v="13"/>
    <x v="0"/>
    <x v="37"/>
    <x v="0"/>
    <x v="0"/>
    <n v="96.824752439999997"/>
  </r>
  <r>
    <x v="0"/>
    <x v="13"/>
    <x v="1"/>
    <x v="37"/>
    <x v="0"/>
    <x v="1"/>
    <n v="6.7722009E-2"/>
  </r>
  <r>
    <x v="0"/>
    <x v="13"/>
    <x v="2"/>
    <x v="37"/>
    <x v="0"/>
    <x v="1"/>
    <n v="50.887222870000002"/>
  </r>
  <r>
    <x v="0"/>
    <x v="13"/>
    <x v="3"/>
    <x v="37"/>
    <x v="0"/>
    <x v="1"/>
    <n v="8.9701797999999999E-2"/>
  </r>
  <r>
    <x v="0"/>
    <x v="13"/>
    <x v="0"/>
    <x v="38"/>
    <x v="0"/>
    <x v="0"/>
    <n v="310.89353871999998"/>
  </r>
  <r>
    <x v="0"/>
    <x v="13"/>
    <x v="1"/>
    <x v="38"/>
    <x v="0"/>
    <x v="1"/>
    <n v="9.5265394000000003E-2"/>
  </r>
  <r>
    <x v="0"/>
    <x v="13"/>
    <x v="2"/>
    <x v="38"/>
    <x v="0"/>
    <x v="1"/>
    <n v="83.962740225000005"/>
  </r>
  <r>
    <x v="0"/>
    <x v="13"/>
    <x v="3"/>
    <x v="38"/>
    <x v="0"/>
    <x v="1"/>
    <n v="0.110657347"/>
  </r>
  <r>
    <x v="0"/>
    <x v="13"/>
    <x v="0"/>
    <x v="39"/>
    <x v="0"/>
    <x v="0"/>
    <n v="166.80612660099999"/>
  </r>
  <r>
    <x v="0"/>
    <x v="13"/>
    <x v="1"/>
    <x v="39"/>
    <x v="0"/>
    <x v="1"/>
    <n v="7.3620977000000004E-2"/>
  </r>
  <r>
    <x v="0"/>
    <x v="13"/>
    <x v="2"/>
    <x v="39"/>
    <x v="0"/>
    <x v="1"/>
    <n v="95.468880159999998"/>
  </r>
  <r>
    <x v="0"/>
    <x v="13"/>
    <x v="3"/>
    <x v="39"/>
    <x v="0"/>
    <x v="1"/>
    <n v="0.10749855"/>
  </r>
  <r>
    <x v="0"/>
    <x v="13"/>
    <x v="0"/>
    <x v="40"/>
    <x v="0"/>
    <x v="0"/>
    <n v="61.304187911"/>
  </r>
  <r>
    <x v="0"/>
    <x v="13"/>
    <x v="1"/>
    <x v="40"/>
    <x v="0"/>
    <x v="1"/>
    <n v="6.0078553E-2"/>
  </r>
  <r>
    <x v="0"/>
    <x v="13"/>
    <x v="2"/>
    <x v="40"/>
    <x v="0"/>
    <x v="1"/>
    <n v="32.856404046999998"/>
  </r>
  <r>
    <x v="0"/>
    <x v="13"/>
    <x v="3"/>
    <x v="40"/>
    <x v="0"/>
    <x v="1"/>
    <n v="6.6431262000000005E-2"/>
  </r>
  <r>
    <x v="0"/>
    <x v="13"/>
    <x v="0"/>
    <x v="41"/>
    <x v="0"/>
    <x v="0"/>
    <n v="682.25269048600001"/>
  </r>
  <r>
    <x v="0"/>
    <x v="13"/>
    <x v="1"/>
    <x v="41"/>
    <x v="0"/>
    <x v="1"/>
    <n v="8.8554895999999994E-2"/>
  </r>
  <r>
    <x v="0"/>
    <x v="13"/>
    <x v="2"/>
    <x v="41"/>
    <x v="0"/>
    <x v="1"/>
    <n v="274.55258432300002"/>
  </r>
  <r>
    <x v="0"/>
    <x v="13"/>
    <x v="3"/>
    <x v="41"/>
    <x v="0"/>
    <x v="1"/>
    <n v="0.11204473700000001"/>
  </r>
  <r>
    <x v="0"/>
    <x v="13"/>
    <x v="4"/>
    <x v="0"/>
    <x v="1"/>
    <x v="0"/>
    <n v="252.97823527"/>
  </r>
  <r>
    <x v="0"/>
    <x v="13"/>
    <x v="5"/>
    <x v="0"/>
    <x v="1"/>
    <x v="1"/>
    <n v="2.5301000000000001E-5"/>
  </r>
  <r>
    <x v="0"/>
    <x v="13"/>
    <x v="6"/>
    <x v="0"/>
    <x v="1"/>
    <x v="1"/>
    <n v="0.543086136"/>
  </r>
  <r>
    <x v="0"/>
    <x v="13"/>
    <x v="4"/>
    <x v="1"/>
    <x v="1"/>
    <x v="0"/>
    <n v="372.80974389400001"/>
  </r>
  <r>
    <x v="0"/>
    <x v="13"/>
    <x v="5"/>
    <x v="1"/>
    <x v="1"/>
    <x v="1"/>
    <n v="3.0423E-5"/>
  </r>
  <r>
    <x v="0"/>
    <x v="13"/>
    <x v="6"/>
    <x v="1"/>
    <x v="1"/>
    <x v="1"/>
    <n v="0.543086136"/>
  </r>
  <r>
    <x v="0"/>
    <x v="13"/>
    <x v="4"/>
    <x v="2"/>
    <x v="1"/>
    <x v="0"/>
    <n v="580.56358737400001"/>
  </r>
  <r>
    <x v="0"/>
    <x v="13"/>
    <x v="5"/>
    <x v="2"/>
    <x v="1"/>
    <x v="1"/>
    <n v="7.6223000000000005E-5"/>
  </r>
  <r>
    <x v="0"/>
    <x v="13"/>
    <x v="6"/>
    <x v="2"/>
    <x v="1"/>
    <x v="1"/>
    <n v="0.543086136"/>
  </r>
  <r>
    <x v="0"/>
    <x v="13"/>
    <x v="4"/>
    <x v="3"/>
    <x v="1"/>
    <x v="0"/>
    <n v="217.21666167399999"/>
  </r>
  <r>
    <x v="0"/>
    <x v="13"/>
    <x v="5"/>
    <x v="3"/>
    <x v="1"/>
    <x v="1"/>
    <n v="2.6576000000000001E-5"/>
  </r>
  <r>
    <x v="0"/>
    <x v="13"/>
    <x v="6"/>
    <x v="3"/>
    <x v="1"/>
    <x v="1"/>
    <n v="0.543086136"/>
  </r>
  <r>
    <x v="0"/>
    <x v="13"/>
    <x v="4"/>
    <x v="4"/>
    <x v="1"/>
    <x v="0"/>
    <n v="97.524148651000004"/>
  </r>
  <r>
    <x v="0"/>
    <x v="13"/>
    <x v="5"/>
    <x v="4"/>
    <x v="1"/>
    <x v="1"/>
    <n v="2.6247000000000001E-5"/>
  </r>
  <r>
    <x v="0"/>
    <x v="13"/>
    <x v="6"/>
    <x v="4"/>
    <x v="1"/>
    <x v="1"/>
    <n v="0.543086136"/>
  </r>
  <r>
    <x v="0"/>
    <x v="13"/>
    <x v="4"/>
    <x v="5"/>
    <x v="1"/>
    <x v="0"/>
    <n v="738.94422758600001"/>
  </r>
  <r>
    <x v="0"/>
    <x v="13"/>
    <x v="5"/>
    <x v="5"/>
    <x v="1"/>
    <x v="1"/>
    <n v="1.3054000000000001E-5"/>
  </r>
  <r>
    <x v="0"/>
    <x v="13"/>
    <x v="6"/>
    <x v="5"/>
    <x v="1"/>
    <x v="1"/>
    <n v="0.543086136"/>
  </r>
  <r>
    <x v="0"/>
    <x v="13"/>
    <x v="4"/>
    <x v="6"/>
    <x v="1"/>
    <x v="0"/>
    <n v="220.447851224"/>
  </r>
  <r>
    <x v="0"/>
    <x v="13"/>
    <x v="5"/>
    <x v="6"/>
    <x v="1"/>
    <x v="1"/>
    <n v="9.3370000000000006E-6"/>
  </r>
  <r>
    <x v="0"/>
    <x v="13"/>
    <x v="6"/>
    <x v="6"/>
    <x v="1"/>
    <x v="1"/>
    <n v="0.543086136"/>
  </r>
  <r>
    <x v="0"/>
    <x v="13"/>
    <x v="4"/>
    <x v="7"/>
    <x v="1"/>
    <x v="0"/>
    <n v="157.07668183199999"/>
  </r>
  <r>
    <x v="0"/>
    <x v="13"/>
    <x v="5"/>
    <x v="7"/>
    <x v="1"/>
    <x v="1"/>
    <n v="6.973E-6"/>
  </r>
  <r>
    <x v="0"/>
    <x v="13"/>
    <x v="6"/>
    <x v="7"/>
    <x v="1"/>
    <x v="1"/>
    <n v="0.543086136"/>
  </r>
  <r>
    <x v="0"/>
    <x v="13"/>
    <x v="4"/>
    <x v="8"/>
    <x v="1"/>
    <x v="0"/>
    <n v="123.14630115200001"/>
  </r>
  <r>
    <x v="0"/>
    <x v="13"/>
    <x v="5"/>
    <x v="8"/>
    <x v="1"/>
    <x v="1"/>
    <n v="7.3889999999999999E-6"/>
  </r>
  <r>
    <x v="0"/>
    <x v="13"/>
    <x v="6"/>
    <x v="8"/>
    <x v="1"/>
    <x v="1"/>
    <n v="0.543086136"/>
  </r>
  <r>
    <x v="0"/>
    <x v="13"/>
    <x v="4"/>
    <x v="9"/>
    <x v="1"/>
    <x v="0"/>
    <n v="264.03466958199999"/>
  </r>
  <r>
    <x v="0"/>
    <x v="13"/>
    <x v="5"/>
    <x v="9"/>
    <x v="1"/>
    <x v="1"/>
    <n v="1.9828999999999999E-5"/>
  </r>
  <r>
    <x v="0"/>
    <x v="13"/>
    <x v="6"/>
    <x v="9"/>
    <x v="1"/>
    <x v="1"/>
    <n v="0.543086136"/>
  </r>
  <r>
    <x v="0"/>
    <x v="13"/>
    <x v="4"/>
    <x v="10"/>
    <x v="1"/>
    <x v="0"/>
    <n v="196.69883898500001"/>
  </r>
  <r>
    <x v="0"/>
    <x v="13"/>
    <x v="5"/>
    <x v="10"/>
    <x v="1"/>
    <x v="1"/>
    <n v="2.0338000000000001E-5"/>
  </r>
  <r>
    <x v="0"/>
    <x v="13"/>
    <x v="6"/>
    <x v="10"/>
    <x v="1"/>
    <x v="1"/>
    <n v="0.543086136"/>
  </r>
  <r>
    <x v="0"/>
    <x v="13"/>
    <x v="4"/>
    <x v="11"/>
    <x v="1"/>
    <x v="0"/>
    <n v="1091.479913697"/>
  </r>
  <r>
    <x v="0"/>
    <x v="13"/>
    <x v="5"/>
    <x v="11"/>
    <x v="1"/>
    <x v="1"/>
    <n v="1.5204E-5"/>
  </r>
  <r>
    <x v="0"/>
    <x v="13"/>
    <x v="6"/>
    <x v="11"/>
    <x v="1"/>
    <x v="1"/>
    <n v="0.543086136"/>
  </r>
  <r>
    <x v="0"/>
    <x v="13"/>
    <x v="4"/>
    <x v="12"/>
    <x v="1"/>
    <x v="0"/>
    <n v="365.88255541900003"/>
  </r>
  <r>
    <x v="0"/>
    <x v="13"/>
    <x v="5"/>
    <x v="12"/>
    <x v="1"/>
    <x v="1"/>
    <n v="8.1389999999999995E-6"/>
  </r>
  <r>
    <x v="0"/>
    <x v="13"/>
    <x v="6"/>
    <x v="12"/>
    <x v="1"/>
    <x v="1"/>
    <n v="0.543086136"/>
  </r>
  <r>
    <x v="0"/>
    <x v="13"/>
    <x v="4"/>
    <x v="13"/>
    <x v="1"/>
    <x v="0"/>
    <n v="873.28553523400001"/>
  </r>
  <r>
    <x v="0"/>
    <x v="13"/>
    <x v="5"/>
    <x v="13"/>
    <x v="1"/>
    <x v="1"/>
    <n v="9.4539999999999996E-6"/>
  </r>
  <r>
    <x v="0"/>
    <x v="13"/>
    <x v="6"/>
    <x v="13"/>
    <x v="1"/>
    <x v="1"/>
    <n v="0.543086136"/>
  </r>
  <r>
    <x v="0"/>
    <x v="13"/>
    <x v="4"/>
    <x v="14"/>
    <x v="1"/>
    <x v="0"/>
    <n v="216.08746415300001"/>
  </r>
  <r>
    <x v="0"/>
    <x v="13"/>
    <x v="5"/>
    <x v="14"/>
    <x v="1"/>
    <x v="1"/>
    <n v="1.0498E-5"/>
  </r>
  <r>
    <x v="0"/>
    <x v="13"/>
    <x v="6"/>
    <x v="14"/>
    <x v="1"/>
    <x v="1"/>
    <n v="0.543086136"/>
  </r>
  <r>
    <x v="0"/>
    <x v="13"/>
    <x v="4"/>
    <x v="15"/>
    <x v="1"/>
    <x v="0"/>
    <n v="250.86838412399999"/>
  </r>
  <r>
    <x v="0"/>
    <x v="13"/>
    <x v="5"/>
    <x v="15"/>
    <x v="1"/>
    <x v="1"/>
    <n v="7.6939999999999995E-6"/>
  </r>
  <r>
    <x v="0"/>
    <x v="13"/>
    <x v="6"/>
    <x v="15"/>
    <x v="1"/>
    <x v="1"/>
    <n v="0.543086136"/>
  </r>
  <r>
    <x v="0"/>
    <x v="13"/>
    <x v="4"/>
    <x v="16"/>
    <x v="1"/>
    <x v="0"/>
    <n v="182.14375277799999"/>
  </r>
  <r>
    <x v="0"/>
    <x v="13"/>
    <x v="5"/>
    <x v="16"/>
    <x v="1"/>
    <x v="1"/>
    <n v="5.9000000000000003E-6"/>
  </r>
  <r>
    <x v="0"/>
    <x v="13"/>
    <x v="6"/>
    <x v="16"/>
    <x v="1"/>
    <x v="1"/>
    <n v="0.543086136"/>
  </r>
  <r>
    <x v="0"/>
    <x v="13"/>
    <x v="4"/>
    <x v="17"/>
    <x v="1"/>
    <x v="0"/>
    <n v="371.221110479"/>
  </r>
  <r>
    <x v="0"/>
    <x v="13"/>
    <x v="5"/>
    <x v="17"/>
    <x v="1"/>
    <x v="1"/>
    <n v="7.3139999999999998E-6"/>
  </r>
  <r>
    <x v="0"/>
    <x v="13"/>
    <x v="6"/>
    <x v="17"/>
    <x v="1"/>
    <x v="1"/>
    <n v="0.543086136"/>
  </r>
  <r>
    <x v="0"/>
    <x v="13"/>
    <x v="4"/>
    <x v="18"/>
    <x v="1"/>
    <x v="0"/>
    <n v="298.316644854"/>
  </r>
  <r>
    <x v="0"/>
    <x v="13"/>
    <x v="5"/>
    <x v="18"/>
    <x v="1"/>
    <x v="1"/>
    <n v="8.1939999999999998E-6"/>
  </r>
  <r>
    <x v="0"/>
    <x v="13"/>
    <x v="6"/>
    <x v="18"/>
    <x v="1"/>
    <x v="1"/>
    <n v="0.543086136"/>
  </r>
  <r>
    <x v="0"/>
    <x v="13"/>
    <x v="4"/>
    <x v="19"/>
    <x v="1"/>
    <x v="0"/>
    <n v="315.23495921099999"/>
  </r>
  <r>
    <x v="0"/>
    <x v="13"/>
    <x v="5"/>
    <x v="19"/>
    <x v="1"/>
    <x v="1"/>
    <n v="7.9640000000000003E-6"/>
  </r>
  <r>
    <x v="0"/>
    <x v="13"/>
    <x v="6"/>
    <x v="19"/>
    <x v="1"/>
    <x v="1"/>
    <n v="0.543086136"/>
  </r>
  <r>
    <x v="0"/>
    <x v="13"/>
    <x v="4"/>
    <x v="20"/>
    <x v="1"/>
    <x v="0"/>
    <n v="51.546614687999998"/>
  </r>
  <r>
    <x v="0"/>
    <x v="13"/>
    <x v="5"/>
    <x v="20"/>
    <x v="1"/>
    <x v="1"/>
    <n v="1.6682000000000001E-5"/>
  </r>
  <r>
    <x v="0"/>
    <x v="13"/>
    <x v="6"/>
    <x v="20"/>
    <x v="1"/>
    <x v="1"/>
    <n v="0.543086136"/>
  </r>
  <r>
    <x v="0"/>
    <x v="13"/>
    <x v="4"/>
    <x v="21"/>
    <x v="1"/>
    <x v="0"/>
    <n v="18.378170363999999"/>
  </r>
  <r>
    <x v="0"/>
    <x v="13"/>
    <x v="5"/>
    <x v="21"/>
    <x v="1"/>
    <x v="1"/>
    <n v="1.486E-5"/>
  </r>
  <r>
    <x v="0"/>
    <x v="13"/>
    <x v="6"/>
    <x v="21"/>
    <x v="1"/>
    <x v="1"/>
    <n v="0.543086136"/>
  </r>
  <r>
    <x v="0"/>
    <x v="13"/>
    <x v="4"/>
    <x v="22"/>
    <x v="1"/>
    <x v="0"/>
    <n v="315.31669868099999"/>
  </r>
  <r>
    <x v="0"/>
    <x v="13"/>
    <x v="5"/>
    <x v="22"/>
    <x v="1"/>
    <x v="1"/>
    <n v="1.9272000000000001E-5"/>
  </r>
  <r>
    <x v="0"/>
    <x v="13"/>
    <x v="6"/>
    <x v="22"/>
    <x v="1"/>
    <x v="1"/>
    <n v="0.543086136"/>
  </r>
  <r>
    <x v="0"/>
    <x v="13"/>
    <x v="4"/>
    <x v="23"/>
    <x v="1"/>
    <x v="0"/>
    <n v="3.6416705120000001"/>
  </r>
  <r>
    <x v="0"/>
    <x v="13"/>
    <x v="5"/>
    <x v="23"/>
    <x v="1"/>
    <x v="1"/>
    <n v="2.3271000000000001E-5"/>
  </r>
  <r>
    <x v="0"/>
    <x v="13"/>
    <x v="6"/>
    <x v="23"/>
    <x v="1"/>
    <x v="1"/>
    <n v="0.543086136"/>
  </r>
  <r>
    <x v="0"/>
    <x v="13"/>
    <x v="4"/>
    <x v="24"/>
    <x v="1"/>
    <x v="0"/>
    <n v="659.87864194600002"/>
  </r>
  <r>
    <x v="0"/>
    <x v="13"/>
    <x v="5"/>
    <x v="24"/>
    <x v="1"/>
    <x v="1"/>
    <n v="1.4919999999999999E-5"/>
  </r>
  <r>
    <x v="0"/>
    <x v="13"/>
    <x v="6"/>
    <x v="24"/>
    <x v="1"/>
    <x v="1"/>
    <n v="0.543086136"/>
  </r>
  <r>
    <x v="0"/>
    <x v="13"/>
    <x v="4"/>
    <x v="25"/>
    <x v="1"/>
    <x v="0"/>
    <n v="35.301929678"/>
  </r>
  <r>
    <x v="0"/>
    <x v="13"/>
    <x v="5"/>
    <x v="25"/>
    <x v="1"/>
    <x v="1"/>
    <n v="1.0206E-5"/>
  </r>
  <r>
    <x v="0"/>
    <x v="13"/>
    <x v="6"/>
    <x v="25"/>
    <x v="1"/>
    <x v="1"/>
    <n v="0.543086136"/>
  </r>
  <r>
    <x v="0"/>
    <x v="13"/>
    <x v="4"/>
    <x v="26"/>
    <x v="1"/>
    <x v="0"/>
    <n v="26.307057310000001"/>
  </r>
  <r>
    <x v="0"/>
    <x v="13"/>
    <x v="5"/>
    <x v="26"/>
    <x v="1"/>
    <x v="1"/>
    <n v="1.0582E-5"/>
  </r>
  <r>
    <x v="0"/>
    <x v="13"/>
    <x v="6"/>
    <x v="26"/>
    <x v="1"/>
    <x v="1"/>
    <n v="0.543086136"/>
  </r>
  <r>
    <x v="0"/>
    <x v="13"/>
    <x v="4"/>
    <x v="27"/>
    <x v="1"/>
    <x v="0"/>
    <n v="630.30791198099996"/>
  </r>
  <r>
    <x v="0"/>
    <x v="13"/>
    <x v="5"/>
    <x v="27"/>
    <x v="1"/>
    <x v="1"/>
    <n v="4.8740000000000003E-6"/>
  </r>
  <r>
    <x v="0"/>
    <x v="13"/>
    <x v="6"/>
    <x v="27"/>
    <x v="1"/>
    <x v="1"/>
    <n v="0.543086136"/>
  </r>
  <r>
    <x v="0"/>
    <x v="13"/>
    <x v="4"/>
    <x v="28"/>
    <x v="1"/>
    <x v="0"/>
    <n v="1867.5992701109999"/>
  </r>
  <r>
    <x v="0"/>
    <x v="13"/>
    <x v="5"/>
    <x v="28"/>
    <x v="1"/>
    <x v="1"/>
    <n v="1.7176E-5"/>
  </r>
  <r>
    <x v="0"/>
    <x v="13"/>
    <x v="6"/>
    <x v="28"/>
    <x v="1"/>
    <x v="1"/>
    <n v="0.543086136"/>
  </r>
  <r>
    <x v="0"/>
    <x v="13"/>
    <x v="4"/>
    <x v="29"/>
    <x v="1"/>
    <x v="0"/>
    <n v="1160.9304336539999"/>
  </r>
  <r>
    <x v="0"/>
    <x v="13"/>
    <x v="5"/>
    <x v="29"/>
    <x v="1"/>
    <x v="1"/>
    <n v="1.9743000000000001E-5"/>
  </r>
  <r>
    <x v="0"/>
    <x v="13"/>
    <x v="6"/>
    <x v="29"/>
    <x v="1"/>
    <x v="1"/>
    <n v="0.543086136"/>
  </r>
  <r>
    <x v="0"/>
    <x v="13"/>
    <x v="4"/>
    <x v="30"/>
    <x v="1"/>
    <x v="0"/>
    <n v="202.59968045900001"/>
  </r>
  <r>
    <x v="0"/>
    <x v="13"/>
    <x v="5"/>
    <x v="30"/>
    <x v="1"/>
    <x v="1"/>
    <n v="1.1398E-5"/>
  </r>
  <r>
    <x v="0"/>
    <x v="13"/>
    <x v="6"/>
    <x v="30"/>
    <x v="1"/>
    <x v="1"/>
    <n v="0.543086136"/>
  </r>
  <r>
    <x v="0"/>
    <x v="13"/>
    <x v="4"/>
    <x v="31"/>
    <x v="1"/>
    <x v="0"/>
    <n v="696.11003839299997"/>
  </r>
  <r>
    <x v="0"/>
    <x v="13"/>
    <x v="5"/>
    <x v="31"/>
    <x v="1"/>
    <x v="1"/>
    <n v="1.2797E-5"/>
  </r>
  <r>
    <x v="0"/>
    <x v="13"/>
    <x v="6"/>
    <x v="31"/>
    <x v="1"/>
    <x v="1"/>
    <n v="0.543086136"/>
  </r>
  <r>
    <x v="0"/>
    <x v="13"/>
    <x v="4"/>
    <x v="32"/>
    <x v="1"/>
    <x v="0"/>
    <n v="2218.4074860109999"/>
  </r>
  <r>
    <x v="0"/>
    <x v="13"/>
    <x v="5"/>
    <x v="32"/>
    <x v="1"/>
    <x v="1"/>
    <n v="2.3552000000000001E-5"/>
  </r>
  <r>
    <x v="0"/>
    <x v="13"/>
    <x v="6"/>
    <x v="32"/>
    <x v="1"/>
    <x v="1"/>
    <n v="0.543086136"/>
  </r>
  <r>
    <x v="0"/>
    <x v="13"/>
    <x v="4"/>
    <x v="33"/>
    <x v="1"/>
    <x v="0"/>
    <n v="2370.5005897699998"/>
  </r>
  <r>
    <x v="0"/>
    <x v="13"/>
    <x v="5"/>
    <x v="33"/>
    <x v="1"/>
    <x v="1"/>
    <n v="2.2617999999999999E-5"/>
  </r>
  <r>
    <x v="0"/>
    <x v="13"/>
    <x v="6"/>
    <x v="33"/>
    <x v="1"/>
    <x v="1"/>
    <n v="0.543086136"/>
  </r>
  <r>
    <x v="0"/>
    <x v="13"/>
    <x v="4"/>
    <x v="34"/>
    <x v="1"/>
    <x v="0"/>
    <n v="496.47119089300003"/>
  </r>
  <r>
    <x v="0"/>
    <x v="13"/>
    <x v="5"/>
    <x v="34"/>
    <x v="1"/>
    <x v="1"/>
    <n v="2.3019000000000001E-5"/>
  </r>
  <r>
    <x v="0"/>
    <x v="13"/>
    <x v="6"/>
    <x v="34"/>
    <x v="1"/>
    <x v="1"/>
    <n v="0.543086136"/>
  </r>
  <r>
    <x v="0"/>
    <x v="13"/>
    <x v="4"/>
    <x v="35"/>
    <x v="1"/>
    <x v="0"/>
    <n v="419.99945462800002"/>
  </r>
  <r>
    <x v="0"/>
    <x v="13"/>
    <x v="5"/>
    <x v="35"/>
    <x v="1"/>
    <x v="1"/>
    <n v="2.8887999999999999E-5"/>
  </r>
  <r>
    <x v="0"/>
    <x v="13"/>
    <x v="6"/>
    <x v="35"/>
    <x v="1"/>
    <x v="1"/>
    <n v="0.543086136"/>
  </r>
  <r>
    <x v="0"/>
    <x v="13"/>
    <x v="4"/>
    <x v="36"/>
    <x v="1"/>
    <x v="0"/>
    <n v="142.69717858499999"/>
  </r>
  <r>
    <x v="0"/>
    <x v="13"/>
    <x v="5"/>
    <x v="36"/>
    <x v="1"/>
    <x v="1"/>
    <n v="5.2907E-5"/>
  </r>
  <r>
    <x v="0"/>
    <x v="13"/>
    <x v="6"/>
    <x v="36"/>
    <x v="1"/>
    <x v="1"/>
    <n v="0.543086136"/>
  </r>
  <r>
    <x v="0"/>
    <x v="13"/>
    <x v="4"/>
    <x v="37"/>
    <x v="1"/>
    <x v="0"/>
    <n v="177.23333217499999"/>
  </r>
  <r>
    <x v="0"/>
    <x v="13"/>
    <x v="5"/>
    <x v="37"/>
    <x v="1"/>
    <x v="1"/>
    <n v="1.2559E-5"/>
  </r>
  <r>
    <x v="0"/>
    <x v="13"/>
    <x v="6"/>
    <x v="37"/>
    <x v="1"/>
    <x v="1"/>
    <n v="0.543086136"/>
  </r>
  <r>
    <x v="0"/>
    <x v="13"/>
    <x v="4"/>
    <x v="38"/>
    <x v="1"/>
    <x v="0"/>
    <n v="323.27759660599997"/>
  </r>
  <r>
    <x v="0"/>
    <x v="13"/>
    <x v="5"/>
    <x v="38"/>
    <x v="1"/>
    <x v="1"/>
    <n v="6.1629000000000002E-5"/>
  </r>
  <r>
    <x v="0"/>
    <x v="13"/>
    <x v="6"/>
    <x v="38"/>
    <x v="1"/>
    <x v="1"/>
    <n v="0.543086136"/>
  </r>
  <r>
    <x v="0"/>
    <x v="13"/>
    <x v="4"/>
    <x v="39"/>
    <x v="1"/>
    <x v="0"/>
    <n v="148.08475568399999"/>
  </r>
  <r>
    <x v="0"/>
    <x v="13"/>
    <x v="5"/>
    <x v="39"/>
    <x v="1"/>
    <x v="1"/>
    <n v="2.1866999999999999E-5"/>
  </r>
  <r>
    <x v="0"/>
    <x v="13"/>
    <x v="6"/>
    <x v="39"/>
    <x v="1"/>
    <x v="1"/>
    <n v="0.543086136"/>
  </r>
  <r>
    <x v="0"/>
    <x v="13"/>
    <x v="4"/>
    <x v="40"/>
    <x v="1"/>
    <x v="0"/>
    <n v="140.90704920900001"/>
  </r>
  <r>
    <x v="0"/>
    <x v="13"/>
    <x v="5"/>
    <x v="40"/>
    <x v="1"/>
    <x v="1"/>
    <n v="2.1032000000000001E-5"/>
  </r>
  <r>
    <x v="0"/>
    <x v="13"/>
    <x v="6"/>
    <x v="40"/>
    <x v="1"/>
    <x v="1"/>
    <n v="0.543086136"/>
  </r>
  <r>
    <x v="0"/>
    <x v="13"/>
    <x v="4"/>
    <x v="41"/>
    <x v="1"/>
    <x v="0"/>
    <n v="465.68804169999999"/>
  </r>
  <r>
    <x v="0"/>
    <x v="13"/>
    <x v="5"/>
    <x v="41"/>
    <x v="1"/>
    <x v="1"/>
    <n v="1.1974800000000001E-4"/>
  </r>
  <r>
    <x v="0"/>
    <x v="13"/>
    <x v="6"/>
    <x v="41"/>
    <x v="1"/>
    <x v="1"/>
    <n v="0.543086136"/>
  </r>
  <r>
    <x v="0"/>
    <x v="13"/>
    <x v="7"/>
    <x v="0"/>
    <x v="2"/>
    <x v="2"/>
    <n v="403.159739645"/>
  </r>
  <r>
    <x v="0"/>
    <x v="13"/>
    <x v="7"/>
    <x v="1"/>
    <x v="2"/>
    <x v="2"/>
    <n v="47.501288123999998"/>
  </r>
  <r>
    <x v="0"/>
    <x v="13"/>
    <x v="7"/>
    <x v="2"/>
    <x v="2"/>
    <x v="2"/>
    <n v="21.096089225"/>
  </r>
  <r>
    <x v="0"/>
    <x v="13"/>
    <x v="7"/>
    <x v="3"/>
    <x v="2"/>
    <x v="2"/>
    <n v="16.177531651999999"/>
  </r>
  <r>
    <x v="0"/>
    <x v="13"/>
    <x v="7"/>
    <x v="4"/>
    <x v="2"/>
    <x v="2"/>
    <n v="9.4275903119999995"/>
  </r>
  <r>
    <x v="0"/>
    <x v="13"/>
    <x v="7"/>
    <x v="5"/>
    <x v="2"/>
    <x v="2"/>
    <n v="33.928859490999997"/>
  </r>
  <r>
    <x v="0"/>
    <x v="13"/>
    <x v="7"/>
    <x v="6"/>
    <x v="2"/>
    <x v="2"/>
    <n v="14.545567878"/>
  </r>
  <r>
    <x v="0"/>
    <x v="13"/>
    <x v="7"/>
    <x v="7"/>
    <x v="2"/>
    <x v="2"/>
    <n v="13.026195705999999"/>
  </r>
  <r>
    <x v="0"/>
    <x v="13"/>
    <x v="7"/>
    <x v="8"/>
    <x v="2"/>
    <x v="2"/>
    <n v="7.149249738"/>
  </r>
  <r>
    <x v="0"/>
    <x v="13"/>
    <x v="7"/>
    <x v="9"/>
    <x v="2"/>
    <x v="2"/>
    <n v="22.03944426"/>
  </r>
  <r>
    <x v="0"/>
    <x v="13"/>
    <x v="7"/>
    <x v="10"/>
    <x v="2"/>
    <x v="2"/>
    <n v="10.017134019"/>
  </r>
  <r>
    <x v="0"/>
    <x v="13"/>
    <x v="7"/>
    <x v="11"/>
    <x v="2"/>
    <x v="2"/>
    <n v="45.878321755000002"/>
  </r>
  <r>
    <x v="0"/>
    <x v="13"/>
    <x v="7"/>
    <x v="12"/>
    <x v="2"/>
    <x v="2"/>
    <n v="19.071223346"/>
  </r>
  <r>
    <x v="0"/>
    <x v="13"/>
    <x v="7"/>
    <x v="13"/>
    <x v="2"/>
    <x v="2"/>
    <n v="27.401551993999998"/>
  </r>
  <r>
    <x v="0"/>
    <x v="13"/>
    <x v="7"/>
    <x v="14"/>
    <x v="2"/>
    <x v="2"/>
    <n v="13.215100225"/>
  </r>
  <r>
    <x v="0"/>
    <x v="13"/>
    <x v="7"/>
    <x v="15"/>
    <x v="2"/>
    <x v="2"/>
    <n v="16.353252201"/>
  </r>
  <r>
    <x v="0"/>
    <x v="13"/>
    <x v="7"/>
    <x v="16"/>
    <x v="2"/>
    <x v="2"/>
    <n v="10.882432246"/>
  </r>
  <r>
    <x v="0"/>
    <x v="13"/>
    <x v="7"/>
    <x v="17"/>
    <x v="2"/>
    <x v="2"/>
    <n v="22.196324321999999"/>
  </r>
  <r>
    <x v="0"/>
    <x v="13"/>
    <x v="7"/>
    <x v="18"/>
    <x v="2"/>
    <x v="2"/>
    <n v="13.777542874"/>
  </r>
  <r>
    <x v="0"/>
    <x v="13"/>
    <x v="7"/>
    <x v="19"/>
    <x v="2"/>
    <x v="2"/>
    <n v="23.740041058999999"/>
  </r>
  <r>
    <x v="0"/>
    <x v="13"/>
    <x v="7"/>
    <x v="20"/>
    <x v="2"/>
    <x v="2"/>
    <n v="3.4094019489999998"/>
  </r>
  <r>
    <x v="0"/>
    <x v="13"/>
    <x v="7"/>
    <x v="21"/>
    <x v="2"/>
    <x v="2"/>
    <n v="1.4893420559999999"/>
  </r>
  <r>
    <x v="0"/>
    <x v="13"/>
    <x v="7"/>
    <x v="22"/>
    <x v="2"/>
    <x v="2"/>
    <n v="1.0067811019999999"/>
  </r>
  <r>
    <x v="0"/>
    <x v="13"/>
    <x v="7"/>
    <x v="23"/>
    <x v="2"/>
    <x v="2"/>
    <n v="0.95916820000000003"/>
  </r>
  <r>
    <x v="0"/>
    <x v="13"/>
    <x v="7"/>
    <x v="24"/>
    <x v="2"/>
    <x v="2"/>
    <n v="20.498933750999999"/>
  </r>
  <r>
    <x v="0"/>
    <x v="13"/>
    <x v="7"/>
    <x v="25"/>
    <x v="2"/>
    <x v="2"/>
    <n v="0.89030038"/>
  </r>
  <r>
    <x v="0"/>
    <x v="13"/>
    <x v="7"/>
    <x v="26"/>
    <x v="2"/>
    <x v="2"/>
    <n v="1.8319336310000001"/>
  </r>
  <r>
    <x v="0"/>
    <x v="13"/>
    <x v="7"/>
    <x v="27"/>
    <x v="2"/>
    <x v="2"/>
    <n v="69.067110624999998"/>
  </r>
  <r>
    <x v="0"/>
    <x v="13"/>
    <x v="7"/>
    <x v="28"/>
    <x v="2"/>
    <x v="2"/>
    <n v="90.974909194999995"/>
  </r>
  <r>
    <x v="0"/>
    <x v="13"/>
    <x v="7"/>
    <x v="29"/>
    <x v="2"/>
    <x v="2"/>
    <n v="73.211399108999998"/>
  </r>
  <r>
    <x v="0"/>
    <x v="13"/>
    <x v="7"/>
    <x v="30"/>
    <x v="2"/>
    <x v="2"/>
    <n v="31.307651529000001"/>
  </r>
  <r>
    <x v="0"/>
    <x v="13"/>
    <x v="7"/>
    <x v="31"/>
    <x v="2"/>
    <x v="2"/>
    <n v="19.181061149000001"/>
  </r>
  <r>
    <x v="0"/>
    <x v="13"/>
    <x v="7"/>
    <x v="32"/>
    <x v="2"/>
    <x v="2"/>
    <n v="80.622471413"/>
  </r>
  <r>
    <x v="0"/>
    <x v="13"/>
    <x v="7"/>
    <x v="33"/>
    <x v="2"/>
    <x v="2"/>
    <n v="27.737973552"/>
  </r>
  <r>
    <x v="0"/>
    <x v="13"/>
    <x v="7"/>
    <x v="34"/>
    <x v="2"/>
    <x v="2"/>
    <n v="39.914694992000001"/>
  </r>
  <r>
    <x v="0"/>
    <x v="13"/>
    <x v="7"/>
    <x v="35"/>
    <x v="2"/>
    <x v="2"/>
    <n v="40.594209440999997"/>
  </r>
  <r>
    <x v="0"/>
    <x v="13"/>
    <x v="7"/>
    <x v="36"/>
    <x v="2"/>
    <x v="2"/>
    <n v="17.135170806000001"/>
  </r>
  <r>
    <x v="0"/>
    <x v="13"/>
    <x v="7"/>
    <x v="37"/>
    <x v="2"/>
    <x v="2"/>
    <n v="28.501762909"/>
  </r>
  <r>
    <x v="0"/>
    <x v="13"/>
    <x v="7"/>
    <x v="38"/>
    <x v="2"/>
    <x v="2"/>
    <n v="172.18681950199999"/>
  </r>
  <r>
    <x v="0"/>
    <x v="13"/>
    <x v="7"/>
    <x v="39"/>
    <x v="2"/>
    <x v="2"/>
    <n v="52.667210367000003"/>
  </r>
  <r>
    <x v="0"/>
    <x v="13"/>
    <x v="7"/>
    <x v="40"/>
    <x v="2"/>
    <x v="2"/>
    <n v="13.197879692000001"/>
  </r>
  <r>
    <x v="0"/>
    <x v="13"/>
    <x v="7"/>
    <x v="41"/>
    <x v="2"/>
    <x v="2"/>
    <n v="312.92430295600002"/>
  </r>
  <r>
    <x v="0"/>
    <x v="13"/>
    <x v="8"/>
    <x v="0"/>
    <x v="2"/>
    <x v="3"/>
    <n v="7.4373702E-2"/>
  </r>
  <r>
    <x v="0"/>
    <x v="13"/>
    <x v="8"/>
    <x v="1"/>
    <x v="2"/>
    <x v="3"/>
    <n v="7.4373702E-2"/>
  </r>
  <r>
    <x v="0"/>
    <x v="13"/>
    <x v="8"/>
    <x v="2"/>
    <x v="2"/>
    <x v="3"/>
    <n v="7.4373702E-2"/>
  </r>
  <r>
    <x v="0"/>
    <x v="13"/>
    <x v="8"/>
    <x v="3"/>
    <x v="2"/>
    <x v="3"/>
    <n v="7.4373702E-2"/>
  </r>
  <r>
    <x v="0"/>
    <x v="13"/>
    <x v="8"/>
    <x v="4"/>
    <x v="2"/>
    <x v="3"/>
    <n v="7.4373702E-2"/>
  </r>
  <r>
    <x v="0"/>
    <x v="13"/>
    <x v="8"/>
    <x v="5"/>
    <x v="2"/>
    <x v="3"/>
    <n v="7.4373702E-2"/>
  </r>
  <r>
    <x v="0"/>
    <x v="13"/>
    <x v="8"/>
    <x v="6"/>
    <x v="2"/>
    <x v="3"/>
    <n v="7.4373702E-2"/>
  </r>
  <r>
    <x v="0"/>
    <x v="13"/>
    <x v="8"/>
    <x v="7"/>
    <x v="2"/>
    <x v="3"/>
    <n v="7.4373702E-2"/>
  </r>
  <r>
    <x v="0"/>
    <x v="13"/>
    <x v="8"/>
    <x v="8"/>
    <x v="2"/>
    <x v="3"/>
    <n v="7.4373702E-2"/>
  </r>
  <r>
    <x v="0"/>
    <x v="13"/>
    <x v="8"/>
    <x v="9"/>
    <x v="2"/>
    <x v="3"/>
    <n v="7.4373702E-2"/>
  </r>
  <r>
    <x v="0"/>
    <x v="13"/>
    <x v="8"/>
    <x v="10"/>
    <x v="2"/>
    <x v="3"/>
    <n v="7.4373702E-2"/>
  </r>
  <r>
    <x v="0"/>
    <x v="13"/>
    <x v="8"/>
    <x v="11"/>
    <x v="2"/>
    <x v="3"/>
    <n v="7.4373702E-2"/>
  </r>
  <r>
    <x v="0"/>
    <x v="13"/>
    <x v="8"/>
    <x v="12"/>
    <x v="2"/>
    <x v="3"/>
    <n v="7.4373702E-2"/>
  </r>
  <r>
    <x v="0"/>
    <x v="13"/>
    <x v="8"/>
    <x v="13"/>
    <x v="2"/>
    <x v="3"/>
    <n v="7.4373702E-2"/>
  </r>
  <r>
    <x v="0"/>
    <x v="13"/>
    <x v="8"/>
    <x v="14"/>
    <x v="2"/>
    <x v="3"/>
    <n v="7.4373702E-2"/>
  </r>
  <r>
    <x v="0"/>
    <x v="13"/>
    <x v="8"/>
    <x v="15"/>
    <x v="2"/>
    <x v="3"/>
    <n v="7.4373702E-2"/>
  </r>
  <r>
    <x v="0"/>
    <x v="13"/>
    <x v="8"/>
    <x v="16"/>
    <x v="2"/>
    <x v="3"/>
    <n v="7.4373702E-2"/>
  </r>
  <r>
    <x v="0"/>
    <x v="13"/>
    <x v="8"/>
    <x v="17"/>
    <x v="2"/>
    <x v="3"/>
    <n v="7.4373702E-2"/>
  </r>
  <r>
    <x v="0"/>
    <x v="13"/>
    <x v="8"/>
    <x v="18"/>
    <x v="2"/>
    <x v="3"/>
    <n v="7.4373702E-2"/>
  </r>
  <r>
    <x v="0"/>
    <x v="13"/>
    <x v="8"/>
    <x v="19"/>
    <x v="2"/>
    <x v="3"/>
    <n v="7.4373702E-2"/>
  </r>
  <r>
    <x v="0"/>
    <x v="13"/>
    <x v="8"/>
    <x v="20"/>
    <x v="2"/>
    <x v="3"/>
    <n v="7.4373702E-2"/>
  </r>
  <r>
    <x v="0"/>
    <x v="13"/>
    <x v="8"/>
    <x v="21"/>
    <x v="2"/>
    <x v="3"/>
    <n v="7.4373702E-2"/>
  </r>
  <r>
    <x v="0"/>
    <x v="13"/>
    <x v="8"/>
    <x v="22"/>
    <x v="2"/>
    <x v="3"/>
    <n v="7.4373702E-2"/>
  </r>
  <r>
    <x v="0"/>
    <x v="13"/>
    <x v="8"/>
    <x v="23"/>
    <x v="2"/>
    <x v="3"/>
    <n v="7.4373702E-2"/>
  </r>
  <r>
    <x v="0"/>
    <x v="13"/>
    <x v="8"/>
    <x v="24"/>
    <x v="2"/>
    <x v="3"/>
    <n v="7.4373702E-2"/>
  </r>
  <r>
    <x v="0"/>
    <x v="13"/>
    <x v="8"/>
    <x v="25"/>
    <x v="2"/>
    <x v="3"/>
    <n v="7.4373702E-2"/>
  </r>
  <r>
    <x v="0"/>
    <x v="13"/>
    <x v="8"/>
    <x v="26"/>
    <x v="2"/>
    <x v="3"/>
    <n v="7.4373702E-2"/>
  </r>
  <r>
    <x v="0"/>
    <x v="13"/>
    <x v="8"/>
    <x v="27"/>
    <x v="2"/>
    <x v="3"/>
    <n v="7.4373702E-2"/>
  </r>
  <r>
    <x v="0"/>
    <x v="13"/>
    <x v="8"/>
    <x v="28"/>
    <x v="2"/>
    <x v="3"/>
    <n v="7.4373702E-2"/>
  </r>
  <r>
    <x v="0"/>
    <x v="13"/>
    <x v="8"/>
    <x v="29"/>
    <x v="2"/>
    <x v="3"/>
    <n v="7.4373702E-2"/>
  </r>
  <r>
    <x v="0"/>
    <x v="13"/>
    <x v="8"/>
    <x v="30"/>
    <x v="2"/>
    <x v="3"/>
    <n v="7.4373702E-2"/>
  </r>
  <r>
    <x v="0"/>
    <x v="13"/>
    <x v="8"/>
    <x v="31"/>
    <x v="2"/>
    <x v="3"/>
    <n v="7.4373702E-2"/>
  </r>
  <r>
    <x v="0"/>
    <x v="13"/>
    <x v="8"/>
    <x v="32"/>
    <x v="2"/>
    <x v="3"/>
    <n v="7.4373702E-2"/>
  </r>
  <r>
    <x v="0"/>
    <x v="13"/>
    <x v="8"/>
    <x v="33"/>
    <x v="2"/>
    <x v="3"/>
    <n v="7.4373702E-2"/>
  </r>
  <r>
    <x v="0"/>
    <x v="13"/>
    <x v="8"/>
    <x v="34"/>
    <x v="2"/>
    <x v="3"/>
    <n v="7.4373702E-2"/>
  </r>
  <r>
    <x v="0"/>
    <x v="13"/>
    <x v="8"/>
    <x v="35"/>
    <x v="2"/>
    <x v="3"/>
    <n v="7.4373702E-2"/>
  </r>
  <r>
    <x v="0"/>
    <x v="13"/>
    <x v="8"/>
    <x v="36"/>
    <x v="2"/>
    <x v="3"/>
    <n v="7.4373702E-2"/>
  </r>
  <r>
    <x v="0"/>
    <x v="13"/>
    <x v="8"/>
    <x v="37"/>
    <x v="2"/>
    <x v="3"/>
    <n v="7.4373702E-2"/>
  </r>
  <r>
    <x v="0"/>
    <x v="13"/>
    <x v="8"/>
    <x v="38"/>
    <x v="2"/>
    <x v="3"/>
    <n v="7.4373702E-2"/>
  </r>
  <r>
    <x v="0"/>
    <x v="13"/>
    <x v="8"/>
    <x v="39"/>
    <x v="2"/>
    <x v="3"/>
    <n v="7.4373702E-2"/>
  </r>
  <r>
    <x v="0"/>
    <x v="13"/>
    <x v="8"/>
    <x v="40"/>
    <x v="2"/>
    <x v="3"/>
    <n v="7.4373702E-2"/>
  </r>
  <r>
    <x v="0"/>
    <x v="13"/>
    <x v="8"/>
    <x v="41"/>
    <x v="2"/>
    <x v="3"/>
    <n v="7.4373702E-2"/>
  </r>
  <r>
    <x v="0"/>
    <x v="13"/>
    <x v="7"/>
    <x v="0"/>
    <x v="3"/>
    <x v="2"/>
    <n v="404.97637509700002"/>
  </r>
  <r>
    <x v="0"/>
    <x v="13"/>
    <x v="7"/>
    <x v="1"/>
    <x v="3"/>
    <x v="2"/>
    <n v="45.646665517999999"/>
  </r>
  <r>
    <x v="0"/>
    <x v="13"/>
    <x v="7"/>
    <x v="2"/>
    <x v="3"/>
    <x v="2"/>
    <n v="18.958935211"/>
  </r>
  <r>
    <x v="0"/>
    <x v="13"/>
    <x v="7"/>
    <x v="3"/>
    <x v="3"/>
    <x v="2"/>
    <n v="15.243407399000001"/>
  </r>
  <r>
    <x v="0"/>
    <x v="13"/>
    <x v="7"/>
    <x v="4"/>
    <x v="3"/>
    <x v="2"/>
    <n v="8.9796341210000001"/>
  </r>
  <r>
    <x v="0"/>
    <x v="13"/>
    <x v="7"/>
    <x v="5"/>
    <x v="3"/>
    <x v="2"/>
    <n v="31.525816342999999"/>
  </r>
  <r>
    <x v="0"/>
    <x v="13"/>
    <x v="7"/>
    <x v="6"/>
    <x v="3"/>
    <x v="2"/>
    <n v="13.784395019"/>
  </r>
  <r>
    <x v="0"/>
    <x v="13"/>
    <x v="7"/>
    <x v="7"/>
    <x v="3"/>
    <x v="2"/>
    <n v="12.488592978"/>
  </r>
  <r>
    <x v="0"/>
    <x v="13"/>
    <x v="7"/>
    <x v="8"/>
    <x v="3"/>
    <x v="2"/>
    <n v="6.7554801360000001"/>
  </r>
  <r>
    <x v="0"/>
    <x v="13"/>
    <x v="7"/>
    <x v="9"/>
    <x v="3"/>
    <x v="2"/>
    <n v="20.927760931000002"/>
  </r>
  <r>
    <x v="0"/>
    <x v="13"/>
    <x v="7"/>
    <x v="10"/>
    <x v="3"/>
    <x v="2"/>
    <n v="9.3053872420000001"/>
  </r>
  <r>
    <x v="0"/>
    <x v="13"/>
    <x v="7"/>
    <x v="11"/>
    <x v="3"/>
    <x v="2"/>
    <n v="42.371235423999998"/>
  </r>
  <r>
    <x v="0"/>
    <x v="13"/>
    <x v="7"/>
    <x v="12"/>
    <x v="3"/>
    <x v="2"/>
    <n v="17.918936302999999"/>
  </r>
  <r>
    <x v="0"/>
    <x v="13"/>
    <x v="7"/>
    <x v="13"/>
    <x v="3"/>
    <x v="2"/>
    <n v="25.085069771000001"/>
  </r>
  <r>
    <x v="0"/>
    <x v="13"/>
    <x v="7"/>
    <x v="14"/>
    <x v="3"/>
    <x v="2"/>
    <n v="12.468797534"/>
  </r>
  <r>
    <x v="0"/>
    <x v="13"/>
    <x v="7"/>
    <x v="15"/>
    <x v="3"/>
    <x v="2"/>
    <n v="15.520085563"/>
  </r>
  <r>
    <x v="0"/>
    <x v="13"/>
    <x v="7"/>
    <x v="16"/>
    <x v="3"/>
    <x v="2"/>
    <n v="10.319093609999999"/>
  </r>
  <r>
    <x v="0"/>
    <x v="13"/>
    <x v="7"/>
    <x v="17"/>
    <x v="3"/>
    <x v="2"/>
    <n v="21.001879674000001"/>
  </r>
  <r>
    <x v="0"/>
    <x v="13"/>
    <x v="7"/>
    <x v="18"/>
    <x v="3"/>
    <x v="2"/>
    <n v="12.873987165999999"/>
  </r>
  <r>
    <x v="0"/>
    <x v="13"/>
    <x v="7"/>
    <x v="19"/>
    <x v="3"/>
    <x v="2"/>
    <n v="22.651100156999998"/>
  </r>
  <r>
    <x v="0"/>
    <x v="13"/>
    <x v="7"/>
    <x v="20"/>
    <x v="3"/>
    <x v="2"/>
    <n v="3.2119206760000001"/>
  </r>
  <r>
    <x v="0"/>
    <x v="13"/>
    <x v="7"/>
    <x v="21"/>
    <x v="3"/>
    <x v="2"/>
    <n v="1.416558003"/>
  </r>
  <r>
    <x v="0"/>
    <x v="13"/>
    <x v="7"/>
    <x v="22"/>
    <x v="3"/>
    <x v="2"/>
    <n v="0.798318796"/>
  </r>
  <r>
    <x v="0"/>
    <x v="13"/>
    <x v="7"/>
    <x v="23"/>
    <x v="3"/>
    <x v="2"/>
    <n v="0.94277560299999996"/>
  </r>
  <r>
    <x v="0"/>
    <x v="13"/>
    <x v="7"/>
    <x v="24"/>
    <x v="3"/>
    <x v="2"/>
    <n v="18.647850731999998"/>
  </r>
  <r>
    <x v="0"/>
    <x v="13"/>
    <x v="7"/>
    <x v="25"/>
    <x v="3"/>
    <x v="2"/>
    <n v="0.80494907199999999"/>
  </r>
  <r>
    <x v="0"/>
    <x v="13"/>
    <x v="7"/>
    <x v="26"/>
    <x v="3"/>
    <x v="2"/>
    <n v="1.7376899720000001"/>
  </r>
  <r>
    <x v="0"/>
    <x v="13"/>
    <x v="7"/>
    <x v="27"/>
    <x v="3"/>
    <x v="2"/>
    <n v="67.026614008999999"/>
  </r>
  <r>
    <x v="0"/>
    <x v="13"/>
    <x v="7"/>
    <x v="28"/>
    <x v="3"/>
    <x v="2"/>
    <n v="84.498479121000003"/>
  </r>
  <r>
    <x v="0"/>
    <x v="13"/>
    <x v="7"/>
    <x v="29"/>
    <x v="3"/>
    <x v="2"/>
    <n v="68.702906509000002"/>
  </r>
  <r>
    <x v="0"/>
    <x v="13"/>
    <x v="7"/>
    <x v="30"/>
    <x v="3"/>
    <x v="2"/>
    <n v="30.499389989000001"/>
  </r>
  <r>
    <x v="0"/>
    <x v="13"/>
    <x v="7"/>
    <x v="31"/>
    <x v="3"/>
    <x v="2"/>
    <n v="17.373082337"/>
  </r>
  <r>
    <x v="0"/>
    <x v="13"/>
    <x v="7"/>
    <x v="32"/>
    <x v="3"/>
    <x v="2"/>
    <n v="73.518499571999996"/>
  </r>
  <r>
    <x v="0"/>
    <x v="13"/>
    <x v="7"/>
    <x v="33"/>
    <x v="3"/>
    <x v="2"/>
    <n v="23.74135149"/>
  </r>
  <r>
    <x v="0"/>
    <x v="13"/>
    <x v="7"/>
    <x v="34"/>
    <x v="3"/>
    <x v="2"/>
    <n v="37.787156000000003"/>
  </r>
  <r>
    <x v="0"/>
    <x v="13"/>
    <x v="7"/>
    <x v="35"/>
    <x v="3"/>
    <x v="2"/>
    <n v="38.629643938000001"/>
  </r>
  <r>
    <x v="0"/>
    <x v="13"/>
    <x v="7"/>
    <x v="36"/>
    <x v="3"/>
    <x v="2"/>
    <n v="16.349797467999998"/>
  </r>
  <r>
    <x v="0"/>
    <x v="13"/>
    <x v="7"/>
    <x v="37"/>
    <x v="3"/>
    <x v="2"/>
    <n v="27.778105702000001"/>
  </r>
  <r>
    <x v="0"/>
    <x v="13"/>
    <x v="7"/>
    <x v="38"/>
    <x v="3"/>
    <x v="2"/>
    <n v="170.746902385"/>
  </r>
  <r>
    <x v="0"/>
    <x v="13"/>
    <x v="7"/>
    <x v="39"/>
    <x v="3"/>
    <x v="2"/>
    <n v="52.095732273000003"/>
  </r>
  <r>
    <x v="0"/>
    <x v="13"/>
    <x v="7"/>
    <x v="40"/>
    <x v="3"/>
    <x v="2"/>
    <n v="12.581887437000001"/>
  </r>
  <r>
    <x v="0"/>
    <x v="13"/>
    <x v="7"/>
    <x v="41"/>
    <x v="3"/>
    <x v="2"/>
    <n v="310.648167409"/>
  </r>
  <r>
    <x v="0"/>
    <x v="13"/>
    <x v="8"/>
    <x v="0"/>
    <x v="3"/>
    <x v="3"/>
    <n v="7.1951323999999997E-2"/>
  </r>
  <r>
    <x v="0"/>
    <x v="13"/>
    <x v="8"/>
    <x v="1"/>
    <x v="3"/>
    <x v="3"/>
    <n v="7.1951323999999997E-2"/>
  </r>
  <r>
    <x v="0"/>
    <x v="13"/>
    <x v="8"/>
    <x v="2"/>
    <x v="3"/>
    <x v="3"/>
    <n v="7.1951323999999997E-2"/>
  </r>
  <r>
    <x v="0"/>
    <x v="13"/>
    <x v="8"/>
    <x v="3"/>
    <x v="3"/>
    <x v="3"/>
    <n v="7.1951323999999997E-2"/>
  </r>
  <r>
    <x v="0"/>
    <x v="13"/>
    <x v="8"/>
    <x v="4"/>
    <x v="3"/>
    <x v="3"/>
    <n v="7.1951323999999997E-2"/>
  </r>
  <r>
    <x v="0"/>
    <x v="13"/>
    <x v="8"/>
    <x v="5"/>
    <x v="3"/>
    <x v="3"/>
    <n v="7.1951323999999997E-2"/>
  </r>
  <r>
    <x v="0"/>
    <x v="13"/>
    <x v="8"/>
    <x v="6"/>
    <x v="3"/>
    <x v="3"/>
    <n v="7.1951323999999997E-2"/>
  </r>
  <r>
    <x v="0"/>
    <x v="13"/>
    <x v="8"/>
    <x v="7"/>
    <x v="3"/>
    <x v="3"/>
    <n v="7.1951323999999997E-2"/>
  </r>
  <r>
    <x v="0"/>
    <x v="13"/>
    <x v="8"/>
    <x v="8"/>
    <x v="3"/>
    <x v="3"/>
    <n v="7.1951323999999997E-2"/>
  </r>
  <r>
    <x v="0"/>
    <x v="13"/>
    <x v="8"/>
    <x v="9"/>
    <x v="3"/>
    <x v="3"/>
    <n v="7.1951323999999997E-2"/>
  </r>
  <r>
    <x v="0"/>
    <x v="13"/>
    <x v="8"/>
    <x v="10"/>
    <x v="3"/>
    <x v="3"/>
    <n v="7.1951323999999997E-2"/>
  </r>
  <r>
    <x v="0"/>
    <x v="13"/>
    <x v="8"/>
    <x v="11"/>
    <x v="3"/>
    <x v="3"/>
    <n v="7.1951323999999997E-2"/>
  </r>
  <r>
    <x v="0"/>
    <x v="13"/>
    <x v="8"/>
    <x v="12"/>
    <x v="3"/>
    <x v="3"/>
    <n v="7.1951323999999997E-2"/>
  </r>
  <r>
    <x v="0"/>
    <x v="13"/>
    <x v="8"/>
    <x v="13"/>
    <x v="3"/>
    <x v="3"/>
    <n v="7.1951323999999997E-2"/>
  </r>
  <r>
    <x v="0"/>
    <x v="13"/>
    <x v="8"/>
    <x v="14"/>
    <x v="3"/>
    <x v="3"/>
    <n v="7.1951323999999997E-2"/>
  </r>
  <r>
    <x v="0"/>
    <x v="13"/>
    <x v="8"/>
    <x v="15"/>
    <x v="3"/>
    <x v="3"/>
    <n v="7.1951323999999997E-2"/>
  </r>
  <r>
    <x v="0"/>
    <x v="13"/>
    <x v="8"/>
    <x v="16"/>
    <x v="3"/>
    <x v="3"/>
    <n v="7.1951323999999997E-2"/>
  </r>
  <r>
    <x v="0"/>
    <x v="13"/>
    <x v="8"/>
    <x v="17"/>
    <x v="3"/>
    <x v="3"/>
    <n v="7.1951323999999997E-2"/>
  </r>
  <r>
    <x v="0"/>
    <x v="13"/>
    <x v="8"/>
    <x v="18"/>
    <x v="3"/>
    <x v="3"/>
    <n v="7.1951323999999997E-2"/>
  </r>
  <r>
    <x v="0"/>
    <x v="13"/>
    <x v="8"/>
    <x v="19"/>
    <x v="3"/>
    <x v="3"/>
    <n v="7.1951323999999997E-2"/>
  </r>
  <r>
    <x v="0"/>
    <x v="13"/>
    <x v="8"/>
    <x v="20"/>
    <x v="3"/>
    <x v="3"/>
    <n v="7.1951323999999997E-2"/>
  </r>
  <r>
    <x v="0"/>
    <x v="13"/>
    <x v="8"/>
    <x v="21"/>
    <x v="3"/>
    <x v="3"/>
    <n v="7.1951323999999997E-2"/>
  </r>
  <r>
    <x v="0"/>
    <x v="13"/>
    <x v="8"/>
    <x v="22"/>
    <x v="3"/>
    <x v="3"/>
    <n v="7.1951323999999997E-2"/>
  </r>
  <r>
    <x v="0"/>
    <x v="13"/>
    <x v="8"/>
    <x v="23"/>
    <x v="3"/>
    <x v="3"/>
    <n v="7.1951323999999997E-2"/>
  </r>
  <r>
    <x v="0"/>
    <x v="13"/>
    <x v="8"/>
    <x v="24"/>
    <x v="3"/>
    <x v="3"/>
    <n v="7.1951323999999997E-2"/>
  </r>
  <r>
    <x v="0"/>
    <x v="13"/>
    <x v="8"/>
    <x v="25"/>
    <x v="3"/>
    <x v="3"/>
    <n v="7.1951323999999997E-2"/>
  </r>
  <r>
    <x v="0"/>
    <x v="13"/>
    <x v="8"/>
    <x v="26"/>
    <x v="3"/>
    <x v="3"/>
    <n v="7.1951323999999997E-2"/>
  </r>
  <r>
    <x v="0"/>
    <x v="13"/>
    <x v="8"/>
    <x v="27"/>
    <x v="3"/>
    <x v="3"/>
    <n v="7.1951323999999997E-2"/>
  </r>
  <r>
    <x v="0"/>
    <x v="13"/>
    <x v="8"/>
    <x v="28"/>
    <x v="3"/>
    <x v="3"/>
    <n v="7.1951323999999997E-2"/>
  </r>
  <r>
    <x v="0"/>
    <x v="13"/>
    <x v="8"/>
    <x v="29"/>
    <x v="3"/>
    <x v="3"/>
    <n v="7.1951323999999997E-2"/>
  </r>
  <r>
    <x v="0"/>
    <x v="13"/>
    <x v="8"/>
    <x v="30"/>
    <x v="3"/>
    <x v="3"/>
    <n v="7.1951323999999997E-2"/>
  </r>
  <r>
    <x v="0"/>
    <x v="13"/>
    <x v="8"/>
    <x v="31"/>
    <x v="3"/>
    <x v="3"/>
    <n v="7.1951323999999997E-2"/>
  </r>
  <r>
    <x v="0"/>
    <x v="13"/>
    <x v="8"/>
    <x v="32"/>
    <x v="3"/>
    <x v="3"/>
    <n v="7.1951323999999997E-2"/>
  </r>
  <r>
    <x v="0"/>
    <x v="13"/>
    <x v="8"/>
    <x v="33"/>
    <x v="3"/>
    <x v="3"/>
    <n v="7.1951323999999997E-2"/>
  </r>
  <r>
    <x v="0"/>
    <x v="13"/>
    <x v="8"/>
    <x v="34"/>
    <x v="3"/>
    <x v="3"/>
    <n v="7.1951323999999997E-2"/>
  </r>
  <r>
    <x v="0"/>
    <x v="13"/>
    <x v="8"/>
    <x v="35"/>
    <x v="3"/>
    <x v="3"/>
    <n v="7.1951323999999997E-2"/>
  </r>
  <r>
    <x v="0"/>
    <x v="13"/>
    <x v="8"/>
    <x v="36"/>
    <x v="3"/>
    <x v="3"/>
    <n v="7.1951323999999997E-2"/>
  </r>
  <r>
    <x v="0"/>
    <x v="13"/>
    <x v="8"/>
    <x v="37"/>
    <x v="3"/>
    <x v="3"/>
    <n v="7.1951323999999997E-2"/>
  </r>
  <r>
    <x v="0"/>
    <x v="13"/>
    <x v="8"/>
    <x v="38"/>
    <x v="3"/>
    <x v="3"/>
    <n v="7.1951323999999997E-2"/>
  </r>
  <r>
    <x v="0"/>
    <x v="13"/>
    <x v="8"/>
    <x v="39"/>
    <x v="3"/>
    <x v="3"/>
    <n v="7.1951323999999997E-2"/>
  </r>
  <r>
    <x v="0"/>
    <x v="13"/>
    <x v="8"/>
    <x v="40"/>
    <x v="3"/>
    <x v="3"/>
    <n v="7.1951323999999997E-2"/>
  </r>
  <r>
    <x v="0"/>
    <x v="13"/>
    <x v="8"/>
    <x v="41"/>
    <x v="3"/>
    <x v="3"/>
    <n v="7.1951323999999997E-2"/>
  </r>
  <r>
    <x v="0"/>
    <x v="13"/>
    <x v="9"/>
    <x v="42"/>
    <x v="4"/>
    <x v="4"/>
    <n v="78.047797838999998"/>
  </r>
  <r>
    <x v="0"/>
    <x v="13"/>
    <x v="9"/>
    <x v="42"/>
    <x v="5"/>
    <x v="4"/>
    <n v="1.117757707"/>
  </r>
  <r>
    <x v="0"/>
    <x v="13"/>
    <x v="9"/>
    <x v="42"/>
    <x v="6"/>
    <x v="4"/>
    <n v="0"/>
  </r>
  <r>
    <x v="0"/>
    <x v="13"/>
    <x v="9"/>
    <x v="42"/>
    <x v="7"/>
    <x v="4"/>
    <n v="0"/>
  </r>
  <r>
    <x v="0"/>
    <x v="13"/>
    <x v="9"/>
    <x v="42"/>
    <x v="8"/>
    <x v="4"/>
    <n v="0"/>
  </r>
  <r>
    <x v="0"/>
    <x v="13"/>
    <x v="9"/>
    <x v="42"/>
    <x v="9"/>
    <x v="4"/>
    <n v="87.915003433999999"/>
  </r>
  <r>
    <x v="0"/>
    <x v="13"/>
    <x v="9"/>
    <x v="42"/>
    <x v="10"/>
    <x v="4"/>
    <n v="2.5147213470000001"/>
  </r>
  <r>
    <x v="0"/>
    <x v="13"/>
    <x v="9"/>
    <x v="42"/>
    <x v="11"/>
    <x v="4"/>
    <n v="15.254410655999999"/>
  </r>
  <r>
    <x v="0"/>
    <x v="13"/>
    <x v="9"/>
    <x v="42"/>
    <x v="12"/>
    <x v="4"/>
    <n v="2.1722775680000002"/>
  </r>
  <r>
    <x v="0"/>
    <x v="13"/>
    <x v="9"/>
    <x v="42"/>
    <x v="13"/>
    <x v="4"/>
    <n v="3.4842632029999998"/>
  </r>
  <r>
    <x v="0"/>
    <x v="13"/>
    <x v="9"/>
    <x v="42"/>
    <x v="14"/>
    <x v="4"/>
    <n v="2.759515344"/>
  </r>
  <r>
    <x v="0"/>
    <x v="13"/>
    <x v="9"/>
    <x v="42"/>
    <x v="15"/>
    <x v="4"/>
    <n v="12.156881146"/>
  </r>
  <r>
    <x v="0"/>
    <x v="13"/>
    <x v="9"/>
    <x v="42"/>
    <x v="16"/>
    <x v="4"/>
    <n v="1.6431075900000001"/>
  </r>
  <r>
    <x v="0"/>
    <x v="13"/>
    <x v="9"/>
    <x v="42"/>
    <x v="17"/>
    <x v="4"/>
    <n v="0"/>
  </r>
  <r>
    <x v="0"/>
    <x v="13"/>
    <x v="9"/>
    <x v="42"/>
    <x v="18"/>
    <x v="4"/>
    <n v="1.009099105"/>
  </r>
  <r>
    <x v="0"/>
    <x v="13"/>
    <x v="9"/>
    <x v="42"/>
    <x v="19"/>
    <x v="4"/>
    <n v="0.52465238300000006"/>
  </r>
  <r>
    <x v="0"/>
    <x v="13"/>
    <x v="9"/>
    <x v="42"/>
    <x v="20"/>
    <x v="4"/>
    <n v="0.133683674"/>
  </r>
  <r>
    <x v="0"/>
    <x v="13"/>
    <x v="9"/>
    <x v="42"/>
    <x v="21"/>
    <x v="4"/>
    <n v="9.0475034399999998"/>
  </r>
  <r>
    <x v="0"/>
    <x v="13"/>
    <x v="9"/>
    <x v="42"/>
    <x v="22"/>
    <x v="4"/>
    <n v="9.6460434859999999"/>
  </r>
  <r>
    <x v="0"/>
    <x v="13"/>
    <x v="9"/>
    <x v="42"/>
    <x v="23"/>
    <x v="4"/>
    <n v="8.9465806630000007"/>
  </r>
  <r>
    <x v="0"/>
    <x v="13"/>
    <x v="9"/>
    <x v="42"/>
    <x v="24"/>
    <x v="4"/>
    <n v="0.64232177099999999"/>
  </r>
  <r>
    <x v="0"/>
    <x v="13"/>
    <x v="9"/>
    <x v="42"/>
    <x v="25"/>
    <x v="4"/>
    <n v="0.676226302"/>
  </r>
  <r>
    <x v="0"/>
    <x v="13"/>
    <x v="9"/>
    <x v="42"/>
    <x v="26"/>
    <x v="4"/>
    <n v="0"/>
  </r>
  <r>
    <x v="0"/>
    <x v="13"/>
    <x v="9"/>
    <x v="42"/>
    <x v="27"/>
    <x v="4"/>
    <n v="0"/>
  </r>
  <r>
    <x v="0"/>
    <x v="13"/>
    <x v="9"/>
    <x v="42"/>
    <x v="28"/>
    <x v="4"/>
    <n v="9.1733337749999997"/>
  </r>
  <r>
    <x v="0"/>
    <x v="13"/>
    <x v="9"/>
    <x v="42"/>
    <x v="29"/>
    <x v="4"/>
    <n v="1.251809256"/>
  </r>
  <r>
    <x v="0"/>
    <x v="13"/>
    <x v="9"/>
    <x v="42"/>
    <x v="30"/>
    <x v="4"/>
    <n v="0.55301382799999999"/>
  </r>
  <r>
    <x v="0"/>
    <x v="13"/>
    <x v="9"/>
    <x v="42"/>
    <x v="31"/>
    <x v="4"/>
    <n v="0"/>
  </r>
  <r>
    <x v="0"/>
    <x v="13"/>
    <x v="9"/>
    <x v="42"/>
    <x v="32"/>
    <x v="4"/>
    <n v="38.437495499999997"/>
  </r>
  <r>
    <x v="0"/>
    <x v="13"/>
    <x v="9"/>
    <x v="42"/>
    <x v="33"/>
    <x v="4"/>
    <n v="12.712722971"/>
  </r>
  <r>
    <x v="0"/>
    <x v="13"/>
    <x v="9"/>
    <x v="42"/>
    <x v="34"/>
    <x v="4"/>
    <n v="1.391666987"/>
  </r>
  <r>
    <x v="0"/>
    <x v="13"/>
    <x v="9"/>
    <x v="42"/>
    <x v="35"/>
    <x v="4"/>
    <n v="18.962530309000002"/>
  </r>
  <r>
    <x v="0"/>
    <x v="13"/>
    <x v="9"/>
    <x v="42"/>
    <x v="36"/>
    <x v="4"/>
    <n v="24.704717836"/>
  </r>
  <r>
    <x v="0"/>
    <x v="13"/>
    <x v="9"/>
    <x v="42"/>
    <x v="37"/>
    <x v="4"/>
    <n v="175.04420362600001"/>
  </r>
  <r>
    <x v="0"/>
    <x v="13"/>
    <x v="9"/>
    <x v="42"/>
    <x v="38"/>
    <x v="4"/>
    <n v="0.46906145999999999"/>
  </r>
  <r>
    <x v="0"/>
    <x v="13"/>
    <x v="9"/>
    <x v="42"/>
    <x v="39"/>
    <x v="4"/>
    <n v="0.209895211"/>
  </r>
  <r>
    <x v="0"/>
    <x v="13"/>
    <x v="9"/>
    <x v="42"/>
    <x v="40"/>
    <x v="4"/>
    <n v="0.28336564600000003"/>
  </r>
  <r>
    <x v="0"/>
    <x v="13"/>
    <x v="9"/>
    <x v="42"/>
    <x v="41"/>
    <x v="4"/>
    <n v="3.029636456"/>
  </r>
  <r>
    <x v="0"/>
    <x v="13"/>
    <x v="9"/>
    <x v="42"/>
    <x v="42"/>
    <x v="4"/>
    <n v="-5.2663456679999996"/>
  </r>
  <r>
    <x v="0"/>
    <x v="13"/>
    <x v="9"/>
    <x v="42"/>
    <x v="43"/>
    <x v="4"/>
    <n v="-1.0181486740000001"/>
  </r>
  <r>
    <x v="0"/>
    <x v="13"/>
    <x v="9"/>
    <x v="42"/>
    <x v="44"/>
    <x v="4"/>
    <n v="2.177378477"/>
  </r>
  <r>
    <x v="0"/>
    <x v="13"/>
    <x v="9"/>
    <x v="42"/>
    <x v="45"/>
    <x v="4"/>
    <n v="-0.11743864900000001"/>
  </r>
  <r>
    <x v="0"/>
    <x v="13"/>
    <x v="10"/>
    <x v="42"/>
    <x v="0"/>
    <x v="4"/>
    <n v="0.58879877199999997"/>
  </r>
  <r>
    <x v="0"/>
    <x v="13"/>
    <x v="11"/>
    <x v="42"/>
    <x v="0"/>
    <x v="4"/>
    <n v="14.302416083000001"/>
  </r>
  <r>
    <x v="0"/>
    <x v="13"/>
    <x v="9"/>
    <x v="43"/>
    <x v="4"/>
    <x v="4"/>
    <n v="140.43414462699999"/>
  </r>
  <r>
    <x v="0"/>
    <x v="13"/>
    <x v="9"/>
    <x v="43"/>
    <x v="5"/>
    <x v="4"/>
    <n v="0.71972329499999999"/>
  </r>
  <r>
    <x v="0"/>
    <x v="13"/>
    <x v="9"/>
    <x v="43"/>
    <x v="6"/>
    <x v="4"/>
    <n v="0"/>
  </r>
  <r>
    <x v="0"/>
    <x v="13"/>
    <x v="9"/>
    <x v="43"/>
    <x v="7"/>
    <x v="4"/>
    <n v="0"/>
  </r>
  <r>
    <x v="0"/>
    <x v="13"/>
    <x v="9"/>
    <x v="43"/>
    <x v="8"/>
    <x v="4"/>
    <n v="0"/>
  </r>
  <r>
    <x v="0"/>
    <x v="13"/>
    <x v="9"/>
    <x v="43"/>
    <x v="9"/>
    <x v="4"/>
    <n v="317.81514358700002"/>
  </r>
  <r>
    <x v="0"/>
    <x v="13"/>
    <x v="9"/>
    <x v="43"/>
    <x v="10"/>
    <x v="4"/>
    <n v="2.9337257719999998"/>
  </r>
  <r>
    <x v="0"/>
    <x v="13"/>
    <x v="9"/>
    <x v="43"/>
    <x v="11"/>
    <x v="4"/>
    <n v="59.780277828999999"/>
  </r>
  <r>
    <x v="0"/>
    <x v="13"/>
    <x v="9"/>
    <x v="43"/>
    <x v="12"/>
    <x v="4"/>
    <n v="5.4093180729999997"/>
  </r>
  <r>
    <x v="0"/>
    <x v="13"/>
    <x v="9"/>
    <x v="43"/>
    <x v="13"/>
    <x v="4"/>
    <n v="10.188585512"/>
  </r>
  <r>
    <x v="0"/>
    <x v="13"/>
    <x v="9"/>
    <x v="43"/>
    <x v="14"/>
    <x v="4"/>
    <n v="19.944081741000002"/>
  </r>
  <r>
    <x v="0"/>
    <x v="13"/>
    <x v="9"/>
    <x v="43"/>
    <x v="15"/>
    <x v="4"/>
    <n v="40.306307582000002"/>
  </r>
  <r>
    <x v="0"/>
    <x v="13"/>
    <x v="9"/>
    <x v="43"/>
    <x v="16"/>
    <x v="4"/>
    <n v="2.6655673950000001"/>
  </r>
  <r>
    <x v="0"/>
    <x v="13"/>
    <x v="9"/>
    <x v="43"/>
    <x v="17"/>
    <x v="4"/>
    <n v="0"/>
  </r>
  <r>
    <x v="0"/>
    <x v="13"/>
    <x v="9"/>
    <x v="43"/>
    <x v="18"/>
    <x v="4"/>
    <n v="3.1511043710000002"/>
  </r>
  <r>
    <x v="0"/>
    <x v="13"/>
    <x v="9"/>
    <x v="43"/>
    <x v="19"/>
    <x v="4"/>
    <n v="0.84217000900000005"/>
  </r>
  <r>
    <x v="0"/>
    <x v="13"/>
    <x v="9"/>
    <x v="43"/>
    <x v="20"/>
    <x v="4"/>
    <n v="0.83487009999999995"/>
  </r>
  <r>
    <x v="0"/>
    <x v="13"/>
    <x v="9"/>
    <x v="43"/>
    <x v="21"/>
    <x v="4"/>
    <n v="48.658849959999998"/>
  </r>
  <r>
    <x v="0"/>
    <x v="13"/>
    <x v="9"/>
    <x v="43"/>
    <x v="22"/>
    <x v="4"/>
    <n v="21.120525583999999"/>
  </r>
  <r>
    <x v="0"/>
    <x v="13"/>
    <x v="9"/>
    <x v="43"/>
    <x v="23"/>
    <x v="4"/>
    <n v="23.104987026"/>
  </r>
  <r>
    <x v="0"/>
    <x v="13"/>
    <x v="9"/>
    <x v="43"/>
    <x v="24"/>
    <x v="4"/>
    <n v="1.1101956690000001"/>
  </r>
  <r>
    <x v="0"/>
    <x v="13"/>
    <x v="9"/>
    <x v="43"/>
    <x v="25"/>
    <x v="4"/>
    <n v="1.053647668"/>
  </r>
  <r>
    <x v="0"/>
    <x v="13"/>
    <x v="9"/>
    <x v="43"/>
    <x v="26"/>
    <x v="4"/>
    <n v="0"/>
  </r>
  <r>
    <x v="0"/>
    <x v="13"/>
    <x v="9"/>
    <x v="43"/>
    <x v="27"/>
    <x v="4"/>
    <n v="0"/>
  </r>
  <r>
    <x v="0"/>
    <x v="13"/>
    <x v="9"/>
    <x v="43"/>
    <x v="28"/>
    <x v="4"/>
    <n v="9.5966002120000002"/>
  </r>
  <r>
    <x v="0"/>
    <x v="13"/>
    <x v="9"/>
    <x v="43"/>
    <x v="29"/>
    <x v="4"/>
    <n v="8.4967529309999996"/>
  </r>
  <r>
    <x v="0"/>
    <x v="13"/>
    <x v="9"/>
    <x v="43"/>
    <x v="30"/>
    <x v="4"/>
    <n v="-0.31300007499999999"/>
  </r>
  <r>
    <x v="0"/>
    <x v="13"/>
    <x v="9"/>
    <x v="43"/>
    <x v="31"/>
    <x v="4"/>
    <n v="0"/>
  </r>
  <r>
    <x v="0"/>
    <x v="13"/>
    <x v="9"/>
    <x v="43"/>
    <x v="32"/>
    <x v="4"/>
    <n v="43.935807038999997"/>
  </r>
  <r>
    <x v="0"/>
    <x v="13"/>
    <x v="9"/>
    <x v="43"/>
    <x v="33"/>
    <x v="4"/>
    <n v="11.466385956"/>
  </r>
  <r>
    <x v="0"/>
    <x v="13"/>
    <x v="9"/>
    <x v="43"/>
    <x v="34"/>
    <x v="4"/>
    <n v="-25.200871409000001"/>
  </r>
  <r>
    <x v="0"/>
    <x v="13"/>
    <x v="9"/>
    <x v="43"/>
    <x v="35"/>
    <x v="4"/>
    <n v="28.991137318"/>
  </r>
  <r>
    <x v="0"/>
    <x v="13"/>
    <x v="9"/>
    <x v="43"/>
    <x v="36"/>
    <x v="4"/>
    <n v="56.455475673999999"/>
  </r>
  <r>
    <x v="0"/>
    <x v="13"/>
    <x v="9"/>
    <x v="43"/>
    <x v="37"/>
    <x v="4"/>
    <n v="295.40036404799997"/>
  </r>
  <r>
    <x v="0"/>
    <x v="13"/>
    <x v="9"/>
    <x v="43"/>
    <x v="38"/>
    <x v="4"/>
    <n v="0.48008260600000002"/>
  </r>
  <r>
    <x v="0"/>
    <x v="13"/>
    <x v="9"/>
    <x v="43"/>
    <x v="39"/>
    <x v="4"/>
    <n v="-0.183748048"/>
  </r>
  <r>
    <x v="0"/>
    <x v="13"/>
    <x v="9"/>
    <x v="43"/>
    <x v="40"/>
    <x v="4"/>
    <n v="-1.147544186"/>
  </r>
  <r>
    <x v="0"/>
    <x v="13"/>
    <x v="9"/>
    <x v="43"/>
    <x v="41"/>
    <x v="4"/>
    <n v="-15.902151003"/>
  </r>
  <r>
    <x v="0"/>
    <x v="13"/>
    <x v="9"/>
    <x v="43"/>
    <x v="42"/>
    <x v="4"/>
    <n v="-33.202001414999998"/>
  </r>
  <r>
    <x v="0"/>
    <x v="13"/>
    <x v="9"/>
    <x v="43"/>
    <x v="43"/>
    <x v="4"/>
    <n v="-31.394505023000001"/>
  </r>
  <r>
    <x v="0"/>
    <x v="13"/>
    <x v="9"/>
    <x v="43"/>
    <x v="44"/>
    <x v="4"/>
    <n v="-2.45160825"/>
  </r>
  <r>
    <x v="0"/>
    <x v="13"/>
    <x v="9"/>
    <x v="43"/>
    <x v="45"/>
    <x v="4"/>
    <n v="-2.1200770819999999"/>
  </r>
  <r>
    <x v="0"/>
    <x v="13"/>
    <x v="10"/>
    <x v="43"/>
    <x v="0"/>
    <x v="4"/>
    <n v="1.497493535"/>
  </r>
  <r>
    <x v="0"/>
    <x v="13"/>
    <x v="11"/>
    <x v="43"/>
    <x v="0"/>
    <x v="4"/>
    <n v="38.757158179000001"/>
  </r>
  <r>
    <x v="0"/>
    <x v="13"/>
    <x v="12"/>
    <x v="0"/>
    <x v="0"/>
    <x v="0"/>
    <n v="780.17410632300005"/>
  </r>
  <r>
    <x v="0"/>
    <x v="13"/>
    <x v="13"/>
    <x v="0"/>
    <x v="0"/>
    <x v="0"/>
    <n v="315.424835653"/>
  </r>
  <r>
    <x v="0"/>
    <x v="13"/>
    <x v="14"/>
    <x v="0"/>
    <x v="0"/>
    <x v="0"/>
    <n v="1.024617377"/>
  </r>
  <r>
    <x v="0"/>
    <x v="13"/>
    <x v="15"/>
    <x v="0"/>
    <x v="0"/>
    <x v="1"/>
    <n v="9.4443210999999999E-2"/>
  </r>
  <r>
    <x v="0"/>
    <x v="13"/>
    <x v="16"/>
    <x v="0"/>
    <x v="0"/>
    <x v="1"/>
    <n v="0.100744361"/>
  </r>
  <r>
    <x v="0"/>
    <x v="13"/>
    <x v="12"/>
    <x v="1"/>
    <x v="0"/>
    <x v="0"/>
    <n v="250.729511573"/>
  </r>
  <r>
    <x v="0"/>
    <x v="13"/>
    <x v="13"/>
    <x v="1"/>
    <x v="0"/>
    <x v="0"/>
    <n v="39.349434037999998"/>
  </r>
  <r>
    <x v="0"/>
    <x v="13"/>
    <x v="14"/>
    <x v="1"/>
    <x v="0"/>
    <x v="0"/>
    <n v="0.336982591"/>
  </r>
  <r>
    <x v="0"/>
    <x v="13"/>
    <x v="15"/>
    <x v="1"/>
    <x v="0"/>
    <x v="1"/>
    <n v="5.3874911999999997E-2"/>
  </r>
  <r>
    <x v="0"/>
    <x v="13"/>
    <x v="16"/>
    <x v="1"/>
    <x v="0"/>
    <x v="1"/>
    <n v="5.4924517999999999E-2"/>
  </r>
  <r>
    <x v="0"/>
    <x v="13"/>
    <x v="12"/>
    <x v="2"/>
    <x v="0"/>
    <x v="0"/>
    <n v="325.58633944399998"/>
  </r>
  <r>
    <x v="0"/>
    <x v="13"/>
    <x v="13"/>
    <x v="2"/>
    <x v="0"/>
    <x v="0"/>
    <n v="105.35549927300001"/>
  </r>
  <r>
    <x v="0"/>
    <x v="13"/>
    <x v="14"/>
    <x v="2"/>
    <x v="0"/>
    <x v="0"/>
    <n v="2.62384701"/>
  </r>
  <r>
    <x v="0"/>
    <x v="13"/>
    <x v="15"/>
    <x v="2"/>
    <x v="0"/>
    <x v="1"/>
    <n v="3.3436359999999998E-2"/>
  </r>
  <r>
    <x v="0"/>
    <x v="13"/>
    <x v="16"/>
    <x v="2"/>
    <x v="0"/>
    <x v="1"/>
    <n v="3.0863116999999999E-2"/>
  </r>
  <r>
    <x v="0"/>
    <x v="13"/>
    <x v="12"/>
    <x v="3"/>
    <x v="0"/>
    <x v="0"/>
    <n v="144.67600231599999"/>
  </r>
  <r>
    <x v="0"/>
    <x v="13"/>
    <x v="13"/>
    <x v="3"/>
    <x v="0"/>
    <x v="0"/>
    <n v="84.490152061000003"/>
  </r>
  <r>
    <x v="0"/>
    <x v="13"/>
    <x v="14"/>
    <x v="3"/>
    <x v="0"/>
    <x v="0"/>
    <n v="0.32812124999999998"/>
  </r>
  <r>
    <x v="0"/>
    <x v="13"/>
    <x v="15"/>
    <x v="3"/>
    <x v="0"/>
    <x v="1"/>
    <n v="4.2306440000000001E-2"/>
  </r>
  <r>
    <x v="0"/>
    <x v="13"/>
    <x v="16"/>
    <x v="3"/>
    <x v="0"/>
    <x v="1"/>
    <n v="4.3006365999999997E-2"/>
  </r>
  <r>
    <x v="0"/>
    <x v="13"/>
    <x v="12"/>
    <x v="4"/>
    <x v="0"/>
    <x v="0"/>
    <n v="66.044383370000006"/>
  </r>
  <r>
    <x v="0"/>
    <x v="13"/>
    <x v="13"/>
    <x v="4"/>
    <x v="0"/>
    <x v="0"/>
    <n v="7.0757508360000001"/>
  </r>
  <r>
    <x v="0"/>
    <x v="13"/>
    <x v="14"/>
    <x v="4"/>
    <x v="0"/>
    <x v="0"/>
    <n v="0.54158697"/>
  </r>
  <r>
    <x v="0"/>
    <x v="13"/>
    <x v="15"/>
    <x v="4"/>
    <x v="0"/>
    <x v="1"/>
    <n v="4.8978701999999999E-2"/>
  </r>
  <r>
    <x v="0"/>
    <x v="13"/>
    <x v="16"/>
    <x v="4"/>
    <x v="0"/>
    <x v="1"/>
    <n v="4.9462888000000003E-2"/>
  </r>
  <r>
    <x v="0"/>
    <x v="13"/>
    <x v="12"/>
    <x v="5"/>
    <x v="0"/>
    <x v="0"/>
    <n v="624.84568567300005"/>
  </r>
  <r>
    <x v="0"/>
    <x v="13"/>
    <x v="13"/>
    <x v="5"/>
    <x v="0"/>
    <x v="0"/>
    <n v="161.38528100600001"/>
  </r>
  <r>
    <x v="0"/>
    <x v="13"/>
    <x v="14"/>
    <x v="5"/>
    <x v="0"/>
    <x v="0"/>
    <n v="5.3727495660000004"/>
  </r>
  <r>
    <x v="0"/>
    <x v="13"/>
    <x v="15"/>
    <x v="5"/>
    <x v="0"/>
    <x v="1"/>
    <n v="7.1145124000000004E-2"/>
  </r>
  <r>
    <x v="0"/>
    <x v="13"/>
    <x v="16"/>
    <x v="5"/>
    <x v="0"/>
    <x v="1"/>
    <n v="7.3650304999999999E-2"/>
  </r>
  <r>
    <x v="0"/>
    <x v="13"/>
    <x v="12"/>
    <x v="6"/>
    <x v="0"/>
    <x v="0"/>
    <n v="198.94187488399999"/>
  </r>
  <r>
    <x v="0"/>
    <x v="13"/>
    <x v="13"/>
    <x v="6"/>
    <x v="0"/>
    <x v="0"/>
    <n v="25.659150549"/>
  </r>
  <r>
    <x v="0"/>
    <x v="13"/>
    <x v="14"/>
    <x v="6"/>
    <x v="0"/>
    <x v="0"/>
    <n v="10.087987817"/>
  </r>
  <r>
    <x v="0"/>
    <x v="13"/>
    <x v="15"/>
    <x v="6"/>
    <x v="0"/>
    <x v="1"/>
    <n v="6.4489244000000001E-2"/>
  </r>
  <r>
    <x v="0"/>
    <x v="13"/>
    <x v="16"/>
    <x v="6"/>
    <x v="0"/>
    <x v="1"/>
    <n v="6.5555684000000003E-2"/>
  </r>
  <r>
    <x v="0"/>
    <x v="13"/>
    <x v="12"/>
    <x v="7"/>
    <x v="0"/>
    <x v="0"/>
    <n v="108.313468527"/>
  </r>
  <r>
    <x v="0"/>
    <x v="13"/>
    <x v="13"/>
    <x v="7"/>
    <x v="0"/>
    <x v="0"/>
    <n v="40.52122713"/>
  </r>
  <r>
    <x v="0"/>
    <x v="13"/>
    <x v="14"/>
    <x v="7"/>
    <x v="0"/>
    <x v="0"/>
    <n v="20.821710585999998"/>
  </r>
  <r>
    <x v="0"/>
    <x v="13"/>
    <x v="15"/>
    <x v="7"/>
    <x v="0"/>
    <x v="1"/>
    <n v="6.6449382000000001E-2"/>
  </r>
  <r>
    <x v="0"/>
    <x v="13"/>
    <x v="16"/>
    <x v="7"/>
    <x v="0"/>
    <x v="1"/>
    <n v="6.9657082999999995E-2"/>
  </r>
  <r>
    <x v="0"/>
    <x v="13"/>
    <x v="12"/>
    <x v="8"/>
    <x v="0"/>
    <x v="0"/>
    <n v="85.956206406999996"/>
  </r>
  <r>
    <x v="0"/>
    <x v="13"/>
    <x v="13"/>
    <x v="8"/>
    <x v="0"/>
    <x v="0"/>
    <n v="10.993705456000001"/>
  </r>
  <r>
    <x v="0"/>
    <x v="13"/>
    <x v="14"/>
    <x v="8"/>
    <x v="0"/>
    <x v="0"/>
    <n v="7.960633326"/>
  </r>
  <r>
    <x v="0"/>
    <x v="13"/>
    <x v="15"/>
    <x v="8"/>
    <x v="0"/>
    <x v="1"/>
    <n v="5.9944418999999999E-2"/>
  </r>
  <r>
    <x v="0"/>
    <x v="13"/>
    <x v="16"/>
    <x v="8"/>
    <x v="0"/>
    <x v="1"/>
    <n v="6.0886418999999997E-2"/>
  </r>
  <r>
    <x v="0"/>
    <x v="13"/>
    <x v="12"/>
    <x v="9"/>
    <x v="0"/>
    <x v="0"/>
    <n v="232.80853661200001"/>
  </r>
  <r>
    <x v="0"/>
    <x v="13"/>
    <x v="13"/>
    <x v="9"/>
    <x v="0"/>
    <x v="0"/>
    <n v="39.801950966"/>
  </r>
  <r>
    <x v="0"/>
    <x v="13"/>
    <x v="14"/>
    <x v="9"/>
    <x v="0"/>
    <x v="0"/>
    <n v="18.953899483000001"/>
  </r>
  <r>
    <x v="0"/>
    <x v="13"/>
    <x v="15"/>
    <x v="9"/>
    <x v="0"/>
    <x v="1"/>
    <n v="5.2941344000000001E-2"/>
  </r>
  <r>
    <x v="0"/>
    <x v="13"/>
    <x v="16"/>
    <x v="9"/>
    <x v="0"/>
    <x v="1"/>
    <n v="5.3864331000000001E-2"/>
  </r>
  <r>
    <x v="0"/>
    <x v="13"/>
    <x v="12"/>
    <x v="10"/>
    <x v="0"/>
    <x v="0"/>
    <n v="376.40892146900001"/>
  </r>
  <r>
    <x v="0"/>
    <x v="13"/>
    <x v="13"/>
    <x v="10"/>
    <x v="0"/>
    <x v="0"/>
    <n v="37.364466837000002"/>
  </r>
  <r>
    <x v="0"/>
    <x v="13"/>
    <x v="14"/>
    <x v="10"/>
    <x v="0"/>
    <x v="0"/>
    <n v="7.3015442989999997"/>
  </r>
  <r>
    <x v="0"/>
    <x v="13"/>
    <x v="15"/>
    <x v="10"/>
    <x v="0"/>
    <x v="1"/>
    <n v="3.7432452999999997E-2"/>
  </r>
  <r>
    <x v="0"/>
    <x v="13"/>
    <x v="16"/>
    <x v="10"/>
    <x v="0"/>
    <x v="1"/>
    <n v="3.7239416999999997E-2"/>
  </r>
  <r>
    <x v="0"/>
    <x v="13"/>
    <x v="12"/>
    <x v="11"/>
    <x v="0"/>
    <x v="0"/>
    <n v="971.34531760200002"/>
  </r>
  <r>
    <x v="0"/>
    <x v="13"/>
    <x v="13"/>
    <x v="11"/>
    <x v="0"/>
    <x v="0"/>
    <n v="213.88870513800001"/>
  </r>
  <r>
    <x v="0"/>
    <x v="13"/>
    <x v="14"/>
    <x v="11"/>
    <x v="0"/>
    <x v="0"/>
    <n v="40.401440741000002"/>
  </r>
  <r>
    <x v="0"/>
    <x v="13"/>
    <x v="15"/>
    <x v="11"/>
    <x v="0"/>
    <x v="1"/>
    <n v="4.5825999999999999E-2"/>
  </r>
  <r>
    <x v="0"/>
    <x v="13"/>
    <x v="16"/>
    <x v="11"/>
    <x v="0"/>
    <x v="1"/>
    <n v="4.6409321000000003E-2"/>
  </r>
  <r>
    <x v="0"/>
    <x v="13"/>
    <x v="12"/>
    <x v="12"/>
    <x v="0"/>
    <x v="0"/>
    <n v="251.398178777"/>
  </r>
  <r>
    <x v="0"/>
    <x v="13"/>
    <x v="13"/>
    <x v="12"/>
    <x v="0"/>
    <x v="0"/>
    <n v="8.0402795050000009"/>
  </r>
  <r>
    <x v="0"/>
    <x v="13"/>
    <x v="14"/>
    <x v="12"/>
    <x v="0"/>
    <x v="0"/>
    <n v="8.9178626100000002"/>
  </r>
  <r>
    <x v="0"/>
    <x v="13"/>
    <x v="15"/>
    <x v="12"/>
    <x v="0"/>
    <x v="1"/>
    <n v="4.6707144999999999E-2"/>
  </r>
  <r>
    <x v="0"/>
    <x v="13"/>
    <x v="16"/>
    <x v="12"/>
    <x v="0"/>
    <x v="1"/>
    <n v="4.6805095999999997E-2"/>
  </r>
  <r>
    <x v="0"/>
    <x v="13"/>
    <x v="12"/>
    <x v="13"/>
    <x v="0"/>
    <x v="0"/>
    <n v="715.82427690099996"/>
  </r>
  <r>
    <x v="0"/>
    <x v="13"/>
    <x v="13"/>
    <x v="13"/>
    <x v="0"/>
    <x v="0"/>
    <n v="81.302351650000006"/>
  </r>
  <r>
    <x v="0"/>
    <x v="13"/>
    <x v="14"/>
    <x v="13"/>
    <x v="0"/>
    <x v="0"/>
    <n v="22.480352620000001"/>
  </r>
  <r>
    <x v="0"/>
    <x v="13"/>
    <x v="15"/>
    <x v="13"/>
    <x v="0"/>
    <x v="1"/>
    <n v="3.8242669999999999E-2"/>
  </r>
  <r>
    <x v="0"/>
    <x v="13"/>
    <x v="16"/>
    <x v="13"/>
    <x v="0"/>
    <x v="1"/>
    <n v="3.8082303999999997E-2"/>
  </r>
  <r>
    <x v="0"/>
    <x v="13"/>
    <x v="12"/>
    <x v="14"/>
    <x v="0"/>
    <x v="0"/>
    <n v="182.525930518"/>
  </r>
  <r>
    <x v="0"/>
    <x v="13"/>
    <x v="13"/>
    <x v="14"/>
    <x v="0"/>
    <x v="0"/>
    <n v="10.871342808"/>
  </r>
  <r>
    <x v="0"/>
    <x v="13"/>
    <x v="14"/>
    <x v="14"/>
    <x v="0"/>
    <x v="0"/>
    <n v="16.528010869999999"/>
  </r>
  <r>
    <x v="0"/>
    <x v="13"/>
    <x v="15"/>
    <x v="14"/>
    <x v="0"/>
    <x v="1"/>
    <n v="4.4644064999999997E-2"/>
  </r>
  <r>
    <x v="0"/>
    <x v="13"/>
    <x v="16"/>
    <x v="14"/>
    <x v="0"/>
    <x v="1"/>
    <n v="4.4767390999999997E-2"/>
  </r>
  <r>
    <x v="0"/>
    <x v="13"/>
    <x v="12"/>
    <x v="15"/>
    <x v="0"/>
    <x v="0"/>
    <n v="188.14933106800001"/>
  </r>
  <r>
    <x v="0"/>
    <x v="13"/>
    <x v="13"/>
    <x v="15"/>
    <x v="0"/>
    <x v="0"/>
    <n v="70.291365068000005"/>
  </r>
  <r>
    <x v="0"/>
    <x v="13"/>
    <x v="14"/>
    <x v="15"/>
    <x v="0"/>
    <x v="0"/>
    <n v="23.261682092000001"/>
  </r>
  <r>
    <x v="0"/>
    <x v="13"/>
    <x v="15"/>
    <x v="15"/>
    <x v="0"/>
    <x v="1"/>
    <n v="4.7708770999999997E-2"/>
  </r>
  <r>
    <x v="0"/>
    <x v="13"/>
    <x v="16"/>
    <x v="15"/>
    <x v="0"/>
    <x v="1"/>
    <n v="4.9004682000000001E-2"/>
  </r>
  <r>
    <x v="0"/>
    <x v="13"/>
    <x v="12"/>
    <x v="16"/>
    <x v="0"/>
    <x v="0"/>
    <n v="119.190264543"/>
  </r>
  <r>
    <x v="0"/>
    <x v="13"/>
    <x v="13"/>
    <x v="16"/>
    <x v="0"/>
    <x v="0"/>
    <n v="60.040300547000001"/>
  </r>
  <r>
    <x v="0"/>
    <x v="13"/>
    <x v="14"/>
    <x v="16"/>
    <x v="0"/>
    <x v="0"/>
    <n v="10.906416672000001"/>
  </r>
  <r>
    <x v="0"/>
    <x v="13"/>
    <x v="15"/>
    <x v="16"/>
    <x v="0"/>
    <x v="1"/>
    <n v="4.9683176000000003E-2"/>
  </r>
  <r>
    <x v="0"/>
    <x v="13"/>
    <x v="16"/>
    <x v="16"/>
    <x v="0"/>
    <x v="1"/>
    <n v="5.1798841999999998E-2"/>
  </r>
  <r>
    <x v="0"/>
    <x v="13"/>
    <x v="12"/>
    <x v="17"/>
    <x v="0"/>
    <x v="0"/>
    <n v="292.99102886200001"/>
  </r>
  <r>
    <x v="0"/>
    <x v="13"/>
    <x v="13"/>
    <x v="17"/>
    <x v="0"/>
    <x v="0"/>
    <n v="100.522395421"/>
  </r>
  <r>
    <x v="0"/>
    <x v="13"/>
    <x v="14"/>
    <x v="17"/>
    <x v="0"/>
    <x v="0"/>
    <n v="18.051557220999999"/>
  </r>
  <r>
    <x v="0"/>
    <x v="13"/>
    <x v="15"/>
    <x v="17"/>
    <x v="0"/>
    <x v="1"/>
    <n v="4.9947991999999997E-2"/>
  </r>
  <r>
    <x v="0"/>
    <x v="13"/>
    <x v="16"/>
    <x v="17"/>
    <x v="0"/>
    <x v="1"/>
    <n v="5.1412812000000002E-2"/>
  </r>
  <r>
    <x v="0"/>
    <x v="13"/>
    <x v="12"/>
    <x v="18"/>
    <x v="0"/>
    <x v="0"/>
    <n v="232.35844195799999"/>
  </r>
  <r>
    <x v="0"/>
    <x v="13"/>
    <x v="13"/>
    <x v="18"/>
    <x v="0"/>
    <x v="0"/>
    <n v="54.943024960999999"/>
  </r>
  <r>
    <x v="0"/>
    <x v="13"/>
    <x v="14"/>
    <x v="18"/>
    <x v="0"/>
    <x v="0"/>
    <n v="40.027814372999998"/>
  </r>
  <r>
    <x v="0"/>
    <x v="13"/>
    <x v="15"/>
    <x v="18"/>
    <x v="0"/>
    <x v="1"/>
    <n v="4.5152117999999998E-2"/>
  </r>
  <r>
    <x v="0"/>
    <x v="13"/>
    <x v="16"/>
    <x v="18"/>
    <x v="0"/>
    <x v="1"/>
    <n v="4.5694709999999999E-2"/>
  </r>
  <r>
    <x v="0"/>
    <x v="13"/>
    <x v="12"/>
    <x v="19"/>
    <x v="0"/>
    <x v="0"/>
    <n v="226.45394934999999"/>
  </r>
  <r>
    <x v="0"/>
    <x v="13"/>
    <x v="13"/>
    <x v="19"/>
    <x v="0"/>
    <x v="0"/>
    <n v="303.198167324"/>
  </r>
  <r>
    <x v="0"/>
    <x v="13"/>
    <x v="14"/>
    <x v="19"/>
    <x v="0"/>
    <x v="0"/>
    <n v="101.646865539"/>
  </r>
  <r>
    <x v="0"/>
    <x v="13"/>
    <x v="15"/>
    <x v="19"/>
    <x v="0"/>
    <x v="1"/>
    <n v="4.5845553999999997E-2"/>
  </r>
  <r>
    <x v="0"/>
    <x v="13"/>
    <x v="16"/>
    <x v="19"/>
    <x v="0"/>
    <x v="1"/>
    <n v="4.9453367999999998E-2"/>
  </r>
  <r>
    <x v="0"/>
    <x v="13"/>
    <x v="12"/>
    <x v="20"/>
    <x v="0"/>
    <x v="0"/>
    <n v="36.821101730999999"/>
  </r>
  <r>
    <x v="0"/>
    <x v="13"/>
    <x v="13"/>
    <x v="20"/>
    <x v="0"/>
    <x v="0"/>
    <n v="43.207146152"/>
  </r>
  <r>
    <x v="0"/>
    <x v="13"/>
    <x v="14"/>
    <x v="20"/>
    <x v="0"/>
    <x v="0"/>
    <n v="8.0955424970000003"/>
  </r>
  <r>
    <x v="0"/>
    <x v="13"/>
    <x v="15"/>
    <x v="20"/>
    <x v="0"/>
    <x v="1"/>
    <n v="4.4272984000000001E-2"/>
  </r>
  <r>
    <x v="0"/>
    <x v="13"/>
    <x v="16"/>
    <x v="20"/>
    <x v="0"/>
    <x v="1"/>
    <n v="4.6774163000000001E-2"/>
  </r>
  <r>
    <x v="0"/>
    <x v="13"/>
    <x v="12"/>
    <x v="21"/>
    <x v="0"/>
    <x v="0"/>
    <n v="16.458357248999999"/>
  </r>
  <r>
    <x v="0"/>
    <x v="13"/>
    <x v="13"/>
    <x v="21"/>
    <x v="0"/>
    <x v="0"/>
    <n v="0.97320942899999996"/>
  </r>
  <r>
    <x v="0"/>
    <x v="13"/>
    <x v="14"/>
    <x v="21"/>
    <x v="0"/>
    <x v="0"/>
    <n v="1.454447093"/>
  </r>
  <r>
    <x v="0"/>
    <x v="13"/>
    <x v="15"/>
    <x v="21"/>
    <x v="0"/>
    <x v="1"/>
    <n v="5.5895050000000002E-2"/>
  </r>
  <r>
    <x v="0"/>
    <x v="13"/>
    <x v="16"/>
    <x v="21"/>
    <x v="0"/>
    <x v="1"/>
    <n v="5.6261717000000003E-2"/>
  </r>
  <r>
    <x v="0"/>
    <x v="13"/>
    <x v="12"/>
    <x v="22"/>
    <x v="0"/>
    <x v="0"/>
    <n v="86.591091312000003"/>
  </r>
  <r>
    <x v="0"/>
    <x v="13"/>
    <x v="13"/>
    <x v="22"/>
    <x v="0"/>
    <x v="0"/>
    <n v="1.358759775"/>
  </r>
  <r>
    <x v="0"/>
    <x v="13"/>
    <x v="14"/>
    <x v="22"/>
    <x v="0"/>
    <x v="0"/>
    <n v="5.0510025240000003"/>
  </r>
  <r>
    <x v="0"/>
    <x v="13"/>
    <x v="15"/>
    <x v="22"/>
    <x v="0"/>
    <x v="1"/>
    <n v="1.1129124000000001E-2"/>
  </r>
  <r>
    <x v="0"/>
    <x v="13"/>
    <x v="16"/>
    <x v="22"/>
    <x v="0"/>
    <x v="1"/>
    <n v="9.3878090000000004E-3"/>
  </r>
  <r>
    <x v="0"/>
    <x v="13"/>
    <x v="12"/>
    <x v="23"/>
    <x v="0"/>
    <x v="0"/>
    <n v="8.1785671400000002"/>
  </r>
  <r>
    <x v="0"/>
    <x v="13"/>
    <x v="13"/>
    <x v="23"/>
    <x v="0"/>
    <x v="0"/>
    <n v="0"/>
  </r>
  <r>
    <x v="0"/>
    <x v="13"/>
    <x v="14"/>
    <x v="23"/>
    <x v="0"/>
    <x v="0"/>
    <n v="0"/>
  </r>
  <r>
    <x v="0"/>
    <x v="13"/>
    <x v="15"/>
    <x v="23"/>
    <x v="0"/>
    <x v="1"/>
    <n v="5.3560379999999998E-2"/>
  </r>
  <r>
    <x v="0"/>
    <x v="13"/>
    <x v="16"/>
    <x v="23"/>
    <x v="0"/>
    <x v="1"/>
    <n v="5.3560379999999998E-2"/>
  </r>
  <r>
    <x v="0"/>
    <x v="13"/>
    <x v="12"/>
    <x v="24"/>
    <x v="0"/>
    <x v="0"/>
    <n v="429.23536482499998"/>
  </r>
  <r>
    <x v="0"/>
    <x v="13"/>
    <x v="13"/>
    <x v="24"/>
    <x v="0"/>
    <x v="0"/>
    <n v="0.31653445099999999"/>
  </r>
  <r>
    <x v="0"/>
    <x v="13"/>
    <x v="14"/>
    <x v="24"/>
    <x v="0"/>
    <x v="0"/>
    <n v="0.39208906300000002"/>
  </r>
  <r>
    <x v="0"/>
    <x v="13"/>
    <x v="15"/>
    <x v="24"/>
    <x v="0"/>
    <x v="1"/>
    <n v="4.1286597000000001E-2"/>
  </r>
  <r>
    <x v="0"/>
    <x v="13"/>
    <x v="16"/>
    <x v="24"/>
    <x v="0"/>
    <x v="1"/>
    <n v="4.1286893999999998E-2"/>
  </r>
  <r>
    <x v="0"/>
    <x v="13"/>
    <x v="12"/>
    <x v="25"/>
    <x v="0"/>
    <x v="0"/>
    <n v="21.751458594999999"/>
  </r>
  <r>
    <x v="0"/>
    <x v="13"/>
    <x v="13"/>
    <x v="25"/>
    <x v="0"/>
    <x v="0"/>
    <n v="1.8099999999999999E-7"/>
  </r>
  <r>
    <x v="0"/>
    <x v="13"/>
    <x v="14"/>
    <x v="25"/>
    <x v="0"/>
    <x v="0"/>
    <n v="0"/>
  </r>
  <r>
    <x v="0"/>
    <x v="13"/>
    <x v="15"/>
    <x v="25"/>
    <x v="0"/>
    <x v="1"/>
    <n v="3.7184986000000003E-2"/>
  </r>
  <r>
    <x v="0"/>
    <x v="13"/>
    <x v="16"/>
    <x v="25"/>
    <x v="0"/>
    <x v="1"/>
    <n v="3.7184986000000003E-2"/>
  </r>
  <r>
    <x v="0"/>
    <x v="13"/>
    <x v="12"/>
    <x v="26"/>
    <x v="0"/>
    <x v="0"/>
    <n v="10.418427057000001"/>
  </r>
  <r>
    <x v="0"/>
    <x v="13"/>
    <x v="13"/>
    <x v="26"/>
    <x v="0"/>
    <x v="0"/>
    <n v="0"/>
  </r>
  <r>
    <x v="0"/>
    <x v="13"/>
    <x v="14"/>
    <x v="26"/>
    <x v="0"/>
    <x v="0"/>
    <n v="0"/>
  </r>
  <r>
    <x v="0"/>
    <x v="13"/>
    <x v="15"/>
    <x v="26"/>
    <x v="0"/>
    <x v="1"/>
    <n v="5.3190761000000003E-2"/>
  </r>
  <r>
    <x v="0"/>
    <x v="13"/>
    <x v="16"/>
    <x v="26"/>
    <x v="0"/>
    <x v="1"/>
    <n v="5.3190761000000003E-2"/>
  </r>
  <r>
    <x v="0"/>
    <x v="13"/>
    <x v="12"/>
    <x v="27"/>
    <x v="0"/>
    <x v="0"/>
    <n v="463.41356356900002"/>
  </r>
  <r>
    <x v="0"/>
    <x v="13"/>
    <x v="13"/>
    <x v="27"/>
    <x v="0"/>
    <x v="0"/>
    <n v="4.9141620379999997"/>
  </r>
  <r>
    <x v="0"/>
    <x v="13"/>
    <x v="14"/>
    <x v="27"/>
    <x v="0"/>
    <x v="0"/>
    <n v="1.721290051"/>
  </r>
  <r>
    <x v="0"/>
    <x v="13"/>
    <x v="15"/>
    <x v="27"/>
    <x v="0"/>
    <x v="1"/>
    <n v="6.0824321000000001E-2"/>
  </r>
  <r>
    <x v="0"/>
    <x v="13"/>
    <x v="16"/>
    <x v="27"/>
    <x v="0"/>
    <x v="1"/>
    <n v="6.0906857000000002E-2"/>
  </r>
  <r>
    <x v="0"/>
    <x v="13"/>
    <x v="12"/>
    <x v="28"/>
    <x v="0"/>
    <x v="0"/>
    <n v="572.28224250699998"/>
  </r>
  <r>
    <x v="0"/>
    <x v="13"/>
    <x v="13"/>
    <x v="28"/>
    <x v="0"/>
    <x v="0"/>
    <n v="0"/>
  </r>
  <r>
    <x v="0"/>
    <x v="13"/>
    <x v="14"/>
    <x v="28"/>
    <x v="0"/>
    <x v="0"/>
    <n v="71.870298470999998"/>
  </r>
  <r>
    <x v="0"/>
    <x v="13"/>
    <x v="15"/>
    <x v="28"/>
    <x v="0"/>
    <x v="1"/>
    <n v="4.2726003999999998E-2"/>
  </r>
  <r>
    <x v="0"/>
    <x v="13"/>
    <x v="16"/>
    <x v="28"/>
    <x v="0"/>
    <x v="1"/>
    <n v="4.2726003999999998E-2"/>
  </r>
  <r>
    <x v="0"/>
    <x v="13"/>
    <x v="12"/>
    <x v="29"/>
    <x v="0"/>
    <x v="0"/>
    <n v="538.80537217300002"/>
  </r>
  <r>
    <x v="0"/>
    <x v="13"/>
    <x v="13"/>
    <x v="29"/>
    <x v="0"/>
    <x v="0"/>
    <n v="60.442468955999999"/>
  </r>
  <r>
    <x v="0"/>
    <x v="13"/>
    <x v="14"/>
    <x v="29"/>
    <x v="0"/>
    <x v="0"/>
    <n v="24.914030552"/>
  </r>
  <r>
    <x v="0"/>
    <x v="13"/>
    <x v="15"/>
    <x v="29"/>
    <x v="0"/>
    <x v="1"/>
    <n v="4.7375198E-2"/>
  </r>
  <r>
    <x v="0"/>
    <x v="13"/>
    <x v="16"/>
    <x v="29"/>
    <x v="0"/>
    <x v="1"/>
    <n v="4.7780606000000003E-2"/>
  </r>
  <r>
    <x v="0"/>
    <x v="13"/>
    <x v="12"/>
    <x v="30"/>
    <x v="0"/>
    <x v="0"/>
    <n v="134.04829834500001"/>
  </r>
  <r>
    <x v="0"/>
    <x v="13"/>
    <x v="13"/>
    <x v="30"/>
    <x v="0"/>
    <x v="0"/>
    <n v="39.413467537999999"/>
  </r>
  <r>
    <x v="0"/>
    <x v="13"/>
    <x v="14"/>
    <x v="30"/>
    <x v="0"/>
    <x v="0"/>
    <n v="0.98383411899999995"/>
  </r>
  <r>
    <x v="0"/>
    <x v="13"/>
    <x v="15"/>
    <x v="30"/>
    <x v="0"/>
    <x v="1"/>
    <n v="7.3425125999999993E-2"/>
  </r>
  <r>
    <x v="0"/>
    <x v="13"/>
    <x v="16"/>
    <x v="30"/>
    <x v="0"/>
    <x v="1"/>
    <n v="7.6693552999999998E-2"/>
  </r>
  <r>
    <x v="0"/>
    <x v="13"/>
    <x v="12"/>
    <x v="31"/>
    <x v="0"/>
    <x v="0"/>
    <n v="193.40540886400001"/>
  </r>
  <r>
    <x v="0"/>
    <x v="13"/>
    <x v="13"/>
    <x v="31"/>
    <x v="0"/>
    <x v="0"/>
    <n v="8.4072100639999992"/>
  </r>
  <r>
    <x v="0"/>
    <x v="13"/>
    <x v="14"/>
    <x v="31"/>
    <x v="0"/>
    <x v="0"/>
    <n v="6.7528971200000001"/>
  </r>
  <r>
    <x v="0"/>
    <x v="13"/>
    <x v="15"/>
    <x v="31"/>
    <x v="0"/>
    <x v="1"/>
    <n v="3.8380495000000001E-2"/>
  </r>
  <r>
    <x v="0"/>
    <x v="13"/>
    <x v="16"/>
    <x v="31"/>
    <x v="0"/>
    <x v="1"/>
    <n v="3.8313865000000003E-2"/>
  </r>
  <r>
    <x v="0"/>
    <x v="13"/>
    <x v="12"/>
    <x v="32"/>
    <x v="0"/>
    <x v="0"/>
    <n v="680.31126947200005"/>
  </r>
  <r>
    <x v="0"/>
    <x v="13"/>
    <x v="13"/>
    <x v="32"/>
    <x v="0"/>
    <x v="0"/>
    <n v="4.6949545840000004"/>
  </r>
  <r>
    <x v="0"/>
    <x v="13"/>
    <x v="14"/>
    <x v="32"/>
    <x v="0"/>
    <x v="0"/>
    <n v="3.240850746"/>
  </r>
  <r>
    <x v="0"/>
    <x v="13"/>
    <x v="15"/>
    <x v="32"/>
    <x v="0"/>
    <x v="1"/>
    <n v="3.7406738000000002E-2"/>
  </r>
  <r>
    <x v="0"/>
    <x v="13"/>
    <x v="16"/>
    <x v="32"/>
    <x v="0"/>
    <x v="1"/>
    <n v="3.7389812000000001E-2"/>
  </r>
  <r>
    <x v="0"/>
    <x v="13"/>
    <x v="12"/>
    <x v="33"/>
    <x v="0"/>
    <x v="0"/>
    <n v="600.12320120100003"/>
  </r>
  <r>
    <x v="0"/>
    <x v="13"/>
    <x v="13"/>
    <x v="33"/>
    <x v="0"/>
    <x v="0"/>
    <n v="0"/>
  </r>
  <r>
    <x v="0"/>
    <x v="13"/>
    <x v="14"/>
    <x v="33"/>
    <x v="0"/>
    <x v="0"/>
    <n v="0"/>
  </r>
  <r>
    <x v="0"/>
    <x v="13"/>
    <x v="15"/>
    <x v="33"/>
    <x v="0"/>
    <x v="1"/>
    <n v="2.2949443999999999E-2"/>
  </r>
  <r>
    <x v="0"/>
    <x v="13"/>
    <x v="16"/>
    <x v="33"/>
    <x v="0"/>
    <x v="1"/>
    <n v="2.2949443999999999E-2"/>
  </r>
  <r>
    <x v="0"/>
    <x v="13"/>
    <x v="12"/>
    <x v="34"/>
    <x v="0"/>
    <x v="0"/>
    <n v="316.34582935100002"/>
  </r>
  <r>
    <x v="0"/>
    <x v="13"/>
    <x v="13"/>
    <x v="34"/>
    <x v="0"/>
    <x v="0"/>
    <n v="63.061382123999998"/>
  </r>
  <r>
    <x v="0"/>
    <x v="13"/>
    <x v="14"/>
    <x v="34"/>
    <x v="0"/>
    <x v="0"/>
    <n v="15.930522595999999"/>
  </r>
  <r>
    <x v="0"/>
    <x v="13"/>
    <x v="15"/>
    <x v="34"/>
    <x v="0"/>
    <x v="1"/>
    <n v="5.0472886000000002E-2"/>
  </r>
  <r>
    <x v="0"/>
    <x v="13"/>
    <x v="16"/>
    <x v="34"/>
    <x v="0"/>
    <x v="1"/>
    <n v="5.1431912000000003E-2"/>
  </r>
  <r>
    <x v="0"/>
    <x v="13"/>
    <x v="12"/>
    <x v="35"/>
    <x v="0"/>
    <x v="0"/>
    <n v="263.06809900399998"/>
  </r>
  <r>
    <x v="0"/>
    <x v="13"/>
    <x v="13"/>
    <x v="35"/>
    <x v="0"/>
    <x v="0"/>
    <n v="6.7365432930000004"/>
  </r>
  <r>
    <x v="0"/>
    <x v="13"/>
    <x v="14"/>
    <x v="35"/>
    <x v="0"/>
    <x v="0"/>
    <n v="9.9320354E-2"/>
  </r>
  <r>
    <x v="0"/>
    <x v="13"/>
    <x v="15"/>
    <x v="35"/>
    <x v="0"/>
    <x v="1"/>
    <n v="5.4349585999999998E-2"/>
  </r>
  <r>
    <x v="0"/>
    <x v="13"/>
    <x v="16"/>
    <x v="35"/>
    <x v="0"/>
    <x v="1"/>
    <n v="5.4511045000000001E-2"/>
  </r>
  <r>
    <x v="0"/>
    <x v="13"/>
    <x v="12"/>
    <x v="36"/>
    <x v="0"/>
    <x v="0"/>
    <n v="84.723626632999995"/>
  </r>
  <r>
    <x v="0"/>
    <x v="13"/>
    <x v="13"/>
    <x v="36"/>
    <x v="0"/>
    <x v="0"/>
    <n v="14.647773923999999"/>
  </r>
  <r>
    <x v="0"/>
    <x v="13"/>
    <x v="14"/>
    <x v="36"/>
    <x v="0"/>
    <x v="0"/>
    <n v="0.41176746800000003"/>
  </r>
  <r>
    <x v="0"/>
    <x v="13"/>
    <x v="15"/>
    <x v="36"/>
    <x v="0"/>
    <x v="1"/>
    <n v="6.1567080000000003E-2"/>
  </r>
  <r>
    <x v="0"/>
    <x v="13"/>
    <x v="16"/>
    <x v="36"/>
    <x v="0"/>
    <x v="1"/>
    <n v="6.3059085000000001E-2"/>
  </r>
  <r>
    <x v="0"/>
    <x v="13"/>
    <x v="12"/>
    <x v="37"/>
    <x v="0"/>
    <x v="0"/>
    <n v="96.646590997000004"/>
  </r>
  <r>
    <x v="0"/>
    <x v="13"/>
    <x v="13"/>
    <x v="37"/>
    <x v="0"/>
    <x v="0"/>
    <n v="3.4463834160000002"/>
  </r>
  <r>
    <x v="0"/>
    <x v="13"/>
    <x v="14"/>
    <x v="37"/>
    <x v="0"/>
    <x v="0"/>
    <n v="0.26765238800000002"/>
  </r>
  <r>
    <x v="0"/>
    <x v="13"/>
    <x v="15"/>
    <x v="37"/>
    <x v="0"/>
    <x v="1"/>
    <n v="6.7298706E-2"/>
  </r>
  <r>
    <x v="0"/>
    <x v="13"/>
    <x v="16"/>
    <x v="37"/>
    <x v="0"/>
    <x v="1"/>
    <n v="6.7685474999999995E-2"/>
  </r>
  <r>
    <x v="0"/>
    <x v="13"/>
    <x v="12"/>
    <x v="38"/>
    <x v="0"/>
    <x v="0"/>
    <n v="300.09587840900002"/>
  </r>
  <r>
    <x v="0"/>
    <x v="13"/>
    <x v="13"/>
    <x v="38"/>
    <x v="0"/>
    <x v="0"/>
    <n v="15.982245124"/>
  </r>
  <r>
    <x v="0"/>
    <x v="13"/>
    <x v="14"/>
    <x v="38"/>
    <x v="0"/>
    <x v="0"/>
    <n v="9.2109154999999998E-2"/>
  </r>
  <r>
    <x v="0"/>
    <x v="13"/>
    <x v="15"/>
    <x v="38"/>
    <x v="0"/>
    <x v="1"/>
    <n v="9.7684625999999997E-2"/>
  </r>
  <r>
    <x v="0"/>
    <x v="13"/>
    <x v="16"/>
    <x v="38"/>
    <x v="0"/>
    <x v="1"/>
    <n v="9.8673802000000005E-2"/>
  </r>
  <r>
    <x v="0"/>
    <x v="13"/>
    <x v="12"/>
    <x v="39"/>
    <x v="0"/>
    <x v="0"/>
    <n v="153.028259709"/>
  </r>
  <r>
    <x v="0"/>
    <x v="13"/>
    <x v="13"/>
    <x v="39"/>
    <x v="0"/>
    <x v="0"/>
    <n v="6.0421571060000003"/>
  </r>
  <r>
    <x v="0"/>
    <x v="13"/>
    <x v="14"/>
    <x v="39"/>
    <x v="0"/>
    <x v="0"/>
    <n v="8.9606667000000001E-2"/>
  </r>
  <r>
    <x v="0"/>
    <x v="13"/>
    <x v="15"/>
    <x v="39"/>
    <x v="0"/>
    <x v="1"/>
    <n v="7.9715637000000006E-2"/>
  </r>
  <r>
    <x v="0"/>
    <x v="13"/>
    <x v="16"/>
    <x v="39"/>
    <x v="0"/>
    <x v="1"/>
    <n v="8.0214969999999997E-2"/>
  </r>
  <r>
    <x v="0"/>
    <x v="13"/>
    <x v="12"/>
    <x v="40"/>
    <x v="0"/>
    <x v="0"/>
    <n v="58.895863411000001"/>
  </r>
  <r>
    <x v="0"/>
    <x v="13"/>
    <x v="13"/>
    <x v="40"/>
    <x v="0"/>
    <x v="0"/>
    <n v="36.737596728"/>
  </r>
  <r>
    <x v="0"/>
    <x v="13"/>
    <x v="14"/>
    <x v="40"/>
    <x v="0"/>
    <x v="0"/>
    <n v="1.8628063800000001"/>
  </r>
  <r>
    <x v="0"/>
    <x v="13"/>
    <x v="15"/>
    <x v="40"/>
    <x v="0"/>
    <x v="1"/>
    <n v="5.6300006999999999E-2"/>
  </r>
  <r>
    <x v="0"/>
    <x v="13"/>
    <x v="16"/>
    <x v="40"/>
    <x v="0"/>
    <x v="1"/>
    <n v="6.0898425999999999E-2"/>
  </r>
  <r>
    <x v="0"/>
    <x v="13"/>
    <x v="12"/>
    <x v="41"/>
    <x v="0"/>
    <x v="0"/>
    <n v="641.85994266800003"/>
  </r>
  <r>
    <x v="0"/>
    <x v="13"/>
    <x v="13"/>
    <x v="41"/>
    <x v="0"/>
    <x v="0"/>
    <n v="12.813126053"/>
  </r>
  <r>
    <x v="0"/>
    <x v="13"/>
    <x v="14"/>
    <x v="41"/>
    <x v="0"/>
    <x v="0"/>
    <n v="0.158392317"/>
  </r>
  <r>
    <x v="0"/>
    <x v="13"/>
    <x v="15"/>
    <x v="41"/>
    <x v="0"/>
    <x v="1"/>
    <n v="9.3786857000000001E-2"/>
  </r>
  <r>
    <x v="0"/>
    <x v="13"/>
    <x v="16"/>
    <x v="41"/>
    <x v="0"/>
    <x v="1"/>
    <n v="9.4113587999999998E-2"/>
  </r>
  <r>
    <x v="0"/>
    <x v="13"/>
    <x v="17"/>
    <x v="0"/>
    <x v="46"/>
    <x v="1"/>
    <n v="78.671433742999994"/>
  </r>
  <r>
    <x v="0"/>
    <x v="13"/>
    <x v="17"/>
    <x v="0"/>
    <x v="47"/>
    <x v="1"/>
    <n v="78.671433742999994"/>
  </r>
  <r>
    <x v="0"/>
    <x v="13"/>
    <x v="17"/>
    <x v="0"/>
    <x v="48"/>
    <x v="1"/>
    <n v="78.671433742999994"/>
  </r>
  <r>
    <x v="0"/>
    <x v="13"/>
    <x v="17"/>
    <x v="0"/>
    <x v="49"/>
    <x v="1"/>
    <n v="0"/>
  </r>
  <r>
    <x v="0"/>
    <x v="13"/>
    <x v="17"/>
    <x v="0"/>
    <x v="50"/>
    <x v="1"/>
    <n v="0"/>
  </r>
  <r>
    <x v="0"/>
    <x v="13"/>
    <x v="17"/>
    <x v="0"/>
    <x v="51"/>
    <x v="1"/>
    <n v="0"/>
  </r>
  <r>
    <x v="0"/>
    <x v="13"/>
    <x v="17"/>
    <x v="0"/>
    <x v="52"/>
    <x v="1"/>
    <n v="0"/>
  </r>
  <r>
    <x v="0"/>
    <x v="13"/>
    <x v="17"/>
    <x v="0"/>
    <x v="53"/>
    <x v="1"/>
    <n v="0"/>
  </r>
  <r>
    <x v="0"/>
    <x v="13"/>
    <x v="17"/>
    <x v="0"/>
    <x v="54"/>
    <x v="1"/>
    <n v="0"/>
  </r>
  <r>
    <x v="0"/>
    <x v="13"/>
    <x v="17"/>
    <x v="0"/>
    <x v="55"/>
    <x v="1"/>
    <n v="0"/>
  </r>
  <r>
    <x v="0"/>
    <x v="13"/>
    <x v="17"/>
    <x v="1"/>
    <x v="46"/>
    <x v="1"/>
    <n v="13.787961533000001"/>
  </r>
  <r>
    <x v="0"/>
    <x v="13"/>
    <x v="17"/>
    <x v="1"/>
    <x v="47"/>
    <x v="1"/>
    <n v="13.787961533000001"/>
  </r>
  <r>
    <x v="0"/>
    <x v="13"/>
    <x v="17"/>
    <x v="1"/>
    <x v="48"/>
    <x v="1"/>
    <n v="13.787961533000001"/>
  </r>
  <r>
    <x v="0"/>
    <x v="13"/>
    <x v="17"/>
    <x v="1"/>
    <x v="49"/>
    <x v="1"/>
    <n v="0"/>
  </r>
  <r>
    <x v="0"/>
    <x v="13"/>
    <x v="17"/>
    <x v="1"/>
    <x v="50"/>
    <x v="1"/>
    <n v="0"/>
  </r>
  <r>
    <x v="0"/>
    <x v="13"/>
    <x v="17"/>
    <x v="1"/>
    <x v="51"/>
    <x v="1"/>
    <n v="0"/>
  </r>
  <r>
    <x v="0"/>
    <x v="13"/>
    <x v="17"/>
    <x v="1"/>
    <x v="52"/>
    <x v="1"/>
    <n v="0"/>
  </r>
  <r>
    <x v="0"/>
    <x v="13"/>
    <x v="17"/>
    <x v="1"/>
    <x v="53"/>
    <x v="1"/>
    <n v="0"/>
  </r>
  <r>
    <x v="0"/>
    <x v="13"/>
    <x v="17"/>
    <x v="1"/>
    <x v="54"/>
    <x v="1"/>
    <n v="0"/>
  </r>
  <r>
    <x v="0"/>
    <x v="13"/>
    <x v="17"/>
    <x v="1"/>
    <x v="55"/>
    <x v="1"/>
    <n v="0"/>
  </r>
  <r>
    <x v="0"/>
    <x v="13"/>
    <x v="17"/>
    <x v="2"/>
    <x v="46"/>
    <x v="1"/>
    <n v="10.13866253"/>
  </r>
  <r>
    <x v="0"/>
    <x v="13"/>
    <x v="17"/>
    <x v="2"/>
    <x v="47"/>
    <x v="1"/>
    <n v="10.13866253"/>
  </r>
  <r>
    <x v="0"/>
    <x v="13"/>
    <x v="17"/>
    <x v="2"/>
    <x v="48"/>
    <x v="1"/>
    <n v="10.13866253"/>
  </r>
  <r>
    <x v="0"/>
    <x v="13"/>
    <x v="17"/>
    <x v="2"/>
    <x v="49"/>
    <x v="1"/>
    <n v="0"/>
  </r>
  <r>
    <x v="0"/>
    <x v="13"/>
    <x v="17"/>
    <x v="2"/>
    <x v="50"/>
    <x v="1"/>
    <n v="0"/>
  </r>
  <r>
    <x v="0"/>
    <x v="13"/>
    <x v="17"/>
    <x v="2"/>
    <x v="51"/>
    <x v="1"/>
    <n v="0"/>
  </r>
  <r>
    <x v="0"/>
    <x v="13"/>
    <x v="17"/>
    <x v="2"/>
    <x v="52"/>
    <x v="1"/>
    <n v="0"/>
  </r>
  <r>
    <x v="0"/>
    <x v="13"/>
    <x v="17"/>
    <x v="2"/>
    <x v="53"/>
    <x v="1"/>
    <n v="0"/>
  </r>
  <r>
    <x v="0"/>
    <x v="13"/>
    <x v="17"/>
    <x v="2"/>
    <x v="54"/>
    <x v="1"/>
    <n v="0"/>
  </r>
  <r>
    <x v="0"/>
    <x v="13"/>
    <x v="17"/>
    <x v="2"/>
    <x v="55"/>
    <x v="1"/>
    <n v="0"/>
  </r>
  <r>
    <x v="0"/>
    <x v="13"/>
    <x v="17"/>
    <x v="3"/>
    <x v="46"/>
    <x v="1"/>
    <n v="6.2366051230000004"/>
  </r>
  <r>
    <x v="0"/>
    <x v="13"/>
    <x v="17"/>
    <x v="3"/>
    <x v="47"/>
    <x v="1"/>
    <n v="6.2366051230000004"/>
  </r>
  <r>
    <x v="0"/>
    <x v="13"/>
    <x v="17"/>
    <x v="3"/>
    <x v="48"/>
    <x v="1"/>
    <n v="6.2366051230000004"/>
  </r>
  <r>
    <x v="0"/>
    <x v="13"/>
    <x v="17"/>
    <x v="3"/>
    <x v="49"/>
    <x v="1"/>
    <n v="0"/>
  </r>
  <r>
    <x v="0"/>
    <x v="13"/>
    <x v="17"/>
    <x v="3"/>
    <x v="50"/>
    <x v="1"/>
    <n v="0"/>
  </r>
  <r>
    <x v="0"/>
    <x v="13"/>
    <x v="17"/>
    <x v="3"/>
    <x v="51"/>
    <x v="1"/>
    <n v="0"/>
  </r>
  <r>
    <x v="0"/>
    <x v="13"/>
    <x v="17"/>
    <x v="3"/>
    <x v="52"/>
    <x v="1"/>
    <n v="0"/>
  </r>
  <r>
    <x v="0"/>
    <x v="13"/>
    <x v="17"/>
    <x v="3"/>
    <x v="53"/>
    <x v="1"/>
    <n v="0"/>
  </r>
  <r>
    <x v="0"/>
    <x v="13"/>
    <x v="17"/>
    <x v="3"/>
    <x v="54"/>
    <x v="1"/>
    <n v="0"/>
  </r>
  <r>
    <x v="0"/>
    <x v="13"/>
    <x v="17"/>
    <x v="3"/>
    <x v="55"/>
    <x v="1"/>
    <n v="0"/>
  </r>
  <r>
    <x v="0"/>
    <x v="13"/>
    <x v="17"/>
    <x v="4"/>
    <x v="46"/>
    <x v="1"/>
    <n v="3.2921885030000002"/>
  </r>
  <r>
    <x v="0"/>
    <x v="13"/>
    <x v="17"/>
    <x v="4"/>
    <x v="47"/>
    <x v="1"/>
    <n v="3.2921885030000002"/>
  </r>
  <r>
    <x v="0"/>
    <x v="13"/>
    <x v="17"/>
    <x v="4"/>
    <x v="48"/>
    <x v="1"/>
    <n v="3.2921885030000002"/>
  </r>
  <r>
    <x v="0"/>
    <x v="13"/>
    <x v="17"/>
    <x v="4"/>
    <x v="49"/>
    <x v="1"/>
    <n v="0"/>
  </r>
  <r>
    <x v="0"/>
    <x v="13"/>
    <x v="17"/>
    <x v="4"/>
    <x v="50"/>
    <x v="1"/>
    <n v="0"/>
  </r>
  <r>
    <x v="0"/>
    <x v="13"/>
    <x v="17"/>
    <x v="4"/>
    <x v="51"/>
    <x v="1"/>
    <n v="0"/>
  </r>
  <r>
    <x v="0"/>
    <x v="13"/>
    <x v="17"/>
    <x v="4"/>
    <x v="52"/>
    <x v="1"/>
    <n v="0"/>
  </r>
  <r>
    <x v="0"/>
    <x v="13"/>
    <x v="17"/>
    <x v="4"/>
    <x v="53"/>
    <x v="1"/>
    <n v="0"/>
  </r>
  <r>
    <x v="0"/>
    <x v="13"/>
    <x v="17"/>
    <x v="4"/>
    <x v="54"/>
    <x v="1"/>
    <n v="0"/>
  </r>
  <r>
    <x v="0"/>
    <x v="13"/>
    <x v="17"/>
    <x v="4"/>
    <x v="55"/>
    <x v="1"/>
    <n v="0"/>
  </r>
  <r>
    <x v="0"/>
    <x v="13"/>
    <x v="17"/>
    <x v="5"/>
    <x v="46"/>
    <x v="1"/>
    <n v="46.334588986999997"/>
  </r>
  <r>
    <x v="0"/>
    <x v="13"/>
    <x v="17"/>
    <x v="5"/>
    <x v="47"/>
    <x v="1"/>
    <n v="46.334588986999997"/>
  </r>
  <r>
    <x v="0"/>
    <x v="13"/>
    <x v="17"/>
    <x v="5"/>
    <x v="48"/>
    <x v="1"/>
    <n v="46.334588986999997"/>
  </r>
  <r>
    <x v="0"/>
    <x v="13"/>
    <x v="17"/>
    <x v="5"/>
    <x v="49"/>
    <x v="1"/>
    <n v="0"/>
  </r>
  <r>
    <x v="0"/>
    <x v="13"/>
    <x v="17"/>
    <x v="5"/>
    <x v="50"/>
    <x v="1"/>
    <n v="0"/>
  </r>
  <r>
    <x v="0"/>
    <x v="13"/>
    <x v="17"/>
    <x v="5"/>
    <x v="51"/>
    <x v="1"/>
    <n v="0"/>
  </r>
  <r>
    <x v="0"/>
    <x v="13"/>
    <x v="17"/>
    <x v="5"/>
    <x v="52"/>
    <x v="1"/>
    <n v="0"/>
  </r>
  <r>
    <x v="0"/>
    <x v="13"/>
    <x v="17"/>
    <x v="5"/>
    <x v="53"/>
    <x v="1"/>
    <n v="0"/>
  </r>
  <r>
    <x v="0"/>
    <x v="13"/>
    <x v="17"/>
    <x v="5"/>
    <x v="54"/>
    <x v="1"/>
    <n v="0"/>
  </r>
  <r>
    <x v="0"/>
    <x v="13"/>
    <x v="17"/>
    <x v="5"/>
    <x v="55"/>
    <x v="1"/>
    <n v="0"/>
  </r>
  <r>
    <x v="0"/>
    <x v="13"/>
    <x v="17"/>
    <x v="6"/>
    <x v="46"/>
    <x v="1"/>
    <n v="13.623145269"/>
  </r>
  <r>
    <x v="0"/>
    <x v="13"/>
    <x v="17"/>
    <x v="6"/>
    <x v="47"/>
    <x v="1"/>
    <n v="13.623145269"/>
  </r>
  <r>
    <x v="0"/>
    <x v="13"/>
    <x v="17"/>
    <x v="6"/>
    <x v="48"/>
    <x v="1"/>
    <n v="13.623145269"/>
  </r>
  <r>
    <x v="0"/>
    <x v="13"/>
    <x v="17"/>
    <x v="6"/>
    <x v="49"/>
    <x v="1"/>
    <n v="0"/>
  </r>
  <r>
    <x v="0"/>
    <x v="13"/>
    <x v="17"/>
    <x v="6"/>
    <x v="50"/>
    <x v="1"/>
    <n v="0"/>
  </r>
  <r>
    <x v="0"/>
    <x v="13"/>
    <x v="17"/>
    <x v="6"/>
    <x v="51"/>
    <x v="1"/>
    <n v="0"/>
  </r>
  <r>
    <x v="0"/>
    <x v="13"/>
    <x v="17"/>
    <x v="6"/>
    <x v="52"/>
    <x v="1"/>
    <n v="0"/>
  </r>
  <r>
    <x v="0"/>
    <x v="13"/>
    <x v="17"/>
    <x v="6"/>
    <x v="53"/>
    <x v="1"/>
    <n v="0"/>
  </r>
  <r>
    <x v="0"/>
    <x v="13"/>
    <x v="17"/>
    <x v="6"/>
    <x v="54"/>
    <x v="1"/>
    <n v="0"/>
  </r>
  <r>
    <x v="0"/>
    <x v="13"/>
    <x v="17"/>
    <x v="6"/>
    <x v="55"/>
    <x v="1"/>
    <n v="0"/>
  </r>
  <r>
    <x v="0"/>
    <x v="13"/>
    <x v="17"/>
    <x v="7"/>
    <x v="46"/>
    <x v="1"/>
    <n v="8.7550211020000006"/>
  </r>
  <r>
    <x v="0"/>
    <x v="13"/>
    <x v="17"/>
    <x v="7"/>
    <x v="47"/>
    <x v="1"/>
    <n v="8.7550211020000006"/>
  </r>
  <r>
    <x v="0"/>
    <x v="13"/>
    <x v="17"/>
    <x v="7"/>
    <x v="48"/>
    <x v="1"/>
    <n v="8.7550211020000006"/>
  </r>
  <r>
    <x v="0"/>
    <x v="13"/>
    <x v="17"/>
    <x v="7"/>
    <x v="49"/>
    <x v="1"/>
    <n v="0"/>
  </r>
  <r>
    <x v="0"/>
    <x v="13"/>
    <x v="17"/>
    <x v="7"/>
    <x v="50"/>
    <x v="1"/>
    <n v="0"/>
  </r>
  <r>
    <x v="0"/>
    <x v="13"/>
    <x v="17"/>
    <x v="7"/>
    <x v="51"/>
    <x v="1"/>
    <n v="0"/>
  </r>
  <r>
    <x v="0"/>
    <x v="13"/>
    <x v="17"/>
    <x v="7"/>
    <x v="52"/>
    <x v="1"/>
    <n v="0"/>
  </r>
  <r>
    <x v="0"/>
    <x v="13"/>
    <x v="17"/>
    <x v="7"/>
    <x v="53"/>
    <x v="1"/>
    <n v="0"/>
  </r>
  <r>
    <x v="0"/>
    <x v="13"/>
    <x v="17"/>
    <x v="7"/>
    <x v="54"/>
    <x v="1"/>
    <n v="0"/>
  </r>
  <r>
    <x v="0"/>
    <x v="13"/>
    <x v="17"/>
    <x v="7"/>
    <x v="55"/>
    <x v="1"/>
    <n v="0"/>
  </r>
  <r>
    <x v="0"/>
    <x v="13"/>
    <x v="17"/>
    <x v="8"/>
    <x v="46"/>
    <x v="1"/>
    <n v="5.6772376529999997"/>
  </r>
  <r>
    <x v="0"/>
    <x v="13"/>
    <x v="17"/>
    <x v="8"/>
    <x v="47"/>
    <x v="1"/>
    <n v="5.6772376529999997"/>
  </r>
  <r>
    <x v="0"/>
    <x v="13"/>
    <x v="17"/>
    <x v="8"/>
    <x v="48"/>
    <x v="1"/>
    <n v="5.6772376529999997"/>
  </r>
  <r>
    <x v="0"/>
    <x v="13"/>
    <x v="17"/>
    <x v="8"/>
    <x v="49"/>
    <x v="1"/>
    <n v="0"/>
  </r>
  <r>
    <x v="0"/>
    <x v="13"/>
    <x v="17"/>
    <x v="8"/>
    <x v="50"/>
    <x v="1"/>
    <n v="0"/>
  </r>
  <r>
    <x v="0"/>
    <x v="13"/>
    <x v="17"/>
    <x v="8"/>
    <x v="51"/>
    <x v="1"/>
    <n v="0"/>
  </r>
  <r>
    <x v="0"/>
    <x v="13"/>
    <x v="17"/>
    <x v="8"/>
    <x v="52"/>
    <x v="1"/>
    <n v="0"/>
  </r>
  <r>
    <x v="0"/>
    <x v="13"/>
    <x v="17"/>
    <x v="8"/>
    <x v="53"/>
    <x v="1"/>
    <n v="0"/>
  </r>
  <r>
    <x v="0"/>
    <x v="13"/>
    <x v="17"/>
    <x v="8"/>
    <x v="54"/>
    <x v="1"/>
    <n v="0"/>
  </r>
  <r>
    <x v="0"/>
    <x v="13"/>
    <x v="17"/>
    <x v="8"/>
    <x v="55"/>
    <x v="1"/>
    <n v="0"/>
  </r>
  <r>
    <x v="0"/>
    <x v="13"/>
    <x v="17"/>
    <x v="9"/>
    <x v="46"/>
    <x v="1"/>
    <n v="13.459563435"/>
  </r>
  <r>
    <x v="0"/>
    <x v="13"/>
    <x v="17"/>
    <x v="9"/>
    <x v="47"/>
    <x v="1"/>
    <n v="13.459563435"/>
  </r>
  <r>
    <x v="0"/>
    <x v="13"/>
    <x v="17"/>
    <x v="9"/>
    <x v="48"/>
    <x v="1"/>
    <n v="13.459563435"/>
  </r>
  <r>
    <x v="0"/>
    <x v="13"/>
    <x v="17"/>
    <x v="9"/>
    <x v="49"/>
    <x v="1"/>
    <n v="0"/>
  </r>
  <r>
    <x v="0"/>
    <x v="13"/>
    <x v="17"/>
    <x v="9"/>
    <x v="50"/>
    <x v="1"/>
    <n v="0"/>
  </r>
  <r>
    <x v="0"/>
    <x v="13"/>
    <x v="17"/>
    <x v="9"/>
    <x v="51"/>
    <x v="1"/>
    <n v="0"/>
  </r>
  <r>
    <x v="0"/>
    <x v="13"/>
    <x v="17"/>
    <x v="9"/>
    <x v="52"/>
    <x v="1"/>
    <n v="0"/>
  </r>
  <r>
    <x v="0"/>
    <x v="13"/>
    <x v="17"/>
    <x v="9"/>
    <x v="53"/>
    <x v="1"/>
    <n v="0"/>
  </r>
  <r>
    <x v="0"/>
    <x v="13"/>
    <x v="17"/>
    <x v="9"/>
    <x v="54"/>
    <x v="1"/>
    <n v="0"/>
  </r>
  <r>
    <x v="0"/>
    <x v="13"/>
    <x v="17"/>
    <x v="9"/>
    <x v="55"/>
    <x v="1"/>
    <n v="0"/>
  </r>
  <r>
    <x v="0"/>
    <x v="13"/>
    <x v="17"/>
    <x v="10"/>
    <x v="46"/>
    <x v="1"/>
    <n v="14.304772677000001"/>
  </r>
  <r>
    <x v="0"/>
    <x v="13"/>
    <x v="17"/>
    <x v="10"/>
    <x v="47"/>
    <x v="1"/>
    <n v="14.304772677000001"/>
  </r>
  <r>
    <x v="0"/>
    <x v="13"/>
    <x v="17"/>
    <x v="10"/>
    <x v="48"/>
    <x v="1"/>
    <n v="14.304772677000001"/>
  </r>
  <r>
    <x v="0"/>
    <x v="13"/>
    <x v="17"/>
    <x v="10"/>
    <x v="49"/>
    <x v="1"/>
    <n v="0"/>
  </r>
  <r>
    <x v="0"/>
    <x v="13"/>
    <x v="17"/>
    <x v="10"/>
    <x v="50"/>
    <x v="1"/>
    <n v="0"/>
  </r>
  <r>
    <x v="0"/>
    <x v="13"/>
    <x v="17"/>
    <x v="10"/>
    <x v="51"/>
    <x v="1"/>
    <n v="0"/>
  </r>
  <r>
    <x v="0"/>
    <x v="13"/>
    <x v="17"/>
    <x v="10"/>
    <x v="52"/>
    <x v="1"/>
    <n v="0"/>
  </r>
  <r>
    <x v="0"/>
    <x v="13"/>
    <x v="17"/>
    <x v="10"/>
    <x v="53"/>
    <x v="1"/>
    <n v="0"/>
  </r>
  <r>
    <x v="0"/>
    <x v="13"/>
    <x v="17"/>
    <x v="10"/>
    <x v="54"/>
    <x v="1"/>
    <n v="0"/>
  </r>
  <r>
    <x v="0"/>
    <x v="13"/>
    <x v="17"/>
    <x v="10"/>
    <x v="55"/>
    <x v="1"/>
    <n v="0"/>
  </r>
  <r>
    <x v="0"/>
    <x v="13"/>
    <x v="17"/>
    <x v="11"/>
    <x v="46"/>
    <x v="1"/>
    <n v="46.918171090000001"/>
  </r>
  <r>
    <x v="0"/>
    <x v="13"/>
    <x v="17"/>
    <x v="11"/>
    <x v="47"/>
    <x v="1"/>
    <n v="46.918171090000001"/>
  </r>
  <r>
    <x v="0"/>
    <x v="13"/>
    <x v="17"/>
    <x v="11"/>
    <x v="48"/>
    <x v="1"/>
    <n v="46.918171090000001"/>
  </r>
  <r>
    <x v="0"/>
    <x v="13"/>
    <x v="17"/>
    <x v="11"/>
    <x v="49"/>
    <x v="1"/>
    <n v="0"/>
  </r>
  <r>
    <x v="0"/>
    <x v="13"/>
    <x v="17"/>
    <x v="11"/>
    <x v="50"/>
    <x v="1"/>
    <n v="0"/>
  </r>
  <r>
    <x v="0"/>
    <x v="13"/>
    <x v="17"/>
    <x v="11"/>
    <x v="51"/>
    <x v="1"/>
    <n v="0"/>
  </r>
  <r>
    <x v="0"/>
    <x v="13"/>
    <x v="17"/>
    <x v="11"/>
    <x v="52"/>
    <x v="1"/>
    <n v="0"/>
  </r>
  <r>
    <x v="0"/>
    <x v="13"/>
    <x v="17"/>
    <x v="11"/>
    <x v="53"/>
    <x v="1"/>
    <n v="0"/>
  </r>
  <r>
    <x v="0"/>
    <x v="13"/>
    <x v="17"/>
    <x v="11"/>
    <x v="54"/>
    <x v="1"/>
    <n v="0"/>
  </r>
  <r>
    <x v="0"/>
    <x v="13"/>
    <x v="17"/>
    <x v="11"/>
    <x v="55"/>
    <x v="1"/>
    <n v="0"/>
  </r>
  <r>
    <x v="0"/>
    <x v="13"/>
    <x v="17"/>
    <x v="12"/>
    <x v="46"/>
    <x v="1"/>
    <n v="12.200781784"/>
  </r>
  <r>
    <x v="0"/>
    <x v="13"/>
    <x v="17"/>
    <x v="12"/>
    <x v="47"/>
    <x v="1"/>
    <n v="12.200781784"/>
  </r>
  <r>
    <x v="0"/>
    <x v="13"/>
    <x v="17"/>
    <x v="12"/>
    <x v="48"/>
    <x v="1"/>
    <n v="12.200781784"/>
  </r>
  <r>
    <x v="0"/>
    <x v="13"/>
    <x v="17"/>
    <x v="12"/>
    <x v="49"/>
    <x v="1"/>
    <n v="0"/>
  </r>
  <r>
    <x v="0"/>
    <x v="13"/>
    <x v="17"/>
    <x v="12"/>
    <x v="50"/>
    <x v="1"/>
    <n v="0"/>
  </r>
  <r>
    <x v="0"/>
    <x v="13"/>
    <x v="17"/>
    <x v="12"/>
    <x v="51"/>
    <x v="1"/>
    <n v="0"/>
  </r>
  <r>
    <x v="0"/>
    <x v="13"/>
    <x v="17"/>
    <x v="12"/>
    <x v="52"/>
    <x v="1"/>
    <n v="0"/>
  </r>
  <r>
    <x v="0"/>
    <x v="13"/>
    <x v="17"/>
    <x v="12"/>
    <x v="53"/>
    <x v="1"/>
    <n v="0"/>
  </r>
  <r>
    <x v="0"/>
    <x v="13"/>
    <x v="17"/>
    <x v="12"/>
    <x v="54"/>
    <x v="1"/>
    <n v="0"/>
  </r>
  <r>
    <x v="0"/>
    <x v="13"/>
    <x v="17"/>
    <x v="12"/>
    <x v="55"/>
    <x v="1"/>
    <n v="0"/>
  </r>
  <r>
    <x v="0"/>
    <x v="13"/>
    <x v="17"/>
    <x v="13"/>
    <x v="46"/>
    <x v="1"/>
    <n v="28.209619666999998"/>
  </r>
  <r>
    <x v="0"/>
    <x v="13"/>
    <x v="17"/>
    <x v="13"/>
    <x v="47"/>
    <x v="1"/>
    <n v="28.209619666999998"/>
  </r>
  <r>
    <x v="0"/>
    <x v="13"/>
    <x v="17"/>
    <x v="13"/>
    <x v="48"/>
    <x v="1"/>
    <n v="28.209619666999998"/>
  </r>
  <r>
    <x v="0"/>
    <x v="13"/>
    <x v="17"/>
    <x v="13"/>
    <x v="49"/>
    <x v="1"/>
    <n v="0"/>
  </r>
  <r>
    <x v="0"/>
    <x v="13"/>
    <x v="17"/>
    <x v="13"/>
    <x v="50"/>
    <x v="1"/>
    <n v="0"/>
  </r>
  <r>
    <x v="0"/>
    <x v="13"/>
    <x v="17"/>
    <x v="13"/>
    <x v="51"/>
    <x v="1"/>
    <n v="0"/>
  </r>
  <r>
    <x v="0"/>
    <x v="13"/>
    <x v="17"/>
    <x v="13"/>
    <x v="52"/>
    <x v="1"/>
    <n v="0"/>
  </r>
  <r>
    <x v="0"/>
    <x v="13"/>
    <x v="17"/>
    <x v="13"/>
    <x v="53"/>
    <x v="1"/>
    <n v="0"/>
  </r>
  <r>
    <x v="0"/>
    <x v="13"/>
    <x v="17"/>
    <x v="13"/>
    <x v="54"/>
    <x v="1"/>
    <n v="0"/>
  </r>
  <r>
    <x v="0"/>
    <x v="13"/>
    <x v="17"/>
    <x v="13"/>
    <x v="55"/>
    <x v="1"/>
    <n v="0"/>
  </r>
  <r>
    <x v="0"/>
    <x v="13"/>
    <x v="17"/>
    <x v="14"/>
    <x v="46"/>
    <x v="1"/>
    <n v="8.9312406610000004"/>
  </r>
  <r>
    <x v="0"/>
    <x v="13"/>
    <x v="17"/>
    <x v="14"/>
    <x v="47"/>
    <x v="1"/>
    <n v="8.9312406610000004"/>
  </r>
  <r>
    <x v="0"/>
    <x v="13"/>
    <x v="17"/>
    <x v="14"/>
    <x v="48"/>
    <x v="1"/>
    <n v="8.9312406610000004"/>
  </r>
  <r>
    <x v="0"/>
    <x v="13"/>
    <x v="17"/>
    <x v="14"/>
    <x v="49"/>
    <x v="1"/>
    <n v="0"/>
  </r>
  <r>
    <x v="0"/>
    <x v="13"/>
    <x v="17"/>
    <x v="14"/>
    <x v="50"/>
    <x v="1"/>
    <n v="0"/>
  </r>
  <r>
    <x v="0"/>
    <x v="13"/>
    <x v="17"/>
    <x v="14"/>
    <x v="51"/>
    <x v="1"/>
    <n v="0"/>
  </r>
  <r>
    <x v="0"/>
    <x v="13"/>
    <x v="17"/>
    <x v="14"/>
    <x v="52"/>
    <x v="1"/>
    <n v="0"/>
  </r>
  <r>
    <x v="0"/>
    <x v="13"/>
    <x v="17"/>
    <x v="14"/>
    <x v="53"/>
    <x v="1"/>
    <n v="0"/>
  </r>
  <r>
    <x v="0"/>
    <x v="13"/>
    <x v="17"/>
    <x v="14"/>
    <x v="54"/>
    <x v="1"/>
    <n v="0"/>
  </r>
  <r>
    <x v="0"/>
    <x v="13"/>
    <x v="17"/>
    <x v="14"/>
    <x v="55"/>
    <x v="1"/>
    <n v="0"/>
  </r>
  <r>
    <x v="0"/>
    <x v="13"/>
    <x v="17"/>
    <x v="15"/>
    <x v="46"/>
    <x v="1"/>
    <n v="10.364252561000001"/>
  </r>
  <r>
    <x v="0"/>
    <x v="13"/>
    <x v="17"/>
    <x v="15"/>
    <x v="47"/>
    <x v="1"/>
    <n v="10.364252561000001"/>
  </r>
  <r>
    <x v="0"/>
    <x v="13"/>
    <x v="17"/>
    <x v="15"/>
    <x v="48"/>
    <x v="1"/>
    <n v="10.364252561000001"/>
  </r>
  <r>
    <x v="0"/>
    <x v="13"/>
    <x v="17"/>
    <x v="15"/>
    <x v="49"/>
    <x v="1"/>
    <n v="0"/>
  </r>
  <r>
    <x v="0"/>
    <x v="13"/>
    <x v="17"/>
    <x v="15"/>
    <x v="50"/>
    <x v="1"/>
    <n v="0"/>
  </r>
  <r>
    <x v="0"/>
    <x v="13"/>
    <x v="17"/>
    <x v="15"/>
    <x v="51"/>
    <x v="1"/>
    <n v="0"/>
  </r>
  <r>
    <x v="0"/>
    <x v="13"/>
    <x v="17"/>
    <x v="15"/>
    <x v="52"/>
    <x v="1"/>
    <n v="0"/>
  </r>
  <r>
    <x v="0"/>
    <x v="13"/>
    <x v="17"/>
    <x v="15"/>
    <x v="53"/>
    <x v="1"/>
    <n v="0"/>
  </r>
  <r>
    <x v="0"/>
    <x v="13"/>
    <x v="17"/>
    <x v="15"/>
    <x v="54"/>
    <x v="1"/>
    <n v="0"/>
  </r>
  <r>
    <x v="0"/>
    <x v="13"/>
    <x v="17"/>
    <x v="15"/>
    <x v="55"/>
    <x v="1"/>
    <n v="0"/>
  </r>
  <r>
    <x v="0"/>
    <x v="13"/>
    <x v="17"/>
    <x v="16"/>
    <x v="46"/>
    <x v="1"/>
    <n v="6.7255626230000001"/>
  </r>
  <r>
    <x v="0"/>
    <x v="13"/>
    <x v="17"/>
    <x v="16"/>
    <x v="47"/>
    <x v="1"/>
    <n v="6.7255626230000001"/>
  </r>
  <r>
    <x v="0"/>
    <x v="13"/>
    <x v="17"/>
    <x v="16"/>
    <x v="48"/>
    <x v="1"/>
    <n v="6.7255626230000001"/>
  </r>
  <r>
    <x v="0"/>
    <x v="13"/>
    <x v="17"/>
    <x v="16"/>
    <x v="49"/>
    <x v="1"/>
    <n v="0"/>
  </r>
  <r>
    <x v="0"/>
    <x v="13"/>
    <x v="17"/>
    <x v="16"/>
    <x v="50"/>
    <x v="1"/>
    <n v="0"/>
  </r>
  <r>
    <x v="0"/>
    <x v="13"/>
    <x v="17"/>
    <x v="16"/>
    <x v="51"/>
    <x v="1"/>
    <n v="0"/>
  </r>
  <r>
    <x v="0"/>
    <x v="13"/>
    <x v="17"/>
    <x v="16"/>
    <x v="52"/>
    <x v="1"/>
    <n v="0"/>
  </r>
  <r>
    <x v="0"/>
    <x v="13"/>
    <x v="17"/>
    <x v="16"/>
    <x v="53"/>
    <x v="1"/>
    <n v="0"/>
  </r>
  <r>
    <x v="0"/>
    <x v="13"/>
    <x v="17"/>
    <x v="16"/>
    <x v="54"/>
    <x v="1"/>
    <n v="0"/>
  </r>
  <r>
    <x v="0"/>
    <x v="13"/>
    <x v="17"/>
    <x v="16"/>
    <x v="55"/>
    <x v="1"/>
    <n v="0"/>
  </r>
  <r>
    <x v="0"/>
    <x v="13"/>
    <x v="17"/>
    <x v="17"/>
    <x v="46"/>
    <x v="1"/>
    <n v="15.965476346000001"/>
  </r>
  <r>
    <x v="0"/>
    <x v="13"/>
    <x v="17"/>
    <x v="17"/>
    <x v="47"/>
    <x v="1"/>
    <n v="15.965476346000001"/>
  </r>
  <r>
    <x v="0"/>
    <x v="13"/>
    <x v="17"/>
    <x v="17"/>
    <x v="48"/>
    <x v="1"/>
    <n v="15.965476346000001"/>
  </r>
  <r>
    <x v="0"/>
    <x v="13"/>
    <x v="17"/>
    <x v="17"/>
    <x v="49"/>
    <x v="1"/>
    <n v="0"/>
  </r>
  <r>
    <x v="0"/>
    <x v="13"/>
    <x v="17"/>
    <x v="17"/>
    <x v="50"/>
    <x v="1"/>
    <n v="0"/>
  </r>
  <r>
    <x v="0"/>
    <x v="13"/>
    <x v="17"/>
    <x v="17"/>
    <x v="51"/>
    <x v="1"/>
    <n v="0"/>
  </r>
  <r>
    <x v="0"/>
    <x v="13"/>
    <x v="17"/>
    <x v="17"/>
    <x v="52"/>
    <x v="1"/>
    <n v="0"/>
  </r>
  <r>
    <x v="0"/>
    <x v="13"/>
    <x v="17"/>
    <x v="17"/>
    <x v="53"/>
    <x v="1"/>
    <n v="0"/>
  </r>
  <r>
    <x v="0"/>
    <x v="13"/>
    <x v="17"/>
    <x v="17"/>
    <x v="54"/>
    <x v="1"/>
    <n v="0"/>
  </r>
  <r>
    <x v="0"/>
    <x v="13"/>
    <x v="17"/>
    <x v="17"/>
    <x v="55"/>
    <x v="1"/>
    <n v="0"/>
  </r>
  <r>
    <x v="0"/>
    <x v="13"/>
    <x v="17"/>
    <x v="18"/>
    <x v="46"/>
    <x v="1"/>
    <n v="12.481651199"/>
  </r>
  <r>
    <x v="0"/>
    <x v="13"/>
    <x v="17"/>
    <x v="18"/>
    <x v="47"/>
    <x v="1"/>
    <n v="12.481651199"/>
  </r>
  <r>
    <x v="0"/>
    <x v="13"/>
    <x v="17"/>
    <x v="18"/>
    <x v="48"/>
    <x v="1"/>
    <n v="12.481651199"/>
  </r>
  <r>
    <x v="0"/>
    <x v="13"/>
    <x v="17"/>
    <x v="18"/>
    <x v="49"/>
    <x v="1"/>
    <n v="0"/>
  </r>
  <r>
    <x v="0"/>
    <x v="13"/>
    <x v="17"/>
    <x v="18"/>
    <x v="50"/>
    <x v="1"/>
    <n v="0"/>
  </r>
  <r>
    <x v="0"/>
    <x v="13"/>
    <x v="17"/>
    <x v="18"/>
    <x v="51"/>
    <x v="1"/>
    <n v="0"/>
  </r>
  <r>
    <x v="0"/>
    <x v="13"/>
    <x v="17"/>
    <x v="18"/>
    <x v="52"/>
    <x v="1"/>
    <n v="0"/>
  </r>
  <r>
    <x v="0"/>
    <x v="13"/>
    <x v="17"/>
    <x v="18"/>
    <x v="53"/>
    <x v="1"/>
    <n v="0"/>
  </r>
  <r>
    <x v="0"/>
    <x v="13"/>
    <x v="17"/>
    <x v="18"/>
    <x v="54"/>
    <x v="1"/>
    <n v="0"/>
  </r>
  <r>
    <x v="0"/>
    <x v="13"/>
    <x v="17"/>
    <x v="18"/>
    <x v="55"/>
    <x v="1"/>
    <n v="0"/>
  </r>
  <r>
    <x v="0"/>
    <x v="13"/>
    <x v="17"/>
    <x v="19"/>
    <x v="46"/>
    <x v="1"/>
    <n v="16.256028765"/>
  </r>
  <r>
    <x v="0"/>
    <x v="13"/>
    <x v="17"/>
    <x v="19"/>
    <x v="47"/>
    <x v="1"/>
    <n v="16.256028765"/>
  </r>
  <r>
    <x v="0"/>
    <x v="13"/>
    <x v="17"/>
    <x v="19"/>
    <x v="48"/>
    <x v="1"/>
    <n v="16.256028765"/>
  </r>
  <r>
    <x v="0"/>
    <x v="13"/>
    <x v="17"/>
    <x v="19"/>
    <x v="49"/>
    <x v="1"/>
    <n v="0"/>
  </r>
  <r>
    <x v="0"/>
    <x v="13"/>
    <x v="17"/>
    <x v="19"/>
    <x v="50"/>
    <x v="1"/>
    <n v="0"/>
  </r>
  <r>
    <x v="0"/>
    <x v="13"/>
    <x v="17"/>
    <x v="19"/>
    <x v="51"/>
    <x v="1"/>
    <n v="0"/>
  </r>
  <r>
    <x v="0"/>
    <x v="13"/>
    <x v="17"/>
    <x v="19"/>
    <x v="52"/>
    <x v="1"/>
    <n v="0"/>
  </r>
  <r>
    <x v="0"/>
    <x v="13"/>
    <x v="17"/>
    <x v="19"/>
    <x v="53"/>
    <x v="1"/>
    <n v="0"/>
  </r>
  <r>
    <x v="0"/>
    <x v="13"/>
    <x v="17"/>
    <x v="19"/>
    <x v="54"/>
    <x v="1"/>
    <n v="0"/>
  </r>
  <r>
    <x v="0"/>
    <x v="13"/>
    <x v="17"/>
    <x v="19"/>
    <x v="55"/>
    <x v="1"/>
    <n v="0"/>
  </r>
  <r>
    <x v="0"/>
    <x v="13"/>
    <x v="17"/>
    <x v="20"/>
    <x v="46"/>
    <x v="1"/>
    <n v="2.0939594829999999"/>
  </r>
  <r>
    <x v="0"/>
    <x v="13"/>
    <x v="17"/>
    <x v="20"/>
    <x v="47"/>
    <x v="1"/>
    <n v="2.0939594829999999"/>
  </r>
  <r>
    <x v="0"/>
    <x v="13"/>
    <x v="17"/>
    <x v="20"/>
    <x v="48"/>
    <x v="1"/>
    <n v="2.0939594829999999"/>
  </r>
  <r>
    <x v="0"/>
    <x v="13"/>
    <x v="17"/>
    <x v="20"/>
    <x v="49"/>
    <x v="1"/>
    <n v="0"/>
  </r>
  <r>
    <x v="0"/>
    <x v="13"/>
    <x v="17"/>
    <x v="20"/>
    <x v="50"/>
    <x v="1"/>
    <n v="0"/>
  </r>
  <r>
    <x v="0"/>
    <x v="13"/>
    <x v="17"/>
    <x v="20"/>
    <x v="51"/>
    <x v="1"/>
    <n v="0"/>
  </r>
  <r>
    <x v="0"/>
    <x v="13"/>
    <x v="17"/>
    <x v="20"/>
    <x v="52"/>
    <x v="1"/>
    <n v="0"/>
  </r>
  <r>
    <x v="0"/>
    <x v="13"/>
    <x v="17"/>
    <x v="20"/>
    <x v="53"/>
    <x v="1"/>
    <n v="0"/>
  </r>
  <r>
    <x v="0"/>
    <x v="13"/>
    <x v="17"/>
    <x v="20"/>
    <x v="54"/>
    <x v="1"/>
    <n v="0"/>
  </r>
  <r>
    <x v="0"/>
    <x v="13"/>
    <x v="17"/>
    <x v="20"/>
    <x v="55"/>
    <x v="1"/>
    <n v="0"/>
  </r>
  <r>
    <x v="0"/>
    <x v="13"/>
    <x v="17"/>
    <x v="21"/>
    <x v="46"/>
    <x v="1"/>
    <n v="0.99910664999999999"/>
  </r>
  <r>
    <x v="0"/>
    <x v="13"/>
    <x v="17"/>
    <x v="21"/>
    <x v="47"/>
    <x v="1"/>
    <n v="0.99910664999999999"/>
  </r>
  <r>
    <x v="0"/>
    <x v="13"/>
    <x v="17"/>
    <x v="21"/>
    <x v="48"/>
    <x v="1"/>
    <n v="0.99910664999999999"/>
  </r>
  <r>
    <x v="0"/>
    <x v="13"/>
    <x v="17"/>
    <x v="21"/>
    <x v="49"/>
    <x v="1"/>
    <n v="0"/>
  </r>
  <r>
    <x v="0"/>
    <x v="13"/>
    <x v="17"/>
    <x v="21"/>
    <x v="50"/>
    <x v="1"/>
    <n v="0"/>
  </r>
  <r>
    <x v="0"/>
    <x v="13"/>
    <x v="17"/>
    <x v="21"/>
    <x v="51"/>
    <x v="1"/>
    <n v="0"/>
  </r>
  <r>
    <x v="0"/>
    <x v="13"/>
    <x v="17"/>
    <x v="21"/>
    <x v="52"/>
    <x v="1"/>
    <n v="0"/>
  </r>
  <r>
    <x v="0"/>
    <x v="13"/>
    <x v="17"/>
    <x v="21"/>
    <x v="53"/>
    <x v="1"/>
    <n v="0"/>
  </r>
  <r>
    <x v="0"/>
    <x v="13"/>
    <x v="17"/>
    <x v="21"/>
    <x v="54"/>
    <x v="1"/>
    <n v="0"/>
  </r>
  <r>
    <x v="0"/>
    <x v="13"/>
    <x v="17"/>
    <x v="21"/>
    <x v="55"/>
    <x v="1"/>
    <n v="0"/>
  </r>
  <r>
    <x v="0"/>
    <x v="13"/>
    <x v="17"/>
    <x v="22"/>
    <x v="46"/>
    <x v="1"/>
    <n v="0.90166724899999995"/>
  </r>
  <r>
    <x v="0"/>
    <x v="13"/>
    <x v="17"/>
    <x v="22"/>
    <x v="47"/>
    <x v="1"/>
    <n v="0.90166724899999995"/>
  </r>
  <r>
    <x v="0"/>
    <x v="13"/>
    <x v="17"/>
    <x v="22"/>
    <x v="48"/>
    <x v="1"/>
    <n v="0.90166724899999995"/>
  </r>
  <r>
    <x v="0"/>
    <x v="13"/>
    <x v="17"/>
    <x v="22"/>
    <x v="49"/>
    <x v="1"/>
    <n v="0"/>
  </r>
  <r>
    <x v="0"/>
    <x v="13"/>
    <x v="17"/>
    <x v="22"/>
    <x v="50"/>
    <x v="1"/>
    <n v="0"/>
  </r>
  <r>
    <x v="0"/>
    <x v="13"/>
    <x v="17"/>
    <x v="22"/>
    <x v="51"/>
    <x v="1"/>
    <n v="0"/>
  </r>
  <r>
    <x v="0"/>
    <x v="13"/>
    <x v="17"/>
    <x v="22"/>
    <x v="52"/>
    <x v="1"/>
    <n v="0"/>
  </r>
  <r>
    <x v="0"/>
    <x v="13"/>
    <x v="17"/>
    <x v="22"/>
    <x v="53"/>
    <x v="1"/>
    <n v="0"/>
  </r>
  <r>
    <x v="0"/>
    <x v="13"/>
    <x v="17"/>
    <x v="22"/>
    <x v="54"/>
    <x v="1"/>
    <n v="0"/>
  </r>
  <r>
    <x v="0"/>
    <x v="13"/>
    <x v="17"/>
    <x v="22"/>
    <x v="55"/>
    <x v="1"/>
    <n v="0"/>
  </r>
  <r>
    <x v="0"/>
    <x v="13"/>
    <x v="17"/>
    <x v="23"/>
    <x v="46"/>
    <x v="1"/>
    <n v="0.43804715399999999"/>
  </r>
  <r>
    <x v="0"/>
    <x v="13"/>
    <x v="17"/>
    <x v="23"/>
    <x v="47"/>
    <x v="1"/>
    <n v="0.43804715399999999"/>
  </r>
  <r>
    <x v="0"/>
    <x v="13"/>
    <x v="17"/>
    <x v="23"/>
    <x v="48"/>
    <x v="1"/>
    <n v="0.43804715399999999"/>
  </r>
  <r>
    <x v="0"/>
    <x v="13"/>
    <x v="17"/>
    <x v="23"/>
    <x v="49"/>
    <x v="1"/>
    <n v="0"/>
  </r>
  <r>
    <x v="0"/>
    <x v="13"/>
    <x v="17"/>
    <x v="23"/>
    <x v="50"/>
    <x v="1"/>
    <n v="0"/>
  </r>
  <r>
    <x v="0"/>
    <x v="13"/>
    <x v="17"/>
    <x v="23"/>
    <x v="51"/>
    <x v="1"/>
    <n v="0"/>
  </r>
  <r>
    <x v="0"/>
    <x v="13"/>
    <x v="17"/>
    <x v="23"/>
    <x v="52"/>
    <x v="1"/>
    <n v="0"/>
  </r>
  <r>
    <x v="0"/>
    <x v="13"/>
    <x v="17"/>
    <x v="23"/>
    <x v="53"/>
    <x v="1"/>
    <n v="0"/>
  </r>
  <r>
    <x v="0"/>
    <x v="13"/>
    <x v="17"/>
    <x v="23"/>
    <x v="54"/>
    <x v="1"/>
    <n v="0"/>
  </r>
  <r>
    <x v="0"/>
    <x v="13"/>
    <x v="17"/>
    <x v="23"/>
    <x v="55"/>
    <x v="1"/>
    <n v="0"/>
  </r>
  <r>
    <x v="0"/>
    <x v="13"/>
    <x v="17"/>
    <x v="24"/>
    <x v="46"/>
    <x v="1"/>
    <n v="17.738410548000001"/>
  </r>
  <r>
    <x v="0"/>
    <x v="13"/>
    <x v="17"/>
    <x v="24"/>
    <x v="47"/>
    <x v="1"/>
    <n v="17.738410548000001"/>
  </r>
  <r>
    <x v="0"/>
    <x v="13"/>
    <x v="17"/>
    <x v="24"/>
    <x v="48"/>
    <x v="1"/>
    <n v="17.738410548000001"/>
  </r>
  <r>
    <x v="0"/>
    <x v="13"/>
    <x v="17"/>
    <x v="24"/>
    <x v="49"/>
    <x v="1"/>
    <n v="0"/>
  </r>
  <r>
    <x v="0"/>
    <x v="13"/>
    <x v="17"/>
    <x v="24"/>
    <x v="50"/>
    <x v="1"/>
    <n v="0"/>
  </r>
  <r>
    <x v="0"/>
    <x v="13"/>
    <x v="17"/>
    <x v="24"/>
    <x v="51"/>
    <x v="1"/>
    <n v="0"/>
  </r>
  <r>
    <x v="0"/>
    <x v="13"/>
    <x v="17"/>
    <x v="24"/>
    <x v="52"/>
    <x v="1"/>
    <n v="0"/>
  </r>
  <r>
    <x v="0"/>
    <x v="13"/>
    <x v="17"/>
    <x v="24"/>
    <x v="53"/>
    <x v="1"/>
    <n v="0"/>
  </r>
  <r>
    <x v="0"/>
    <x v="13"/>
    <x v="17"/>
    <x v="24"/>
    <x v="54"/>
    <x v="1"/>
    <n v="0"/>
  </r>
  <r>
    <x v="0"/>
    <x v="13"/>
    <x v="17"/>
    <x v="24"/>
    <x v="55"/>
    <x v="1"/>
    <n v="0"/>
  </r>
  <r>
    <x v="0"/>
    <x v="13"/>
    <x v="17"/>
    <x v="25"/>
    <x v="46"/>
    <x v="1"/>
    <n v="0.80882767899999997"/>
  </r>
  <r>
    <x v="0"/>
    <x v="13"/>
    <x v="17"/>
    <x v="25"/>
    <x v="47"/>
    <x v="1"/>
    <n v="0.80882767899999997"/>
  </r>
  <r>
    <x v="0"/>
    <x v="13"/>
    <x v="17"/>
    <x v="25"/>
    <x v="48"/>
    <x v="1"/>
    <n v="0.80882767899999997"/>
  </r>
  <r>
    <x v="0"/>
    <x v="13"/>
    <x v="17"/>
    <x v="25"/>
    <x v="49"/>
    <x v="1"/>
    <n v="0"/>
  </r>
  <r>
    <x v="0"/>
    <x v="13"/>
    <x v="17"/>
    <x v="25"/>
    <x v="50"/>
    <x v="1"/>
    <n v="0"/>
  </r>
  <r>
    <x v="0"/>
    <x v="13"/>
    <x v="17"/>
    <x v="25"/>
    <x v="51"/>
    <x v="1"/>
    <n v="0"/>
  </r>
  <r>
    <x v="0"/>
    <x v="13"/>
    <x v="17"/>
    <x v="25"/>
    <x v="52"/>
    <x v="1"/>
    <n v="0"/>
  </r>
  <r>
    <x v="0"/>
    <x v="13"/>
    <x v="17"/>
    <x v="25"/>
    <x v="53"/>
    <x v="1"/>
    <n v="0"/>
  </r>
  <r>
    <x v="0"/>
    <x v="13"/>
    <x v="17"/>
    <x v="25"/>
    <x v="54"/>
    <x v="1"/>
    <n v="0"/>
  </r>
  <r>
    <x v="0"/>
    <x v="13"/>
    <x v="17"/>
    <x v="25"/>
    <x v="55"/>
    <x v="1"/>
    <n v="0"/>
  </r>
  <r>
    <x v="0"/>
    <x v="13"/>
    <x v="17"/>
    <x v="26"/>
    <x v="46"/>
    <x v="1"/>
    <n v="0.55416406399999996"/>
  </r>
  <r>
    <x v="0"/>
    <x v="13"/>
    <x v="17"/>
    <x v="26"/>
    <x v="47"/>
    <x v="1"/>
    <n v="0.55416406399999996"/>
  </r>
  <r>
    <x v="0"/>
    <x v="13"/>
    <x v="17"/>
    <x v="26"/>
    <x v="48"/>
    <x v="1"/>
    <n v="0.55416406399999996"/>
  </r>
  <r>
    <x v="0"/>
    <x v="13"/>
    <x v="17"/>
    <x v="26"/>
    <x v="49"/>
    <x v="1"/>
    <n v="0"/>
  </r>
  <r>
    <x v="0"/>
    <x v="13"/>
    <x v="17"/>
    <x v="26"/>
    <x v="50"/>
    <x v="1"/>
    <n v="0"/>
  </r>
  <r>
    <x v="0"/>
    <x v="13"/>
    <x v="17"/>
    <x v="26"/>
    <x v="51"/>
    <x v="1"/>
    <n v="0"/>
  </r>
  <r>
    <x v="0"/>
    <x v="13"/>
    <x v="17"/>
    <x v="26"/>
    <x v="52"/>
    <x v="1"/>
    <n v="0"/>
  </r>
  <r>
    <x v="0"/>
    <x v="13"/>
    <x v="17"/>
    <x v="26"/>
    <x v="53"/>
    <x v="1"/>
    <n v="0"/>
  </r>
  <r>
    <x v="0"/>
    <x v="13"/>
    <x v="17"/>
    <x v="26"/>
    <x v="54"/>
    <x v="1"/>
    <n v="0"/>
  </r>
  <r>
    <x v="0"/>
    <x v="13"/>
    <x v="17"/>
    <x v="26"/>
    <x v="55"/>
    <x v="1"/>
    <n v="0"/>
  </r>
  <r>
    <x v="0"/>
    <x v="13"/>
    <x v="17"/>
    <x v="27"/>
    <x v="46"/>
    <x v="1"/>
    <n v="28.320984765999999"/>
  </r>
  <r>
    <x v="0"/>
    <x v="13"/>
    <x v="17"/>
    <x v="27"/>
    <x v="47"/>
    <x v="1"/>
    <n v="28.320984765999999"/>
  </r>
  <r>
    <x v="0"/>
    <x v="13"/>
    <x v="17"/>
    <x v="27"/>
    <x v="48"/>
    <x v="1"/>
    <n v="28.320984765999999"/>
  </r>
  <r>
    <x v="0"/>
    <x v="13"/>
    <x v="17"/>
    <x v="27"/>
    <x v="49"/>
    <x v="1"/>
    <n v="0"/>
  </r>
  <r>
    <x v="0"/>
    <x v="13"/>
    <x v="17"/>
    <x v="27"/>
    <x v="50"/>
    <x v="1"/>
    <n v="0"/>
  </r>
  <r>
    <x v="0"/>
    <x v="13"/>
    <x v="17"/>
    <x v="27"/>
    <x v="51"/>
    <x v="1"/>
    <n v="0"/>
  </r>
  <r>
    <x v="0"/>
    <x v="13"/>
    <x v="17"/>
    <x v="27"/>
    <x v="52"/>
    <x v="1"/>
    <n v="0"/>
  </r>
  <r>
    <x v="0"/>
    <x v="13"/>
    <x v="17"/>
    <x v="27"/>
    <x v="53"/>
    <x v="1"/>
    <n v="0"/>
  </r>
  <r>
    <x v="0"/>
    <x v="13"/>
    <x v="17"/>
    <x v="27"/>
    <x v="54"/>
    <x v="1"/>
    <n v="0"/>
  </r>
  <r>
    <x v="0"/>
    <x v="13"/>
    <x v="17"/>
    <x v="27"/>
    <x v="55"/>
    <x v="1"/>
    <n v="0"/>
  </r>
  <r>
    <x v="0"/>
    <x v="13"/>
    <x v="17"/>
    <x v="28"/>
    <x v="46"/>
    <x v="1"/>
    <n v="27.593337613999999"/>
  </r>
  <r>
    <x v="0"/>
    <x v="13"/>
    <x v="17"/>
    <x v="28"/>
    <x v="47"/>
    <x v="1"/>
    <n v="27.593337613999999"/>
  </r>
  <r>
    <x v="0"/>
    <x v="13"/>
    <x v="17"/>
    <x v="28"/>
    <x v="48"/>
    <x v="1"/>
    <n v="27.593337613999999"/>
  </r>
  <r>
    <x v="0"/>
    <x v="13"/>
    <x v="17"/>
    <x v="28"/>
    <x v="49"/>
    <x v="1"/>
    <n v="0"/>
  </r>
  <r>
    <x v="0"/>
    <x v="13"/>
    <x v="17"/>
    <x v="28"/>
    <x v="50"/>
    <x v="1"/>
    <n v="0"/>
  </r>
  <r>
    <x v="0"/>
    <x v="13"/>
    <x v="17"/>
    <x v="28"/>
    <x v="51"/>
    <x v="1"/>
    <n v="0"/>
  </r>
  <r>
    <x v="0"/>
    <x v="13"/>
    <x v="17"/>
    <x v="28"/>
    <x v="52"/>
    <x v="1"/>
    <n v="0"/>
  </r>
  <r>
    <x v="0"/>
    <x v="13"/>
    <x v="17"/>
    <x v="28"/>
    <x v="53"/>
    <x v="1"/>
    <n v="0"/>
  </r>
  <r>
    <x v="0"/>
    <x v="13"/>
    <x v="17"/>
    <x v="28"/>
    <x v="54"/>
    <x v="1"/>
    <n v="0"/>
  </r>
  <r>
    <x v="0"/>
    <x v="13"/>
    <x v="17"/>
    <x v="28"/>
    <x v="55"/>
    <x v="1"/>
    <n v="0"/>
  </r>
  <r>
    <x v="0"/>
    <x v="13"/>
    <x v="17"/>
    <x v="29"/>
    <x v="46"/>
    <x v="1"/>
    <n v="26.883282326"/>
  </r>
  <r>
    <x v="0"/>
    <x v="13"/>
    <x v="17"/>
    <x v="29"/>
    <x v="47"/>
    <x v="1"/>
    <n v="26.883282326"/>
  </r>
  <r>
    <x v="0"/>
    <x v="13"/>
    <x v="17"/>
    <x v="29"/>
    <x v="48"/>
    <x v="1"/>
    <n v="26.883282326"/>
  </r>
  <r>
    <x v="0"/>
    <x v="13"/>
    <x v="17"/>
    <x v="29"/>
    <x v="49"/>
    <x v="1"/>
    <n v="0"/>
  </r>
  <r>
    <x v="0"/>
    <x v="13"/>
    <x v="17"/>
    <x v="29"/>
    <x v="50"/>
    <x v="1"/>
    <n v="0"/>
  </r>
  <r>
    <x v="0"/>
    <x v="13"/>
    <x v="17"/>
    <x v="29"/>
    <x v="51"/>
    <x v="1"/>
    <n v="0"/>
  </r>
  <r>
    <x v="0"/>
    <x v="13"/>
    <x v="17"/>
    <x v="29"/>
    <x v="52"/>
    <x v="1"/>
    <n v="0"/>
  </r>
  <r>
    <x v="0"/>
    <x v="13"/>
    <x v="17"/>
    <x v="29"/>
    <x v="53"/>
    <x v="1"/>
    <n v="0"/>
  </r>
  <r>
    <x v="0"/>
    <x v="13"/>
    <x v="17"/>
    <x v="29"/>
    <x v="54"/>
    <x v="1"/>
    <n v="0"/>
  </r>
  <r>
    <x v="0"/>
    <x v="13"/>
    <x v="17"/>
    <x v="29"/>
    <x v="55"/>
    <x v="1"/>
    <n v="0"/>
  </r>
  <r>
    <x v="0"/>
    <x v="13"/>
    <x v="17"/>
    <x v="30"/>
    <x v="46"/>
    <x v="1"/>
    <n v="10.342247002000001"/>
  </r>
  <r>
    <x v="0"/>
    <x v="13"/>
    <x v="17"/>
    <x v="30"/>
    <x v="47"/>
    <x v="1"/>
    <n v="10.342247002000001"/>
  </r>
  <r>
    <x v="0"/>
    <x v="13"/>
    <x v="17"/>
    <x v="30"/>
    <x v="48"/>
    <x v="1"/>
    <n v="10.342247002000001"/>
  </r>
  <r>
    <x v="0"/>
    <x v="13"/>
    <x v="17"/>
    <x v="30"/>
    <x v="49"/>
    <x v="1"/>
    <n v="0"/>
  </r>
  <r>
    <x v="0"/>
    <x v="13"/>
    <x v="17"/>
    <x v="30"/>
    <x v="50"/>
    <x v="1"/>
    <n v="0"/>
  </r>
  <r>
    <x v="0"/>
    <x v="13"/>
    <x v="17"/>
    <x v="30"/>
    <x v="51"/>
    <x v="1"/>
    <n v="0"/>
  </r>
  <r>
    <x v="0"/>
    <x v="13"/>
    <x v="17"/>
    <x v="30"/>
    <x v="52"/>
    <x v="1"/>
    <n v="0"/>
  </r>
  <r>
    <x v="0"/>
    <x v="13"/>
    <x v="17"/>
    <x v="30"/>
    <x v="53"/>
    <x v="1"/>
    <n v="0"/>
  </r>
  <r>
    <x v="0"/>
    <x v="13"/>
    <x v="17"/>
    <x v="30"/>
    <x v="54"/>
    <x v="1"/>
    <n v="0"/>
  </r>
  <r>
    <x v="0"/>
    <x v="13"/>
    <x v="17"/>
    <x v="30"/>
    <x v="55"/>
    <x v="1"/>
    <n v="0"/>
  </r>
  <r>
    <x v="0"/>
    <x v="13"/>
    <x v="17"/>
    <x v="31"/>
    <x v="46"/>
    <x v="1"/>
    <n v="7.6818440509999997"/>
  </r>
  <r>
    <x v="0"/>
    <x v="13"/>
    <x v="17"/>
    <x v="31"/>
    <x v="47"/>
    <x v="1"/>
    <n v="7.6818440509999997"/>
  </r>
  <r>
    <x v="0"/>
    <x v="13"/>
    <x v="17"/>
    <x v="31"/>
    <x v="48"/>
    <x v="1"/>
    <n v="7.6818440509999997"/>
  </r>
  <r>
    <x v="0"/>
    <x v="13"/>
    <x v="17"/>
    <x v="31"/>
    <x v="49"/>
    <x v="1"/>
    <n v="0"/>
  </r>
  <r>
    <x v="0"/>
    <x v="13"/>
    <x v="17"/>
    <x v="31"/>
    <x v="50"/>
    <x v="1"/>
    <n v="0"/>
  </r>
  <r>
    <x v="0"/>
    <x v="13"/>
    <x v="17"/>
    <x v="31"/>
    <x v="51"/>
    <x v="1"/>
    <n v="0"/>
  </r>
  <r>
    <x v="0"/>
    <x v="13"/>
    <x v="17"/>
    <x v="31"/>
    <x v="52"/>
    <x v="1"/>
    <n v="0"/>
  </r>
  <r>
    <x v="0"/>
    <x v="13"/>
    <x v="17"/>
    <x v="31"/>
    <x v="53"/>
    <x v="1"/>
    <n v="0"/>
  </r>
  <r>
    <x v="0"/>
    <x v="13"/>
    <x v="17"/>
    <x v="31"/>
    <x v="54"/>
    <x v="1"/>
    <n v="0"/>
  </r>
  <r>
    <x v="0"/>
    <x v="13"/>
    <x v="17"/>
    <x v="31"/>
    <x v="55"/>
    <x v="1"/>
    <n v="0"/>
  </r>
  <r>
    <x v="0"/>
    <x v="13"/>
    <x v="17"/>
    <x v="32"/>
    <x v="46"/>
    <x v="1"/>
    <n v="25.564306071000001"/>
  </r>
  <r>
    <x v="0"/>
    <x v="13"/>
    <x v="17"/>
    <x v="32"/>
    <x v="47"/>
    <x v="1"/>
    <n v="25.564306071000001"/>
  </r>
  <r>
    <x v="0"/>
    <x v="13"/>
    <x v="17"/>
    <x v="32"/>
    <x v="48"/>
    <x v="1"/>
    <n v="25.564306071000001"/>
  </r>
  <r>
    <x v="0"/>
    <x v="13"/>
    <x v="17"/>
    <x v="32"/>
    <x v="49"/>
    <x v="1"/>
    <n v="0"/>
  </r>
  <r>
    <x v="0"/>
    <x v="13"/>
    <x v="17"/>
    <x v="32"/>
    <x v="50"/>
    <x v="1"/>
    <n v="0"/>
  </r>
  <r>
    <x v="0"/>
    <x v="13"/>
    <x v="17"/>
    <x v="32"/>
    <x v="51"/>
    <x v="1"/>
    <n v="0"/>
  </r>
  <r>
    <x v="0"/>
    <x v="13"/>
    <x v="17"/>
    <x v="32"/>
    <x v="52"/>
    <x v="1"/>
    <n v="0"/>
  </r>
  <r>
    <x v="0"/>
    <x v="13"/>
    <x v="17"/>
    <x v="32"/>
    <x v="53"/>
    <x v="1"/>
    <n v="0"/>
  </r>
  <r>
    <x v="0"/>
    <x v="13"/>
    <x v="17"/>
    <x v="32"/>
    <x v="54"/>
    <x v="1"/>
    <n v="0"/>
  </r>
  <r>
    <x v="0"/>
    <x v="13"/>
    <x v="17"/>
    <x v="32"/>
    <x v="55"/>
    <x v="1"/>
    <n v="0"/>
  </r>
  <r>
    <x v="0"/>
    <x v="13"/>
    <x v="17"/>
    <x v="33"/>
    <x v="46"/>
    <x v="1"/>
    <n v="13.77302603"/>
  </r>
  <r>
    <x v="0"/>
    <x v="13"/>
    <x v="17"/>
    <x v="33"/>
    <x v="47"/>
    <x v="1"/>
    <n v="13.77302603"/>
  </r>
  <r>
    <x v="0"/>
    <x v="13"/>
    <x v="17"/>
    <x v="33"/>
    <x v="48"/>
    <x v="1"/>
    <n v="13.77302603"/>
  </r>
  <r>
    <x v="0"/>
    <x v="13"/>
    <x v="17"/>
    <x v="33"/>
    <x v="49"/>
    <x v="1"/>
    <n v="0"/>
  </r>
  <r>
    <x v="0"/>
    <x v="13"/>
    <x v="17"/>
    <x v="33"/>
    <x v="50"/>
    <x v="1"/>
    <n v="0"/>
  </r>
  <r>
    <x v="0"/>
    <x v="13"/>
    <x v="17"/>
    <x v="33"/>
    <x v="51"/>
    <x v="1"/>
    <n v="0"/>
  </r>
  <r>
    <x v="0"/>
    <x v="13"/>
    <x v="17"/>
    <x v="33"/>
    <x v="52"/>
    <x v="1"/>
    <n v="0"/>
  </r>
  <r>
    <x v="0"/>
    <x v="13"/>
    <x v="17"/>
    <x v="33"/>
    <x v="53"/>
    <x v="1"/>
    <n v="0"/>
  </r>
  <r>
    <x v="0"/>
    <x v="13"/>
    <x v="17"/>
    <x v="33"/>
    <x v="54"/>
    <x v="1"/>
    <n v="0"/>
  </r>
  <r>
    <x v="0"/>
    <x v="13"/>
    <x v="17"/>
    <x v="33"/>
    <x v="55"/>
    <x v="1"/>
    <n v="0"/>
  </r>
  <r>
    <x v="0"/>
    <x v="13"/>
    <x v="17"/>
    <x v="34"/>
    <x v="46"/>
    <x v="1"/>
    <n v="17.025943464000001"/>
  </r>
  <r>
    <x v="0"/>
    <x v="13"/>
    <x v="17"/>
    <x v="34"/>
    <x v="47"/>
    <x v="1"/>
    <n v="17.025943464000001"/>
  </r>
  <r>
    <x v="0"/>
    <x v="13"/>
    <x v="17"/>
    <x v="34"/>
    <x v="48"/>
    <x v="1"/>
    <n v="17.025943464000001"/>
  </r>
  <r>
    <x v="0"/>
    <x v="13"/>
    <x v="17"/>
    <x v="34"/>
    <x v="49"/>
    <x v="1"/>
    <n v="0"/>
  </r>
  <r>
    <x v="0"/>
    <x v="13"/>
    <x v="17"/>
    <x v="34"/>
    <x v="50"/>
    <x v="1"/>
    <n v="0"/>
  </r>
  <r>
    <x v="0"/>
    <x v="13"/>
    <x v="17"/>
    <x v="34"/>
    <x v="51"/>
    <x v="1"/>
    <n v="0"/>
  </r>
  <r>
    <x v="0"/>
    <x v="13"/>
    <x v="17"/>
    <x v="34"/>
    <x v="52"/>
    <x v="1"/>
    <n v="0"/>
  </r>
  <r>
    <x v="0"/>
    <x v="13"/>
    <x v="17"/>
    <x v="34"/>
    <x v="53"/>
    <x v="1"/>
    <n v="0"/>
  </r>
  <r>
    <x v="0"/>
    <x v="13"/>
    <x v="17"/>
    <x v="34"/>
    <x v="54"/>
    <x v="1"/>
    <n v="0"/>
  </r>
  <r>
    <x v="0"/>
    <x v="13"/>
    <x v="17"/>
    <x v="34"/>
    <x v="55"/>
    <x v="1"/>
    <n v="0"/>
  </r>
  <r>
    <x v="0"/>
    <x v="13"/>
    <x v="17"/>
    <x v="35"/>
    <x v="46"/>
    <x v="1"/>
    <n v="14.344872637"/>
  </r>
  <r>
    <x v="0"/>
    <x v="13"/>
    <x v="17"/>
    <x v="35"/>
    <x v="47"/>
    <x v="1"/>
    <n v="14.344872637"/>
  </r>
  <r>
    <x v="0"/>
    <x v="13"/>
    <x v="17"/>
    <x v="35"/>
    <x v="48"/>
    <x v="1"/>
    <n v="14.344872637"/>
  </r>
  <r>
    <x v="0"/>
    <x v="13"/>
    <x v="17"/>
    <x v="35"/>
    <x v="49"/>
    <x v="1"/>
    <n v="0"/>
  </r>
  <r>
    <x v="0"/>
    <x v="13"/>
    <x v="17"/>
    <x v="35"/>
    <x v="50"/>
    <x v="1"/>
    <n v="0"/>
  </r>
  <r>
    <x v="0"/>
    <x v="13"/>
    <x v="17"/>
    <x v="35"/>
    <x v="51"/>
    <x v="1"/>
    <n v="0"/>
  </r>
  <r>
    <x v="0"/>
    <x v="13"/>
    <x v="17"/>
    <x v="35"/>
    <x v="52"/>
    <x v="1"/>
    <n v="0"/>
  </r>
  <r>
    <x v="0"/>
    <x v="13"/>
    <x v="17"/>
    <x v="35"/>
    <x v="53"/>
    <x v="1"/>
    <n v="0"/>
  </r>
  <r>
    <x v="0"/>
    <x v="13"/>
    <x v="17"/>
    <x v="35"/>
    <x v="54"/>
    <x v="1"/>
    <n v="0"/>
  </r>
  <r>
    <x v="0"/>
    <x v="13"/>
    <x v="17"/>
    <x v="35"/>
    <x v="55"/>
    <x v="1"/>
    <n v="0"/>
  </r>
  <r>
    <x v="0"/>
    <x v="13"/>
    <x v="17"/>
    <x v="36"/>
    <x v="46"/>
    <x v="1"/>
    <n v="5.3624092809999997"/>
  </r>
  <r>
    <x v="0"/>
    <x v="13"/>
    <x v="17"/>
    <x v="36"/>
    <x v="47"/>
    <x v="1"/>
    <n v="5.3624092809999997"/>
  </r>
  <r>
    <x v="0"/>
    <x v="13"/>
    <x v="17"/>
    <x v="36"/>
    <x v="48"/>
    <x v="1"/>
    <n v="5.3624092809999997"/>
  </r>
  <r>
    <x v="0"/>
    <x v="13"/>
    <x v="17"/>
    <x v="36"/>
    <x v="49"/>
    <x v="1"/>
    <n v="0"/>
  </r>
  <r>
    <x v="0"/>
    <x v="13"/>
    <x v="17"/>
    <x v="36"/>
    <x v="50"/>
    <x v="1"/>
    <n v="0"/>
  </r>
  <r>
    <x v="0"/>
    <x v="13"/>
    <x v="17"/>
    <x v="36"/>
    <x v="51"/>
    <x v="1"/>
    <n v="0"/>
  </r>
  <r>
    <x v="0"/>
    <x v="13"/>
    <x v="17"/>
    <x v="36"/>
    <x v="52"/>
    <x v="1"/>
    <n v="0"/>
  </r>
  <r>
    <x v="0"/>
    <x v="13"/>
    <x v="17"/>
    <x v="36"/>
    <x v="53"/>
    <x v="1"/>
    <n v="0"/>
  </r>
  <r>
    <x v="0"/>
    <x v="13"/>
    <x v="17"/>
    <x v="36"/>
    <x v="54"/>
    <x v="1"/>
    <n v="0"/>
  </r>
  <r>
    <x v="0"/>
    <x v="13"/>
    <x v="17"/>
    <x v="36"/>
    <x v="55"/>
    <x v="1"/>
    <n v="0"/>
  </r>
  <r>
    <x v="0"/>
    <x v="13"/>
    <x v="17"/>
    <x v="37"/>
    <x v="46"/>
    <x v="1"/>
    <n v="6.5571667219999998"/>
  </r>
  <r>
    <x v="0"/>
    <x v="13"/>
    <x v="17"/>
    <x v="37"/>
    <x v="47"/>
    <x v="1"/>
    <n v="6.5571667219999998"/>
  </r>
  <r>
    <x v="0"/>
    <x v="13"/>
    <x v="17"/>
    <x v="37"/>
    <x v="48"/>
    <x v="1"/>
    <n v="6.5571667219999998"/>
  </r>
  <r>
    <x v="0"/>
    <x v="13"/>
    <x v="17"/>
    <x v="37"/>
    <x v="49"/>
    <x v="1"/>
    <n v="0"/>
  </r>
  <r>
    <x v="0"/>
    <x v="13"/>
    <x v="17"/>
    <x v="37"/>
    <x v="50"/>
    <x v="1"/>
    <n v="0"/>
  </r>
  <r>
    <x v="0"/>
    <x v="13"/>
    <x v="17"/>
    <x v="37"/>
    <x v="51"/>
    <x v="1"/>
    <n v="0"/>
  </r>
  <r>
    <x v="0"/>
    <x v="13"/>
    <x v="17"/>
    <x v="37"/>
    <x v="52"/>
    <x v="1"/>
    <n v="0"/>
  </r>
  <r>
    <x v="0"/>
    <x v="13"/>
    <x v="17"/>
    <x v="37"/>
    <x v="53"/>
    <x v="1"/>
    <n v="0"/>
  </r>
  <r>
    <x v="0"/>
    <x v="13"/>
    <x v="17"/>
    <x v="37"/>
    <x v="54"/>
    <x v="1"/>
    <n v="0"/>
  </r>
  <r>
    <x v="0"/>
    <x v="13"/>
    <x v="17"/>
    <x v="37"/>
    <x v="55"/>
    <x v="1"/>
    <n v="0"/>
  </r>
  <r>
    <x v="0"/>
    <x v="13"/>
    <x v="17"/>
    <x v="38"/>
    <x v="46"/>
    <x v="1"/>
    <n v="29.617395533"/>
  </r>
  <r>
    <x v="0"/>
    <x v="13"/>
    <x v="17"/>
    <x v="38"/>
    <x v="47"/>
    <x v="1"/>
    <n v="29.617395533"/>
  </r>
  <r>
    <x v="0"/>
    <x v="13"/>
    <x v="17"/>
    <x v="38"/>
    <x v="48"/>
    <x v="1"/>
    <n v="29.617395533"/>
  </r>
  <r>
    <x v="0"/>
    <x v="13"/>
    <x v="17"/>
    <x v="38"/>
    <x v="49"/>
    <x v="1"/>
    <n v="0"/>
  </r>
  <r>
    <x v="0"/>
    <x v="13"/>
    <x v="17"/>
    <x v="38"/>
    <x v="50"/>
    <x v="1"/>
    <n v="0"/>
  </r>
  <r>
    <x v="0"/>
    <x v="13"/>
    <x v="17"/>
    <x v="38"/>
    <x v="51"/>
    <x v="1"/>
    <n v="0"/>
  </r>
  <r>
    <x v="0"/>
    <x v="13"/>
    <x v="17"/>
    <x v="38"/>
    <x v="52"/>
    <x v="1"/>
    <n v="0"/>
  </r>
  <r>
    <x v="0"/>
    <x v="13"/>
    <x v="17"/>
    <x v="38"/>
    <x v="53"/>
    <x v="1"/>
    <n v="0"/>
  </r>
  <r>
    <x v="0"/>
    <x v="13"/>
    <x v="17"/>
    <x v="38"/>
    <x v="54"/>
    <x v="1"/>
    <n v="0"/>
  </r>
  <r>
    <x v="0"/>
    <x v="13"/>
    <x v="17"/>
    <x v="38"/>
    <x v="55"/>
    <x v="1"/>
    <n v="0"/>
  </r>
  <r>
    <x v="0"/>
    <x v="13"/>
    <x v="17"/>
    <x v="39"/>
    <x v="46"/>
    <x v="1"/>
    <n v="12.280430051"/>
  </r>
  <r>
    <x v="0"/>
    <x v="13"/>
    <x v="17"/>
    <x v="39"/>
    <x v="47"/>
    <x v="1"/>
    <n v="12.280430051"/>
  </r>
  <r>
    <x v="0"/>
    <x v="13"/>
    <x v="17"/>
    <x v="39"/>
    <x v="48"/>
    <x v="1"/>
    <n v="12.280430051"/>
  </r>
  <r>
    <x v="0"/>
    <x v="13"/>
    <x v="17"/>
    <x v="39"/>
    <x v="49"/>
    <x v="1"/>
    <n v="0"/>
  </r>
  <r>
    <x v="0"/>
    <x v="13"/>
    <x v="17"/>
    <x v="39"/>
    <x v="50"/>
    <x v="1"/>
    <n v="0"/>
  </r>
  <r>
    <x v="0"/>
    <x v="13"/>
    <x v="17"/>
    <x v="39"/>
    <x v="51"/>
    <x v="1"/>
    <n v="0"/>
  </r>
  <r>
    <x v="0"/>
    <x v="13"/>
    <x v="17"/>
    <x v="39"/>
    <x v="52"/>
    <x v="1"/>
    <n v="0"/>
  </r>
  <r>
    <x v="0"/>
    <x v="13"/>
    <x v="17"/>
    <x v="39"/>
    <x v="53"/>
    <x v="1"/>
    <n v="0"/>
  </r>
  <r>
    <x v="0"/>
    <x v="13"/>
    <x v="17"/>
    <x v="39"/>
    <x v="54"/>
    <x v="1"/>
    <n v="0"/>
  </r>
  <r>
    <x v="0"/>
    <x v="13"/>
    <x v="17"/>
    <x v="39"/>
    <x v="55"/>
    <x v="1"/>
    <n v="0"/>
  </r>
  <r>
    <x v="0"/>
    <x v="13"/>
    <x v="17"/>
    <x v="40"/>
    <x v="46"/>
    <x v="1"/>
    <n v="3.683066921"/>
  </r>
  <r>
    <x v="0"/>
    <x v="13"/>
    <x v="17"/>
    <x v="40"/>
    <x v="47"/>
    <x v="1"/>
    <n v="3.683066921"/>
  </r>
  <r>
    <x v="0"/>
    <x v="13"/>
    <x v="17"/>
    <x v="40"/>
    <x v="48"/>
    <x v="1"/>
    <n v="3.683066921"/>
  </r>
  <r>
    <x v="0"/>
    <x v="13"/>
    <x v="17"/>
    <x v="40"/>
    <x v="49"/>
    <x v="1"/>
    <n v="0"/>
  </r>
  <r>
    <x v="0"/>
    <x v="13"/>
    <x v="17"/>
    <x v="40"/>
    <x v="50"/>
    <x v="1"/>
    <n v="0"/>
  </r>
  <r>
    <x v="0"/>
    <x v="13"/>
    <x v="17"/>
    <x v="40"/>
    <x v="51"/>
    <x v="1"/>
    <n v="0"/>
  </r>
  <r>
    <x v="0"/>
    <x v="13"/>
    <x v="17"/>
    <x v="40"/>
    <x v="52"/>
    <x v="1"/>
    <n v="0"/>
  </r>
  <r>
    <x v="0"/>
    <x v="13"/>
    <x v="17"/>
    <x v="40"/>
    <x v="53"/>
    <x v="1"/>
    <n v="0"/>
  </r>
  <r>
    <x v="0"/>
    <x v="13"/>
    <x v="17"/>
    <x v="40"/>
    <x v="54"/>
    <x v="1"/>
    <n v="0"/>
  </r>
  <r>
    <x v="0"/>
    <x v="13"/>
    <x v="17"/>
    <x v="40"/>
    <x v="55"/>
    <x v="1"/>
    <n v="0"/>
  </r>
  <r>
    <x v="0"/>
    <x v="13"/>
    <x v="17"/>
    <x v="41"/>
    <x v="46"/>
    <x v="1"/>
    <n v="60.416815874999998"/>
  </r>
  <r>
    <x v="0"/>
    <x v="13"/>
    <x v="17"/>
    <x v="41"/>
    <x v="47"/>
    <x v="1"/>
    <n v="60.416815874999998"/>
  </r>
  <r>
    <x v="0"/>
    <x v="13"/>
    <x v="17"/>
    <x v="41"/>
    <x v="48"/>
    <x v="1"/>
    <n v="60.416815874999998"/>
  </r>
  <r>
    <x v="0"/>
    <x v="13"/>
    <x v="17"/>
    <x v="41"/>
    <x v="49"/>
    <x v="1"/>
    <n v="0"/>
  </r>
  <r>
    <x v="0"/>
    <x v="13"/>
    <x v="17"/>
    <x v="41"/>
    <x v="50"/>
    <x v="1"/>
    <n v="0"/>
  </r>
  <r>
    <x v="0"/>
    <x v="13"/>
    <x v="17"/>
    <x v="41"/>
    <x v="51"/>
    <x v="1"/>
    <n v="0"/>
  </r>
  <r>
    <x v="0"/>
    <x v="13"/>
    <x v="17"/>
    <x v="41"/>
    <x v="52"/>
    <x v="1"/>
    <n v="0"/>
  </r>
  <r>
    <x v="0"/>
    <x v="13"/>
    <x v="17"/>
    <x v="41"/>
    <x v="53"/>
    <x v="1"/>
    <n v="0"/>
  </r>
  <r>
    <x v="0"/>
    <x v="13"/>
    <x v="17"/>
    <x v="41"/>
    <x v="54"/>
    <x v="1"/>
    <n v="0"/>
  </r>
  <r>
    <x v="0"/>
    <x v="13"/>
    <x v="17"/>
    <x v="41"/>
    <x v="55"/>
    <x v="1"/>
    <n v="0"/>
  </r>
  <r>
    <x v="0"/>
    <x v="13"/>
    <x v="18"/>
    <x v="42"/>
    <x v="46"/>
    <x v="1"/>
    <n v="25.597128483999999"/>
  </r>
  <r>
    <x v="0"/>
    <x v="13"/>
    <x v="18"/>
    <x v="42"/>
    <x v="47"/>
    <x v="1"/>
    <n v="25.597128483999999"/>
  </r>
  <r>
    <x v="0"/>
    <x v="13"/>
    <x v="18"/>
    <x v="42"/>
    <x v="48"/>
    <x v="1"/>
    <n v="25.597128483999999"/>
  </r>
  <r>
    <x v="0"/>
    <x v="13"/>
    <x v="18"/>
    <x v="42"/>
    <x v="49"/>
    <x v="1"/>
    <n v="0"/>
  </r>
  <r>
    <x v="0"/>
    <x v="13"/>
    <x v="18"/>
    <x v="42"/>
    <x v="50"/>
    <x v="1"/>
    <n v="0"/>
  </r>
  <r>
    <x v="0"/>
    <x v="13"/>
    <x v="18"/>
    <x v="42"/>
    <x v="51"/>
    <x v="1"/>
    <n v="0"/>
  </r>
  <r>
    <x v="0"/>
    <x v="13"/>
    <x v="18"/>
    <x v="42"/>
    <x v="52"/>
    <x v="1"/>
    <n v="0"/>
  </r>
  <r>
    <x v="0"/>
    <x v="13"/>
    <x v="18"/>
    <x v="42"/>
    <x v="53"/>
    <x v="1"/>
    <n v="0"/>
  </r>
  <r>
    <x v="0"/>
    <x v="13"/>
    <x v="18"/>
    <x v="42"/>
    <x v="54"/>
    <x v="1"/>
    <n v="0"/>
  </r>
  <r>
    <x v="0"/>
    <x v="13"/>
    <x v="18"/>
    <x v="42"/>
    <x v="55"/>
    <x v="1"/>
    <n v="0"/>
  </r>
  <r>
    <x v="0"/>
    <x v="13"/>
    <x v="18"/>
    <x v="43"/>
    <x v="46"/>
    <x v="1"/>
    <n v="52.489785237"/>
  </r>
  <r>
    <x v="0"/>
    <x v="13"/>
    <x v="18"/>
    <x v="43"/>
    <x v="47"/>
    <x v="1"/>
    <n v="52.489785237"/>
  </r>
  <r>
    <x v="0"/>
    <x v="13"/>
    <x v="18"/>
    <x v="43"/>
    <x v="48"/>
    <x v="1"/>
    <n v="52.489785237"/>
  </r>
  <r>
    <x v="0"/>
    <x v="13"/>
    <x v="18"/>
    <x v="43"/>
    <x v="49"/>
    <x v="1"/>
    <n v="0"/>
  </r>
  <r>
    <x v="0"/>
    <x v="13"/>
    <x v="18"/>
    <x v="43"/>
    <x v="50"/>
    <x v="1"/>
    <n v="0"/>
  </r>
  <r>
    <x v="0"/>
    <x v="13"/>
    <x v="18"/>
    <x v="43"/>
    <x v="51"/>
    <x v="1"/>
    <n v="0"/>
  </r>
  <r>
    <x v="0"/>
    <x v="13"/>
    <x v="18"/>
    <x v="43"/>
    <x v="52"/>
    <x v="1"/>
    <n v="0"/>
  </r>
  <r>
    <x v="0"/>
    <x v="13"/>
    <x v="18"/>
    <x v="43"/>
    <x v="53"/>
    <x v="1"/>
    <n v="0"/>
  </r>
  <r>
    <x v="0"/>
    <x v="13"/>
    <x v="18"/>
    <x v="43"/>
    <x v="54"/>
    <x v="1"/>
    <n v="0"/>
  </r>
  <r>
    <x v="0"/>
    <x v="13"/>
    <x v="18"/>
    <x v="43"/>
    <x v="55"/>
    <x v="1"/>
    <n v="0"/>
  </r>
  <r>
    <x v="0"/>
    <x v="13"/>
    <x v="19"/>
    <x v="44"/>
    <x v="46"/>
    <x v="5"/>
    <n v="763.40219014299998"/>
  </r>
  <r>
    <x v="0"/>
    <x v="13"/>
    <x v="19"/>
    <x v="44"/>
    <x v="47"/>
    <x v="5"/>
    <n v="763.40219014299998"/>
  </r>
  <r>
    <x v="0"/>
    <x v="13"/>
    <x v="19"/>
    <x v="44"/>
    <x v="48"/>
    <x v="5"/>
    <n v="763.40219014299998"/>
  </r>
  <r>
    <x v="0"/>
    <x v="13"/>
    <x v="19"/>
    <x v="44"/>
    <x v="49"/>
    <x v="5"/>
    <n v="0"/>
  </r>
  <r>
    <x v="0"/>
    <x v="13"/>
    <x v="19"/>
    <x v="44"/>
    <x v="50"/>
    <x v="5"/>
    <n v="0"/>
  </r>
  <r>
    <x v="0"/>
    <x v="13"/>
    <x v="19"/>
    <x v="44"/>
    <x v="51"/>
    <x v="5"/>
    <n v="0"/>
  </r>
  <r>
    <x v="0"/>
    <x v="13"/>
    <x v="19"/>
    <x v="44"/>
    <x v="52"/>
    <x v="5"/>
    <n v="0"/>
  </r>
  <r>
    <x v="0"/>
    <x v="13"/>
    <x v="19"/>
    <x v="44"/>
    <x v="53"/>
    <x v="5"/>
    <n v="0"/>
  </r>
  <r>
    <x v="0"/>
    <x v="13"/>
    <x v="19"/>
    <x v="44"/>
    <x v="54"/>
    <x v="5"/>
    <n v="0"/>
  </r>
  <r>
    <x v="0"/>
    <x v="13"/>
    <x v="19"/>
    <x v="44"/>
    <x v="55"/>
    <x v="5"/>
    <n v="0"/>
  </r>
  <r>
    <x v="0"/>
    <x v="13"/>
    <x v="20"/>
    <x v="44"/>
    <x v="0"/>
    <x v="6"/>
    <n v="301.98279793500001"/>
  </r>
  <r>
    <x v="0"/>
    <x v="13"/>
    <x v="21"/>
    <x v="44"/>
    <x v="0"/>
    <x v="6"/>
    <n v="4343.134742962"/>
  </r>
  <r>
    <x v="0"/>
    <x v="13"/>
    <x v="22"/>
    <x v="44"/>
    <x v="0"/>
    <x v="5"/>
    <n v="6.9531068000000001E-2"/>
  </r>
  <r>
    <x v="0"/>
    <x v="13"/>
    <x v="23"/>
    <x v="44"/>
    <x v="0"/>
    <x v="5"/>
    <n v="892.96890065000002"/>
  </r>
  <r>
    <x v="0"/>
    <x v="13"/>
    <x v="24"/>
    <x v="44"/>
    <x v="0"/>
    <x v="6"/>
    <n v="1562.6710701019999"/>
  </r>
  <r>
    <x v="0"/>
    <x v="13"/>
    <x v="25"/>
    <x v="45"/>
    <x v="0"/>
    <x v="6"/>
    <n v="2014.2879890449999"/>
  </r>
  <r>
    <x v="0"/>
    <x v="13"/>
    <x v="26"/>
    <x v="44"/>
    <x v="0"/>
    <x v="6"/>
    <n v="1290.167546439"/>
  </r>
  <r>
    <x v="0"/>
    <x v="13"/>
    <x v="27"/>
    <x v="44"/>
    <x v="0"/>
    <x v="6"/>
    <n v="812.50268350700003"/>
  </r>
  <r>
    <x v="0"/>
    <x v="13"/>
    <x v="28"/>
    <x v="44"/>
    <x v="0"/>
    <x v="6"/>
    <n v="1336.4945461310001"/>
  </r>
  <r>
    <x v="0"/>
    <x v="13"/>
    <x v="29"/>
    <x v="44"/>
    <x v="0"/>
    <x v="6"/>
    <n v="6.0101766019999996"/>
  </r>
  <r>
    <x v="0"/>
    <x v="13"/>
    <x v="30"/>
    <x v="44"/>
    <x v="0"/>
    <x v="6"/>
    <n v="272.55220064999997"/>
  </r>
  <r>
    <x v="0"/>
    <x v="13"/>
    <x v="31"/>
    <x v="44"/>
    <x v="0"/>
    <x v="6"/>
    <n v="12749.154197521"/>
  </r>
  <r>
    <x v="0"/>
    <x v="13"/>
    <x v="32"/>
    <x v="44"/>
    <x v="0"/>
    <x v="5"/>
    <n v="2.1378061E-2"/>
  </r>
  <r>
    <x v="0"/>
    <x v="13"/>
    <x v="33"/>
    <x v="44"/>
    <x v="0"/>
    <x v="5"/>
    <n v="2.0976E-5"/>
  </r>
  <r>
    <x v="0"/>
    <x v="13"/>
    <x v="34"/>
    <x v="44"/>
    <x v="0"/>
    <x v="5"/>
    <n v="1"/>
  </r>
  <r>
    <x v="0"/>
    <x v="13"/>
    <x v="35"/>
    <x v="44"/>
    <x v="0"/>
    <x v="5"/>
    <n v="1.075"/>
  </r>
  <r>
    <x v="0"/>
    <x v="13"/>
    <x v="36"/>
    <x v="44"/>
    <x v="0"/>
    <x v="5"/>
    <n v="2.7722727999999999E-2"/>
  </r>
  <r>
    <x v="0"/>
    <x v="13"/>
    <x v="37"/>
    <x v="45"/>
    <x v="0"/>
    <x v="6"/>
    <n v="0"/>
  </r>
  <r>
    <x v="0"/>
    <x v="13"/>
    <x v="38"/>
    <x v="45"/>
    <x v="0"/>
    <x v="6"/>
    <n v="0"/>
  </r>
  <r>
    <x v="0"/>
    <x v="13"/>
    <x v="39"/>
    <x v="45"/>
    <x v="0"/>
    <x v="6"/>
    <n v="1"/>
  </r>
  <r>
    <x v="0"/>
    <x v="13"/>
    <x v="40"/>
    <x v="45"/>
    <x v="0"/>
    <x v="6"/>
    <n v="200.38283181899999"/>
  </r>
  <r>
    <x v="0"/>
    <x v="13"/>
    <x v="41"/>
    <x v="45"/>
    <x v="0"/>
    <x v="6"/>
    <n v="185.13631174700001"/>
  </r>
  <r>
    <x v="0"/>
    <x v="13"/>
    <x v="42"/>
    <x v="45"/>
    <x v="0"/>
    <x v="6"/>
    <n v="15.246520071999999"/>
  </r>
  <r>
    <x v="0"/>
    <x v="13"/>
    <x v="43"/>
    <x v="45"/>
    <x v="0"/>
    <x v="6"/>
    <n v="293.35566010000002"/>
  </r>
  <r>
    <x v="0"/>
    <x v="13"/>
    <x v="44"/>
    <x v="45"/>
    <x v="0"/>
    <x v="6"/>
    <n v="0"/>
  </r>
  <r>
    <x v="0"/>
    <x v="13"/>
    <x v="45"/>
    <x v="44"/>
    <x v="0"/>
    <x v="5"/>
    <n v="5.1972816999999998E-2"/>
  </r>
  <r>
    <x v="0"/>
    <x v="13"/>
    <x v="46"/>
    <x v="45"/>
    <x v="0"/>
    <x v="5"/>
    <n v="4.481803201"/>
  </r>
  <r>
    <x v="0"/>
    <x v="13"/>
    <x v="47"/>
    <x v="46"/>
    <x v="0"/>
    <x v="6"/>
    <n v="0.44220050599999999"/>
  </r>
  <r>
    <x v="0"/>
    <x v="13"/>
    <x v="48"/>
    <x v="47"/>
    <x v="0"/>
    <x v="6"/>
    <n v="0"/>
  </r>
  <r>
    <x v="0"/>
    <x v="13"/>
    <x v="49"/>
    <x v="47"/>
    <x v="0"/>
    <x v="6"/>
    <n v="0"/>
  </r>
  <r>
    <x v="0"/>
    <x v="13"/>
    <x v="50"/>
    <x v="48"/>
    <x v="0"/>
    <x v="7"/>
    <n v="140.558486004"/>
  </r>
  <r>
    <x v="0"/>
    <x v="13"/>
    <x v="50"/>
    <x v="49"/>
    <x v="0"/>
    <x v="7"/>
    <n v="131.55151413999999"/>
  </r>
  <r>
    <x v="0"/>
    <x v="13"/>
    <x v="51"/>
    <x v="42"/>
    <x v="0"/>
    <x v="4"/>
    <n v="66.705385422999996"/>
  </r>
  <r>
    <x v="0"/>
    <x v="13"/>
    <x v="51"/>
    <x v="43"/>
    <x v="0"/>
    <x v="4"/>
    <n v="222.15940632600001"/>
  </r>
  <r>
    <x v="0"/>
    <x v="13"/>
    <x v="52"/>
    <x v="42"/>
    <x v="0"/>
    <x v="4"/>
    <n v="36.125133878"/>
  </r>
  <r>
    <x v="0"/>
    <x v="13"/>
    <x v="52"/>
    <x v="43"/>
    <x v="0"/>
    <x v="4"/>
    <n v="68.829714862000003"/>
  </r>
  <r>
    <x v="0"/>
    <x v="13"/>
    <x v="53"/>
    <x v="42"/>
    <x v="0"/>
    <x v="4"/>
    <n v="10.528005393999999"/>
  </r>
  <r>
    <x v="0"/>
    <x v="13"/>
    <x v="53"/>
    <x v="43"/>
    <x v="0"/>
    <x v="4"/>
    <n v="16.339929623"/>
  </r>
  <r>
    <x v="0"/>
    <x v="13"/>
    <x v="54"/>
    <x v="42"/>
    <x v="56"/>
    <x v="4"/>
    <n v="25.460827795"/>
  </r>
  <r>
    <x v="0"/>
    <x v="13"/>
    <x v="54"/>
    <x v="43"/>
    <x v="56"/>
    <x v="4"/>
    <n v="145.45621744799999"/>
  </r>
  <r>
    <x v="0"/>
    <x v="13"/>
    <x v="55"/>
    <x v="42"/>
    <x v="0"/>
    <x v="4"/>
    <n v="6.3771578999999995E-2"/>
  </r>
  <r>
    <x v="0"/>
    <x v="13"/>
    <x v="55"/>
    <x v="43"/>
    <x v="0"/>
    <x v="4"/>
    <n v="5.9019283999999998E-2"/>
  </r>
  <r>
    <x v="0"/>
    <x v="13"/>
    <x v="56"/>
    <x v="42"/>
    <x v="0"/>
    <x v="4"/>
    <n v="8.1297316999999994E-2"/>
  </r>
  <r>
    <x v="0"/>
    <x v="13"/>
    <x v="56"/>
    <x v="43"/>
    <x v="0"/>
    <x v="4"/>
    <n v="7.8497923999999997E-2"/>
  </r>
  <r>
    <x v="0"/>
    <x v="13"/>
    <x v="57"/>
    <x v="42"/>
    <x v="0"/>
    <x v="4"/>
    <n v="4.1467192E-2"/>
  </r>
  <r>
    <x v="0"/>
    <x v="13"/>
    <x v="57"/>
    <x v="43"/>
    <x v="0"/>
    <x v="4"/>
    <n v="3.9054589000000001E-2"/>
  </r>
  <r>
    <x v="0"/>
    <x v="13"/>
    <x v="58"/>
    <x v="44"/>
    <x v="57"/>
    <x v="5"/>
    <n v="4.0572654E-2"/>
  </r>
  <r>
    <x v="0"/>
    <x v="13"/>
    <x v="59"/>
    <x v="44"/>
    <x v="57"/>
    <x v="6"/>
    <n v="704.06799999999998"/>
  </r>
  <r>
    <x v="0"/>
    <x v="13"/>
    <x v="60"/>
    <x v="0"/>
    <x v="57"/>
    <x v="8"/>
    <n v="226.593350472"/>
  </r>
  <r>
    <x v="0"/>
    <x v="13"/>
    <x v="60"/>
    <x v="1"/>
    <x v="57"/>
    <x v="8"/>
    <n v="26.781744434"/>
  </r>
  <r>
    <x v="0"/>
    <x v="13"/>
    <x v="60"/>
    <x v="2"/>
    <x v="57"/>
    <x v="8"/>
    <n v="89.305967275"/>
  </r>
  <r>
    <x v="0"/>
    <x v="13"/>
    <x v="60"/>
    <x v="3"/>
    <x v="57"/>
    <x v="8"/>
    <n v="61.908827973000001"/>
  </r>
  <r>
    <x v="0"/>
    <x v="13"/>
    <x v="60"/>
    <x v="4"/>
    <x v="57"/>
    <x v="8"/>
    <n v="4.6376902419999997"/>
  </r>
  <r>
    <x v="0"/>
    <x v="13"/>
    <x v="60"/>
    <x v="5"/>
    <x v="57"/>
    <x v="8"/>
    <n v="92.944259711000001"/>
  </r>
  <r>
    <x v="0"/>
    <x v="13"/>
    <x v="60"/>
    <x v="6"/>
    <x v="57"/>
    <x v="8"/>
    <n v="14.333108376"/>
  </r>
  <r>
    <x v="0"/>
    <x v="13"/>
    <x v="60"/>
    <x v="7"/>
    <x v="57"/>
    <x v="8"/>
    <n v="23.051481099"/>
  </r>
  <r>
    <x v="0"/>
    <x v="13"/>
    <x v="60"/>
    <x v="8"/>
    <x v="57"/>
    <x v="8"/>
    <n v="6.2725741790000002"/>
  </r>
  <r>
    <x v="0"/>
    <x v="13"/>
    <x v="60"/>
    <x v="9"/>
    <x v="57"/>
    <x v="8"/>
    <n v="23.064208759"/>
  </r>
  <r>
    <x v="0"/>
    <x v="13"/>
    <x v="60"/>
    <x v="10"/>
    <x v="57"/>
    <x v="8"/>
    <n v="21.237804710999999"/>
  </r>
  <r>
    <x v="0"/>
    <x v="13"/>
    <x v="60"/>
    <x v="11"/>
    <x v="57"/>
    <x v="8"/>
    <n v="123.372210846"/>
  </r>
  <r>
    <x v="0"/>
    <x v="13"/>
    <x v="60"/>
    <x v="12"/>
    <x v="57"/>
    <x v="8"/>
    <n v="4.6307769209999998"/>
  </r>
  <r>
    <x v="0"/>
    <x v="13"/>
    <x v="60"/>
    <x v="13"/>
    <x v="57"/>
    <x v="8"/>
    <n v="46.244058752000001"/>
  </r>
  <r>
    <x v="0"/>
    <x v="13"/>
    <x v="60"/>
    <x v="14"/>
    <x v="57"/>
    <x v="8"/>
    <n v="6.1004879570000003"/>
  </r>
  <r>
    <x v="0"/>
    <x v="13"/>
    <x v="60"/>
    <x v="15"/>
    <x v="57"/>
    <x v="8"/>
    <n v="41.268608905000001"/>
  </r>
  <r>
    <x v="0"/>
    <x v="13"/>
    <x v="60"/>
    <x v="16"/>
    <x v="57"/>
    <x v="8"/>
    <n v="35.337132214"/>
  </r>
  <r>
    <x v="0"/>
    <x v="13"/>
    <x v="60"/>
    <x v="17"/>
    <x v="57"/>
    <x v="8"/>
    <n v="58.008259901999999"/>
  </r>
  <r>
    <x v="0"/>
    <x v="13"/>
    <x v="60"/>
    <x v="18"/>
    <x v="57"/>
    <x v="8"/>
    <n v="31.00630026"/>
  </r>
  <r>
    <x v="0"/>
    <x v="13"/>
    <x v="60"/>
    <x v="19"/>
    <x v="57"/>
    <x v="8"/>
    <n v="188.858708108"/>
  </r>
  <r>
    <x v="0"/>
    <x v="13"/>
    <x v="60"/>
    <x v="20"/>
    <x v="57"/>
    <x v="8"/>
    <n v="28.692853502999998"/>
  </r>
  <r>
    <x v="0"/>
    <x v="13"/>
    <x v="60"/>
    <x v="21"/>
    <x v="57"/>
    <x v="8"/>
    <n v="0.54614806699999996"/>
  </r>
  <r>
    <x v="0"/>
    <x v="13"/>
    <x v="60"/>
    <x v="22"/>
    <x v="57"/>
    <x v="8"/>
    <n v="1.1849247039999999"/>
  </r>
  <r>
    <x v="0"/>
    <x v="13"/>
    <x v="60"/>
    <x v="23"/>
    <x v="57"/>
    <x v="8"/>
    <n v="0"/>
  </r>
  <r>
    <x v="0"/>
    <x v="13"/>
    <x v="60"/>
    <x v="24"/>
    <x v="57"/>
    <x v="8"/>
    <n v="0.18171884699999999"/>
  </r>
  <r>
    <x v="0"/>
    <x v="13"/>
    <x v="60"/>
    <x v="25"/>
    <x v="57"/>
    <x v="8"/>
    <n v="2.0000000000000001E-9"/>
  </r>
  <r>
    <x v="0"/>
    <x v="13"/>
    <x v="60"/>
    <x v="26"/>
    <x v="57"/>
    <x v="8"/>
    <n v="0"/>
  </r>
  <r>
    <x v="0"/>
    <x v="13"/>
    <x v="60"/>
    <x v="27"/>
    <x v="57"/>
    <x v="8"/>
    <n v="2.8351856039999999"/>
  </r>
  <r>
    <x v="0"/>
    <x v="13"/>
    <x v="60"/>
    <x v="28"/>
    <x v="57"/>
    <x v="8"/>
    <n v="0"/>
  </r>
  <r>
    <x v="0"/>
    <x v="13"/>
    <x v="60"/>
    <x v="29"/>
    <x v="57"/>
    <x v="8"/>
    <n v="37.815594124999997"/>
  </r>
  <r>
    <x v="0"/>
    <x v="13"/>
    <x v="60"/>
    <x v="30"/>
    <x v="57"/>
    <x v="8"/>
    <n v="25.209114634999999"/>
  </r>
  <r>
    <x v="0"/>
    <x v="13"/>
    <x v="60"/>
    <x v="31"/>
    <x v="57"/>
    <x v="8"/>
    <n v="5.5512722109999997"/>
  </r>
  <r>
    <x v="0"/>
    <x v="13"/>
    <x v="60"/>
    <x v="32"/>
    <x v="57"/>
    <x v="8"/>
    <n v="3.3517943589999999"/>
  </r>
  <r>
    <x v="0"/>
    <x v="13"/>
    <x v="60"/>
    <x v="33"/>
    <x v="57"/>
    <x v="8"/>
    <n v="0"/>
  </r>
  <r>
    <x v="0"/>
    <x v="13"/>
    <x v="60"/>
    <x v="34"/>
    <x v="57"/>
    <x v="8"/>
    <n v="38.845989717000002"/>
  </r>
  <r>
    <x v="0"/>
    <x v="13"/>
    <x v="60"/>
    <x v="35"/>
    <x v="57"/>
    <x v="8"/>
    <n v="4.1421850469999999"/>
  </r>
  <r>
    <x v="0"/>
    <x v="13"/>
    <x v="60"/>
    <x v="36"/>
    <x v="57"/>
    <x v="8"/>
    <n v="9.3580425970000007"/>
  </r>
  <r>
    <x v="0"/>
    <x v="13"/>
    <x v="60"/>
    <x v="37"/>
    <x v="57"/>
    <x v="8"/>
    <n v="2.3332752459999999"/>
  </r>
  <r>
    <x v="0"/>
    <x v="13"/>
    <x v="60"/>
    <x v="38"/>
    <x v="57"/>
    <x v="8"/>
    <n v="12.640811889"/>
  </r>
  <r>
    <x v="0"/>
    <x v="13"/>
    <x v="60"/>
    <x v="39"/>
    <x v="57"/>
    <x v="8"/>
    <n v="3.8594924000000002"/>
  </r>
  <r>
    <x v="0"/>
    <x v="13"/>
    <x v="60"/>
    <x v="40"/>
    <x v="57"/>
    <x v="8"/>
    <n v="25.847014403999999"/>
  </r>
  <r>
    <x v="0"/>
    <x v="13"/>
    <x v="60"/>
    <x v="41"/>
    <x v="57"/>
    <x v="8"/>
    <n v="9.1415676789999996"/>
  </r>
  <r>
    <x v="0"/>
    <x v="13"/>
    <x v="61"/>
    <x v="0"/>
    <x v="57"/>
    <x v="8"/>
    <n v="1.426298552"/>
  </r>
  <r>
    <x v="0"/>
    <x v="13"/>
    <x v="61"/>
    <x v="1"/>
    <x v="57"/>
    <x v="8"/>
    <n v="0.495114155"/>
  </r>
  <r>
    <x v="0"/>
    <x v="13"/>
    <x v="61"/>
    <x v="2"/>
    <x v="57"/>
    <x v="8"/>
    <n v="3.0953886490000002"/>
  </r>
  <r>
    <x v="0"/>
    <x v="13"/>
    <x v="61"/>
    <x v="3"/>
    <x v="57"/>
    <x v="8"/>
    <n v="0.44780236600000001"/>
  </r>
  <r>
    <x v="0"/>
    <x v="13"/>
    <x v="61"/>
    <x v="4"/>
    <x v="57"/>
    <x v="8"/>
    <n v="0.82630236000000001"/>
  </r>
  <r>
    <x v="0"/>
    <x v="13"/>
    <x v="61"/>
    <x v="5"/>
    <x v="57"/>
    <x v="8"/>
    <n v="9.3290613219999994"/>
  </r>
  <r>
    <x v="0"/>
    <x v="13"/>
    <x v="61"/>
    <x v="6"/>
    <x v="57"/>
    <x v="8"/>
    <n v="18.059529820000002"/>
  </r>
  <r>
    <x v="0"/>
    <x v="13"/>
    <x v="61"/>
    <x v="7"/>
    <x v="57"/>
    <x v="8"/>
    <n v="36.601607510999997"/>
  </r>
  <r>
    <x v="0"/>
    <x v="13"/>
    <x v="61"/>
    <x v="8"/>
    <x v="57"/>
    <x v="8"/>
    <n v="13.952303396"/>
  </r>
  <r>
    <x v="0"/>
    <x v="13"/>
    <x v="61"/>
    <x v="9"/>
    <x v="57"/>
    <x v="8"/>
    <n v="32.708782059000001"/>
  </r>
  <r>
    <x v="0"/>
    <x v="13"/>
    <x v="61"/>
    <x v="10"/>
    <x v="57"/>
    <x v="8"/>
    <n v="12.845880895000001"/>
  </r>
  <r>
    <x v="0"/>
    <x v="13"/>
    <x v="61"/>
    <x v="11"/>
    <x v="57"/>
    <x v="8"/>
    <n v="70.043422160000006"/>
  </r>
  <r>
    <x v="0"/>
    <x v="13"/>
    <x v="61"/>
    <x v="12"/>
    <x v="57"/>
    <x v="8"/>
    <n v="15.483818201"/>
  </r>
  <r>
    <x v="0"/>
    <x v="13"/>
    <x v="61"/>
    <x v="13"/>
    <x v="57"/>
    <x v="8"/>
    <n v="39.523030118999998"/>
  </r>
  <r>
    <x v="0"/>
    <x v="13"/>
    <x v="61"/>
    <x v="14"/>
    <x v="57"/>
    <x v="8"/>
    <n v="29.453655733000002"/>
  </r>
  <r>
    <x v="0"/>
    <x v="13"/>
    <x v="61"/>
    <x v="15"/>
    <x v="57"/>
    <x v="8"/>
    <n v="39.620802140000002"/>
  </r>
  <r>
    <x v="0"/>
    <x v="13"/>
    <x v="61"/>
    <x v="16"/>
    <x v="57"/>
    <x v="8"/>
    <n v="18.530777511"/>
  </r>
  <r>
    <x v="0"/>
    <x v="13"/>
    <x v="61"/>
    <x v="17"/>
    <x v="57"/>
    <x v="8"/>
    <n v="31.281506736000001"/>
  </r>
  <r>
    <x v="0"/>
    <x v="13"/>
    <x v="61"/>
    <x v="18"/>
    <x v="57"/>
    <x v="8"/>
    <n v="70.929107497999993"/>
  </r>
  <r>
    <x v="0"/>
    <x v="13"/>
    <x v="61"/>
    <x v="19"/>
    <x v="57"/>
    <x v="8"/>
    <n v="163.18624464999999"/>
  </r>
  <r>
    <x v="0"/>
    <x v="13"/>
    <x v="61"/>
    <x v="20"/>
    <x v="57"/>
    <x v="8"/>
    <n v="12.190676254"/>
  </r>
  <r>
    <x v="0"/>
    <x v="13"/>
    <x v="61"/>
    <x v="21"/>
    <x v="57"/>
    <x v="8"/>
    <n v="2.591750421"/>
  </r>
  <r>
    <x v="0"/>
    <x v="13"/>
    <x v="61"/>
    <x v="22"/>
    <x v="57"/>
    <x v="8"/>
    <n v="5.7920035350000001"/>
  </r>
  <r>
    <x v="0"/>
    <x v="13"/>
    <x v="61"/>
    <x v="23"/>
    <x v="57"/>
    <x v="8"/>
    <n v="0"/>
  </r>
  <r>
    <x v="0"/>
    <x v="13"/>
    <x v="61"/>
    <x v="24"/>
    <x v="57"/>
    <x v="8"/>
    <n v="0.682956059"/>
  </r>
  <r>
    <x v="0"/>
    <x v="13"/>
    <x v="61"/>
    <x v="25"/>
    <x v="57"/>
    <x v="8"/>
    <n v="0"/>
  </r>
  <r>
    <x v="0"/>
    <x v="13"/>
    <x v="61"/>
    <x v="26"/>
    <x v="57"/>
    <x v="8"/>
    <n v="0"/>
  </r>
  <r>
    <x v="0"/>
    <x v="13"/>
    <x v="61"/>
    <x v="27"/>
    <x v="57"/>
    <x v="8"/>
    <n v="2.9834588000000002"/>
  </r>
  <r>
    <x v="0"/>
    <x v="13"/>
    <x v="61"/>
    <x v="28"/>
    <x v="57"/>
    <x v="8"/>
    <n v="94.106407043999994"/>
  </r>
  <r>
    <x v="0"/>
    <x v="13"/>
    <x v="61"/>
    <x v="29"/>
    <x v="57"/>
    <x v="8"/>
    <n v="39.821284126000002"/>
  </r>
  <r>
    <x v="0"/>
    <x v="13"/>
    <x v="61"/>
    <x v="30"/>
    <x v="57"/>
    <x v="8"/>
    <n v="1.5381862740000001"/>
  </r>
  <r>
    <x v="0"/>
    <x v="13"/>
    <x v="61"/>
    <x v="31"/>
    <x v="57"/>
    <x v="8"/>
    <n v="10.227029494"/>
  </r>
  <r>
    <x v="0"/>
    <x v="13"/>
    <x v="61"/>
    <x v="32"/>
    <x v="57"/>
    <x v="8"/>
    <n v="4.539552681"/>
  </r>
  <r>
    <x v="0"/>
    <x v="13"/>
    <x v="61"/>
    <x v="33"/>
    <x v="57"/>
    <x v="8"/>
    <n v="0"/>
  </r>
  <r>
    <x v="0"/>
    <x v="13"/>
    <x v="61"/>
    <x v="34"/>
    <x v="57"/>
    <x v="8"/>
    <n v="25.861119087999999"/>
  </r>
  <r>
    <x v="0"/>
    <x v="13"/>
    <x v="61"/>
    <x v="35"/>
    <x v="57"/>
    <x v="8"/>
    <n v="0.16152461100000001"/>
  </r>
  <r>
    <x v="0"/>
    <x v="13"/>
    <x v="61"/>
    <x v="36"/>
    <x v="57"/>
    <x v="8"/>
    <n v="0.64452332999999995"/>
  </r>
  <r>
    <x v="0"/>
    <x v="13"/>
    <x v="61"/>
    <x v="37"/>
    <x v="57"/>
    <x v="8"/>
    <n v="0.39533816399999999"/>
  </r>
  <r>
    <x v="0"/>
    <x v="13"/>
    <x v="61"/>
    <x v="38"/>
    <x v="57"/>
    <x v="8"/>
    <n v="0.116457005"/>
  </r>
  <r>
    <x v="0"/>
    <x v="13"/>
    <x v="61"/>
    <x v="39"/>
    <x v="57"/>
    <x v="8"/>
    <n v="0.140277505"/>
  </r>
  <r>
    <x v="0"/>
    <x v="13"/>
    <x v="61"/>
    <x v="40"/>
    <x v="57"/>
    <x v="8"/>
    <n v="2.6476957240000001"/>
  </r>
  <r>
    <x v="0"/>
    <x v="13"/>
    <x v="61"/>
    <x v="41"/>
    <x v="57"/>
    <x v="8"/>
    <n v="0.22200755699999999"/>
  </r>
  <r>
    <x v="0"/>
    <x v="13"/>
    <x v="62"/>
    <x v="0"/>
    <x v="57"/>
    <x v="9"/>
    <n v="4.0572654E-2"/>
  </r>
  <r>
    <x v="0"/>
    <x v="13"/>
    <x v="62"/>
    <x v="1"/>
    <x v="57"/>
    <x v="9"/>
    <n v="4.0572654E-2"/>
  </r>
  <r>
    <x v="0"/>
    <x v="13"/>
    <x v="62"/>
    <x v="2"/>
    <x v="57"/>
    <x v="9"/>
    <n v="4.0572654E-2"/>
  </r>
  <r>
    <x v="0"/>
    <x v="13"/>
    <x v="62"/>
    <x v="3"/>
    <x v="57"/>
    <x v="9"/>
    <n v="4.0572654E-2"/>
  </r>
  <r>
    <x v="0"/>
    <x v="13"/>
    <x v="62"/>
    <x v="4"/>
    <x v="57"/>
    <x v="9"/>
    <n v="4.0572654E-2"/>
  </r>
  <r>
    <x v="0"/>
    <x v="13"/>
    <x v="62"/>
    <x v="5"/>
    <x v="57"/>
    <x v="9"/>
    <n v="4.0572654E-2"/>
  </r>
  <r>
    <x v="0"/>
    <x v="13"/>
    <x v="62"/>
    <x v="6"/>
    <x v="57"/>
    <x v="9"/>
    <n v="4.0572654E-2"/>
  </r>
  <r>
    <x v="0"/>
    <x v="13"/>
    <x v="62"/>
    <x v="7"/>
    <x v="57"/>
    <x v="9"/>
    <n v="4.0572654E-2"/>
  </r>
  <r>
    <x v="0"/>
    <x v="13"/>
    <x v="62"/>
    <x v="8"/>
    <x v="57"/>
    <x v="9"/>
    <n v="4.0572654E-2"/>
  </r>
  <r>
    <x v="0"/>
    <x v="13"/>
    <x v="62"/>
    <x v="9"/>
    <x v="57"/>
    <x v="9"/>
    <n v="4.0572654E-2"/>
  </r>
  <r>
    <x v="0"/>
    <x v="13"/>
    <x v="62"/>
    <x v="10"/>
    <x v="57"/>
    <x v="9"/>
    <n v="4.0572654E-2"/>
  </r>
  <r>
    <x v="0"/>
    <x v="13"/>
    <x v="62"/>
    <x v="11"/>
    <x v="57"/>
    <x v="9"/>
    <n v="4.0572654E-2"/>
  </r>
  <r>
    <x v="0"/>
    <x v="13"/>
    <x v="62"/>
    <x v="12"/>
    <x v="57"/>
    <x v="9"/>
    <n v="4.0572654E-2"/>
  </r>
  <r>
    <x v="0"/>
    <x v="13"/>
    <x v="62"/>
    <x v="13"/>
    <x v="57"/>
    <x v="9"/>
    <n v="4.0572654E-2"/>
  </r>
  <r>
    <x v="0"/>
    <x v="13"/>
    <x v="62"/>
    <x v="14"/>
    <x v="57"/>
    <x v="9"/>
    <n v="4.0572654E-2"/>
  </r>
  <r>
    <x v="0"/>
    <x v="13"/>
    <x v="62"/>
    <x v="15"/>
    <x v="57"/>
    <x v="9"/>
    <n v="4.0572654E-2"/>
  </r>
  <r>
    <x v="0"/>
    <x v="13"/>
    <x v="62"/>
    <x v="16"/>
    <x v="57"/>
    <x v="9"/>
    <n v="4.0572654E-2"/>
  </r>
  <r>
    <x v="0"/>
    <x v="13"/>
    <x v="62"/>
    <x v="17"/>
    <x v="57"/>
    <x v="9"/>
    <n v="4.0572654E-2"/>
  </r>
  <r>
    <x v="0"/>
    <x v="13"/>
    <x v="62"/>
    <x v="18"/>
    <x v="57"/>
    <x v="9"/>
    <n v="4.0572654E-2"/>
  </r>
  <r>
    <x v="0"/>
    <x v="13"/>
    <x v="62"/>
    <x v="19"/>
    <x v="57"/>
    <x v="9"/>
    <n v="4.0572654E-2"/>
  </r>
  <r>
    <x v="0"/>
    <x v="13"/>
    <x v="62"/>
    <x v="20"/>
    <x v="57"/>
    <x v="9"/>
    <n v="4.0572654E-2"/>
  </r>
  <r>
    <x v="0"/>
    <x v="13"/>
    <x v="62"/>
    <x v="21"/>
    <x v="57"/>
    <x v="9"/>
    <n v="4.0572654E-2"/>
  </r>
  <r>
    <x v="0"/>
    <x v="13"/>
    <x v="62"/>
    <x v="22"/>
    <x v="57"/>
    <x v="9"/>
    <n v="4.0572654E-2"/>
  </r>
  <r>
    <x v="0"/>
    <x v="13"/>
    <x v="62"/>
    <x v="23"/>
    <x v="57"/>
    <x v="9"/>
    <n v="1"/>
  </r>
  <r>
    <x v="0"/>
    <x v="13"/>
    <x v="62"/>
    <x v="24"/>
    <x v="57"/>
    <x v="9"/>
    <n v="4.0572654E-2"/>
  </r>
  <r>
    <x v="0"/>
    <x v="13"/>
    <x v="62"/>
    <x v="25"/>
    <x v="57"/>
    <x v="9"/>
    <n v="4.0572654E-2"/>
  </r>
  <r>
    <x v="0"/>
    <x v="13"/>
    <x v="62"/>
    <x v="26"/>
    <x v="57"/>
    <x v="9"/>
    <n v="1"/>
  </r>
  <r>
    <x v="0"/>
    <x v="13"/>
    <x v="62"/>
    <x v="27"/>
    <x v="57"/>
    <x v="9"/>
    <n v="4.0572654E-2"/>
  </r>
  <r>
    <x v="0"/>
    <x v="13"/>
    <x v="62"/>
    <x v="28"/>
    <x v="57"/>
    <x v="9"/>
    <n v="1"/>
  </r>
  <r>
    <x v="0"/>
    <x v="13"/>
    <x v="62"/>
    <x v="29"/>
    <x v="57"/>
    <x v="9"/>
    <n v="4.0572654E-2"/>
  </r>
  <r>
    <x v="0"/>
    <x v="13"/>
    <x v="62"/>
    <x v="30"/>
    <x v="57"/>
    <x v="9"/>
    <n v="4.0572654E-2"/>
  </r>
  <r>
    <x v="0"/>
    <x v="13"/>
    <x v="62"/>
    <x v="31"/>
    <x v="57"/>
    <x v="9"/>
    <n v="4.0572654E-2"/>
  </r>
  <r>
    <x v="0"/>
    <x v="13"/>
    <x v="62"/>
    <x v="32"/>
    <x v="57"/>
    <x v="9"/>
    <n v="4.0572654E-2"/>
  </r>
  <r>
    <x v="0"/>
    <x v="13"/>
    <x v="62"/>
    <x v="33"/>
    <x v="57"/>
    <x v="9"/>
    <n v="1"/>
  </r>
  <r>
    <x v="0"/>
    <x v="13"/>
    <x v="62"/>
    <x v="34"/>
    <x v="57"/>
    <x v="9"/>
    <n v="4.0572654E-2"/>
  </r>
  <r>
    <x v="0"/>
    <x v="13"/>
    <x v="62"/>
    <x v="35"/>
    <x v="57"/>
    <x v="9"/>
    <n v="4.0572654E-2"/>
  </r>
  <r>
    <x v="0"/>
    <x v="13"/>
    <x v="62"/>
    <x v="36"/>
    <x v="57"/>
    <x v="9"/>
    <n v="4.0572654E-2"/>
  </r>
  <r>
    <x v="0"/>
    <x v="13"/>
    <x v="62"/>
    <x v="37"/>
    <x v="57"/>
    <x v="9"/>
    <n v="4.0572654E-2"/>
  </r>
  <r>
    <x v="0"/>
    <x v="13"/>
    <x v="62"/>
    <x v="38"/>
    <x v="57"/>
    <x v="9"/>
    <n v="4.0572654E-2"/>
  </r>
  <r>
    <x v="0"/>
    <x v="13"/>
    <x v="62"/>
    <x v="39"/>
    <x v="57"/>
    <x v="9"/>
    <n v="4.0572654E-2"/>
  </r>
  <r>
    <x v="0"/>
    <x v="13"/>
    <x v="62"/>
    <x v="40"/>
    <x v="57"/>
    <x v="9"/>
    <n v="4.0572654E-2"/>
  </r>
  <r>
    <x v="0"/>
    <x v="13"/>
    <x v="62"/>
    <x v="41"/>
    <x v="57"/>
    <x v="9"/>
    <n v="4.0572654E-2"/>
  </r>
  <r>
    <x v="0"/>
    <x v="13"/>
    <x v="63"/>
    <x v="0"/>
    <x v="57"/>
    <x v="9"/>
    <n v="5.1386236000000002E-2"/>
  </r>
  <r>
    <x v="0"/>
    <x v="13"/>
    <x v="63"/>
    <x v="1"/>
    <x v="57"/>
    <x v="9"/>
    <n v="3.3858858999999998E-2"/>
  </r>
  <r>
    <x v="0"/>
    <x v="13"/>
    <x v="63"/>
    <x v="2"/>
    <x v="57"/>
    <x v="9"/>
    <n v="2.9092716000000001E-2"/>
  </r>
  <r>
    <x v="0"/>
    <x v="13"/>
    <x v="63"/>
    <x v="3"/>
    <x v="57"/>
    <x v="9"/>
    <n v="3.2645224E-2"/>
  </r>
  <r>
    <x v="0"/>
    <x v="13"/>
    <x v="63"/>
    <x v="4"/>
    <x v="57"/>
    <x v="9"/>
    <n v="3.0790901999999998E-2"/>
  </r>
  <r>
    <x v="0"/>
    <x v="13"/>
    <x v="63"/>
    <x v="5"/>
    <x v="57"/>
    <x v="9"/>
    <n v="3.3713327000000001E-2"/>
  </r>
  <r>
    <x v="0"/>
    <x v="13"/>
    <x v="63"/>
    <x v="6"/>
    <x v="57"/>
    <x v="9"/>
    <n v="3.2192123000000003E-2"/>
  </r>
  <r>
    <x v="0"/>
    <x v="13"/>
    <x v="63"/>
    <x v="7"/>
    <x v="57"/>
    <x v="9"/>
    <n v="3.3064691E-2"/>
  </r>
  <r>
    <x v="0"/>
    <x v="13"/>
    <x v="63"/>
    <x v="8"/>
    <x v="57"/>
    <x v="9"/>
    <n v="3.1799946000000003E-2"/>
  </r>
  <r>
    <x v="0"/>
    <x v="13"/>
    <x v="63"/>
    <x v="9"/>
    <x v="57"/>
    <x v="9"/>
    <n v="2.8111331999999999E-2"/>
  </r>
  <r>
    <x v="0"/>
    <x v="13"/>
    <x v="63"/>
    <x v="10"/>
    <x v="57"/>
    <x v="9"/>
    <n v="2.2382395999999999E-2"/>
  </r>
  <r>
    <x v="0"/>
    <x v="13"/>
    <x v="63"/>
    <x v="11"/>
    <x v="57"/>
    <x v="9"/>
    <n v="2.6250780000000001E-2"/>
  </r>
  <r>
    <x v="0"/>
    <x v="13"/>
    <x v="63"/>
    <x v="12"/>
    <x v="57"/>
    <x v="9"/>
    <n v="2.8033514999999998E-2"/>
  </r>
  <r>
    <x v="0"/>
    <x v="13"/>
    <x v="63"/>
    <x v="13"/>
    <x v="57"/>
    <x v="9"/>
    <n v="2.4021081E-2"/>
  </r>
  <r>
    <x v="0"/>
    <x v="13"/>
    <x v="63"/>
    <x v="14"/>
    <x v="57"/>
    <x v="9"/>
    <n v="2.5804298999999999E-2"/>
  </r>
  <r>
    <x v="0"/>
    <x v="13"/>
    <x v="63"/>
    <x v="15"/>
    <x v="57"/>
    <x v="9"/>
    <n v="2.8875096999999999E-2"/>
  </r>
  <r>
    <x v="0"/>
    <x v="13"/>
    <x v="63"/>
    <x v="16"/>
    <x v="57"/>
    <x v="9"/>
    <n v="2.9769117000000001E-2"/>
  </r>
  <r>
    <x v="0"/>
    <x v="13"/>
    <x v="63"/>
    <x v="17"/>
    <x v="57"/>
    <x v="9"/>
    <n v="2.8834459999999999E-2"/>
  </r>
  <r>
    <x v="0"/>
    <x v="13"/>
    <x v="63"/>
    <x v="18"/>
    <x v="57"/>
    <x v="9"/>
    <n v="2.6281163999999999E-2"/>
  </r>
  <r>
    <x v="0"/>
    <x v="13"/>
    <x v="63"/>
    <x v="19"/>
    <x v="57"/>
    <x v="9"/>
    <n v="3.0989856E-2"/>
  </r>
  <r>
    <x v="0"/>
    <x v="13"/>
    <x v="63"/>
    <x v="20"/>
    <x v="57"/>
    <x v="9"/>
    <n v="3.0489143E-2"/>
  </r>
  <r>
    <x v="0"/>
    <x v="13"/>
    <x v="63"/>
    <x v="21"/>
    <x v="57"/>
    <x v="9"/>
    <n v="2.8216921999999998E-2"/>
  </r>
  <r>
    <x v="0"/>
    <x v="13"/>
    <x v="63"/>
    <x v="22"/>
    <x v="57"/>
    <x v="9"/>
    <n v="1.5414539E-2"/>
  </r>
  <r>
    <x v="0"/>
    <x v="13"/>
    <x v="63"/>
    <x v="23"/>
    <x v="57"/>
    <x v="9"/>
    <n v="1"/>
  </r>
  <r>
    <x v="0"/>
    <x v="13"/>
    <x v="63"/>
    <x v="24"/>
    <x v="57"/>
    <x v="9"/>
    <n v="2.4328064999999999E-2"/>
  </r>
  <r>
    <x v="0"/>
    <x v="13"/>
    <x v="63"/>
    <x v="25"/>
    <x v="57"/>
    <x v="9"/>
    <n v="1"/>
  </r>
  <r>
    <x v="0"/>
    <x v="13"/>
    <x v="63"/>
    <x v="26"/>
    <x v="57"/>
    <x v="9"/>
    <n v="1"/>
  </r>
  <r>
    <x v="0"/>
    <x v="13"/>
    <x v="63"/>
    <x v="27"/>
    <x v="57"/>
    <x v="9"/>
    <n v="3.2150797000000002E-2"/>
  </r>
  <r>
    <x v="0"/>
    <x v="13"/>
    <x v="63"/>
    <x v="28"/>
    <x v="57"/>
    <x v="9"/>
    <n v="3.3387780999999998E-2"/>
  </r>
  <r>
    <x v="0"/>
    <x v="13"/>
    <x v="63"/>
    <x v="29"/>
    <x v="57"/>
    <x v="9"/>
    <n v="2.8598651999999999E-2"/>
  </r>
  <r>
    <x v="0"/>
    <x v="13"/>
    <x v="63"/>
    <x v="30"/>
    <x v="57"/>
    <x v="9"/>
    <n v="4.0051508999999999E-2"/>
  </r>
  <r>
    <x v="0"/>
    <x v="13"/>
    <x v="63"/>
    <x v="31"/>
    <x v="57"/>
    <x v="9"/>
    <n v="2.6570313000000002E-2"/>
  </r>
  <r>
    <x v="0"/>
    <x v="13"/>
    <x v="63"/>
    <x v="32"/>
    <x v="57"/>
    <x v="9"/>
    <n v="2.8107485000000001E-2"/>
  </r>
  <r>
    <x v="0"/>
    <x v="13"/>
    <x v="63"/>
    <x v="33"/>
    <x v="57"/>
    <x v="9"/>
    <n v="1"/>
  </r>
  <r>
    <x v="0"/>
    <x v="13"/>
    <x v="63"/>
    <x v="34"/>
    <x v="57"/>
    <x v="9"/>
    <n v="2.9220415E-2"/>
  </r>
  <r>
    <x v="0"/>
    <x v="13"/>
    <x v="63"/>
    <x v="35"/>
    <x v="57"/>
    <x v="9"/>
    <n v="2.9442177999999999E-2"/>
  </r>
  <r>
    <x v="0"/>
    <x v="13"/>
    <x v="63"/>
    <x v="36"/>
    <x v="57"/>
    <x v="9"/>
    <n v="3.0743494999999999E-2"/>
  </r>
  <r>
    <x v="0"/>
    <x v="13"/>
    <x v="63"/>
    <x v="37"/>
    <x v="57"/>
    <x v="9"/>
    <n v="3.9450532000000003E-2"/>
  </r>
  <r>
    <x v="0"/>
    <x v="13"/>
    <x v="63"/>
    <x v="38"/>
    <x v="57"/>
    <x v="9"/>
    <n v="4.9754226999999998E-2"/>
  </r>
  <r>
    <x v="0"/>
    <x v="13"/>
    <x v="63"/>
    <x v="39"/>
    <x v="57"/>
    <x v="9"/>
    <n v="3.7587589999999997E-2"/>
  </r>
  <r>
    <x v="0"/>
    <x v="13"/>
    <x v="63"/>
    <x v="40"/>
    <x v="57"/>
    <x v="9"/>
    <n v="3.6409591999999998E-2"/>
  </r>
  <r>
    <x v="0"/>
    <x v="13"/>
    <x v="63"/>
    <x v="41"/>
    <x v="57"/>
    <x v="9"/>
    <n v="4.0872250999999998E-2"/>
  </r>
  <r>
    <x v="0"/>
    <x v="13"/>
    <x v="64"/>
    <x v="0"/>
    <x v="57"/>
    <x v="10"/>
    <n v="0"/>
  </r>
  <r>
    <x v="0"/>
    <x v="13"/>
    <x v="64"/>
    <x v="1"/>
    <x v="57"/>
    <x v="10"/>
    <n v="0"/>
  </r>
  <r>
    <x v="0"/>
    <x v="13"/>
    <x v="64"/>
    <x v="2"/>
    <x v="57"/>
    <x v="10"/>
    <n v="0"/>
  </r>
  <r>
    <x v="0"/>
    <x v="13"/>
    <x v="64"/>
    <x v="3"/>
    <x v="57"/>
    <x v="10"/>
    <n v="0"/>
  </r>
  <r>
    <x v="0"/>
    <x v="13"/>
    <x v="64"/>
    <x v="4"/>
    <x v="57"/>
    <x v="10"/>
    <n v="0"/>
  </r>
  <r>
    <x v="0"/>
    <x v="13"/>
    <x v="64"/>
    <x v="5"/>
    <x v="57"/>
    <x v="10"/>
    <n v="0"/>
  </r>
  <r>
    <x v="0"/>
    <x v="13"/>
    <x v="64"/>
    <x v="6"/>
    <x v="57"/>
    <x v="10"/>
    <n v="0"/>
  </r>
  <r>
    <x v="0"/>
    <x v="13"/>
    <x v="64"/>
    <x v="7"/>
    <x v="57"/>
    <x v="10"/>
    <n v="0"/>
  </r>
  <r>
    <x v="0"/>
    <x v="13"/>
    <x v="64"/>
    <x v="8"/>
    <x v="57"/>
    <x v="10"/>
    <n v="0"/>
  </r>
  <r>
    <x v="0"/>
    <x v="13"/>
    <x v="64"/>
    <x v="9"/>
    <x v="57"/>
    <x v="10"/>
    <n v="0"/>
  </r>
  <r>
    <x v="0"/>
    <x v="13"/>
    <x v="64"/>
    <x v="10"/>
    <x v="57"/>
    <x v="10"/>
    <n v="0"/>
  </r>
  <r>
    <x v="0"/>
    <x v="13"/>
    <x v="64"/>
    <x v="11"/>
    <x v="57"/>
    <x v="10"/>
    <n v="0"/>
  </r>
  <r>
    <x v="0"/>
    <x v="13"/>
    <x v="64"/>
    <x v="12"/>
    <x v="57"/>
    <x v="10"/>
    <n v="0"/>
  </r>
  <r>
    <x v="0"/>
    <x v="13"/>
    <x v="64"/>
    <x v="13"/>
    <x v="57"/>
    <x v="10"/>
    <n v="0"/>
  </r>
  <r>
    <x v="0"/>
    <x v="13"/>
    <x v="64"/>
    <x v="14"/>
    <x v="57"/>
    <x v="10"/>
    <n v="0"/>
  </r>
  <r>
    <x v="0"/>
    <x v="13"/>
    <x v="64"/>
    <x v="15"/>
    <x v="57"/>
    <x v="10"/>
    <n v="0"/>
  </r>
  <r>
    <x v="0"/>
    <x v="13"/>
    <x v="64"/>
    <x v="16"/>
    <x v="57"/>
    <x v="10"/>
    <n v="0"/>
  </r>
  <r>
    <x v="0"/>
    <x v="13"/>
    <x v="64"/>
    <x v="17"/>
    <x v="57"/>
    <x v="10"/>
    <n v="0"/>
  </r>
  <r>
    <x v="0"/>
    <x v="13"/>
    <x v="64"/>
    <x v="18"/>
    <x v="57"/>
    <x v="10"/>
    <n v="0"/>
  </r>
  <r>
    <x v="0"/>
    <x v="13"/>
    <x v="64"/>
    <x v="19"/>
    <x v="57"/>
    <x v="10"/>
    <n v="0"/>
  </r>
  <r>
    <x v="0"/>
    <x v="13"/>
    <x v="64"/>
    <x v="20"/>
    <x v="57"/>
    <x v="10"/>
    <n v="0"/>
  </r>
  <r>
    <x v="0"/>
    <x v="13"/>
    <x v="64"/>
    <x v="21"/>
    <x v="57"/>
    <x v="10"/>
    <n v="0"/>
  </r>
  <r>
    <x v="0"/>
    <x v="13"/>
    <x v="64"/>
    <x v="22"/>
    <x v="57"/>
    <x v="10"/>
    <n v="0"/>
  </r>
  <r>
    <x v="0"/>
    <x v="13"/>
    <x v="64"/>
    <x v="23"/>
    <x v="57"/>
    <x v="10"/>
    <n v="0"/>
  </r>
  <r>
    <x v="0"/>
    <x v="13"/>
    <x v="64"/>
    <x v="24"/>
    <x v="57"/>
    <x v="10"/>
    <n v="0"/>
  </r>
  <r>
    <x v="0"/>
    <x v="13"/>
    <x v="64"/>
    <x v="25"/>
    <x v="57"/>
    <x v="10"/>
    <n v="0"/>
  </r>
  <r>
    <x v="0"/>
    <x v="13"/>
    <x v="64"/>
    <x v="26"/>
    <x v="57"/>
    <x v="10"/>
    <n v="0"/>
  </r>
  <r>
    <x v="0"/>
    <x v="13"/>
    <x v="64"/>
    <x v="27"/>
    <x v="57"/>
    <x v="10"/>
    <n v="0"/>
  </r>
  <r>
    <x v="0"/>
    <x v="13"/>
    <x v="64"/>
    <x v="28"/>
    <x v="57"/>
    <x v="10"/>
    <n v="0"/>
  </r>
  <r>
    <x v="0"/>
    <x v="13"/>
    <x v="64"/>
    <x v="29"/>
    <x v="57"/>
    <x v="10"/>
    <n v="0"/>
  </r>
  <r>
    <x v="0"/>
    <x v="13"/>
    <x v="64"/>
    <x v="30"/>
    <x v="57"/>
    <x v="10"/>
    <n v="0"/>
  </r>
  <r>
    <x v="0"/>
    <x v="13"/>
    <x v="64"/>
    <x v="31"/>
    <x v="57"/>
    <x v="10"/>
    <n v="0"/>
  </r>
  <r>
    <x v="0"/>
    <x v="13"/>
    <x v="64"/>
    <x v="32"/>
    <x v="57"/>
    <x v="10"/>
    <n v="0"/>
  </r>
  <r>
    <x v="0"/>
    <x v="13"/>
    <x v="64"/>
    <x v="33"/>
    <x v="57"/>
    <x v="10"/>
    <n v="0"/>
  </r>
  <r>
    <x v="0"/>
    <x v="13"/>
    <x v="64"/>
    <x v="34"/>
    <x v="57"/>
    <x v="10"/>
    <n v="0"/>
  </r>
  <r>
    <x v="0"/>
    <x v="13"/>
    <x v="64"/>
    <x v="35"/>
    <x v="57"/>
    <x v="10"/>
    <n v="0"/>
  </r>
  <r>
    <x v="0"/>
    <x v="13"/>
    <x v="64"/>
    <x v="36"/>
    <x v="57"/>
    <x v="10"/>
    <n v="0"/>
  </r>
  <r>
    <x v="0"/>
    <x v="13"/>
    <x v="64"/>
    <x v="37"/>
    <x v="57"/>
    <x v="10"/>
    <n v="0"/>
  </r>
  <r>
    <x v="0"/>
    <x v="13"/>
    <x v="64"/>
    <x v="38"/>
    <x v="57"/>
    <x v="10"/>
    <n v="0"/>
  </r>
  <r>
    <x v="0"/>
    <x v="13"/>
    <x v="64"/>
    <x v="39"/>
    <x v="57"/>
    <x v="10"/>
    <n v="0"/>
  </r>
  <r>
    <x v="0"/>
    <x v="13"/>
    <x v="64"/>
    <x v="40"/>
    <x v="57"/>
    <x v="10"/>
    <n v="0"/>
  </r>
  <r>
    <x v="0"/>
    <x v="13"/>
    <x v="64"/>
    <x v="41"/>
    <x v="57"/>
    <x v="10"/>
    <n v="0"/>
  </r>
  <r>
    <x v="0"/>
    <x v="13"/>
    <x v="65"/>
    <x v="48"/>
    <x v="58"/>
    <x v="11"/>
    <n v="1889.8949683830001"/>
  </r>
  <r>
    <x v="0"/>
    <x v="13"/>
    <x v="65"/>
    <x v="49"/>
    <x v="58"/>
    <x v="11"/>
    <n v="1828.3404136879999"/>
  </r>
  <r>
    <x v="0"/>
    <x v="13"/>
    <x v="66"/>
    <x v="48"/>
    <x v="58"/>
    <x v="12"/>
    <n v="7.4373702E-2"/>
  </r>
  <r>
    <x v="0"/>
    <x v="13"/>
    <x v="66"/>
    <x v="49"/>
    <x v="58"/>
    <x v="12"/>
    <n v="7.1951323999999997E-2"/>
  </r>
  <r>
    <x v="0"/>
    <x v="14"/>
    <x v="0"/>
    <x v="0"/>
    <x v="0"/>
    <x v="0"/>
    <n v="780.13325855000005"/>
  </r>
  <r>
    <x v="0"/>
    <x v="14"/>
    <x v="1"/>
    <x v="0"/>
    <x v="0"/>
    <x v="1"/>
    <n v="0.104845545"/>
  </r>
  <r>
    <x v="0"/>
    <x v="14"/>
    <x v="2"/>
    <x v="0"/>
    <x v="0"/>
    <x v="1"/>
    <n v="298.08027638200002"/>
  </r>
  <r>
    <x v="0"/>
    <x v="14"/>
    <x v="3"/>
    <x v="0"/>
    <x v="0"/>
    <x v="1"/>
    <n v="0.127418794"/>
  </r>
  <r>
    <x v="0"/>
    <x v="14"/>
    <x v="0"/>
    <x v="1"/>
    <x v="0"/>
    <x v="0"/>
    <n v="246.543907464"/>
  </r>
  <r>
    <x v="0"/>
    <x v="14"/>
    <x v="1"/>
    <x v="1"/>
    <x v="0"/>
    <x v="1"/>
    <n v="5.8706034999999997E-2"/>
  </r>
  <r>
    <x v="0"/>
    <x v="14"/>
    <x v="2"/>
    <x v="1"/>
    <x v="0"/>
    <x v="1"/>
    <n v="150.25366250799999"/>
  </r>
  <r>
    <x v="0"/>
    <x v="14"/>
    <x v="3"/>
    <x v="1"/>
    <x v="0"/>
    <x v="1"/>
    <n v="7.4298498000000004E-2"/>
  </r>
  <r>
    <x v="0"/>
    <x v="14"/>
    <x v="0"/>
    <x v="2"/>
    <x v="0"/>
    <x v="0"/>
    <n v="289.74694323900002"/>
  </r>
  <r>
    <x v="0"/>
    <x v="14"/>
    <x v="1"/>
    <x v="2"/>
    <x v="0"/>
    <x v="1"/>
    <n v="3.7105243000000003E-2"/>
  </r>
  <r>
    <x v="0"/>
    <x v="14"/>
    <x v="2"/>
    <x v="2"/>
    <x v="0"/>
    <x v="1"/>
    <n v="166.07642767999999"/>
  </r>
  <r>
    <x v="0"/>
    <x v="14"/>
    <x v="3"/>
    <x v="2"/>
    <x v="0"/>
    <x v="1"/>
    <n v="2.5424307E-2"/>
  </r>
  <r>
    <x v="0"/>
    <x v="14"/>
    <x v="0"/>
    <x v="3"/>
    <x v="0"/>
    <x v="0"/>
    <n v="135.75914770599999"/>
  </r>
  <r>
    <x v="0"/>
    <x v="14"/>
    <x v="1"/>
    <x v="3"/>
    <x v="0"/>
    <x v="1"/>
    <n v="4.8357911000000003E-2"/>
  </r>
  <r>
    <x v="0"/>
    <x v="14"/>
    <x v="2"/>
    <x v="3"/>
    <x v="0"/>
    <x v="1"/>
    <n v="92.464732139000006"/>
  </r>
  <r>
    <x v="0"/>
    <x v="14"/>
    <x v="3"/>
    <x v="3"/>
    <x v="0"/>
    <x v="1"/>
    <n v="5.5878949999999997E-2"/>
  </r>
  <r>
    <x v="0"/>
    <x v="14"/>
    <x v="0"/>
    <x v="4"/>
    <x v="0"/>
    <x v="0"/>
    <n v="65.788894889000005"/>
  </r>
  <r>
    <x v="0"/>
    <x v="14"/>
    <x v="1"/>
    <x v="4"/>
    <x v="0"/>
    <x v="1"/>
    <n v="5.2452026999999998E-2"/>
  </r>
  <r>
    <x v="0"/>
    <x v="14"/>
    <x v="2"/>
    <x v="4"/>
    <x v="0"/>
    <x v="1"/>
    <n v="44.266428398999999"/>
  </r>
  <r>
    <x v="0"/>
    <x v="14"/>
    <x v="3"/>
    <x v="4"/>
    <x v="0"/>
    <x v="1"/>
    <n v="6.5559573999999995E-2"/>
  </r>
  <r>
    <x v="0"/>
    <x v="14"/>
    <x v="0"/>
    <x v="5"/>
    <x v="0"/>
    <x v="0"/>
    <n v="672.17171731400003"/>
  </r>
  <r>
    <x v="0"/>
    <x v="14"/>
    <x v="1"/>
    <x v="5"/>
    <x v="0"/>
    <x v="1"/>
    <n v="7.1605351999999997E-2"/>
  </r>
  <r>
    <x v="0"/>
    <x v="14"/>
    <x v="2"/>
    <x v="5"/>
    <x v="0"/>
    <x v="1"/>
    <n v="561.65049948000001"/>
  </r>
  <r>
    <x v="0"/>
    <x v="14"/>
    <x v="3"/>
    <x v="5"/>
    <x v="0"/>
    <x v="1"/>
    <n v="4.4992041000000003E-2"/>
  </r>
  <r>
    <x v="0"/>
    <x v="14"/>
    <x v="0"/>
    <x v="6"/>
    <x v="0"/>
    <x v="0"/>
    <n v="219.728990815"/>
  </r>
  <r>
    <x v="0"/>
    <x v="14"/>
    <x v="1"/>
    <x v="6"/>
    <x v="0"/>
    <x v="1"/>
    <n v="6.5365879000000002E-2"/>
  </r>
  <r>
    <x v="0"/>
    <x v="14"/>
    <x v="2"/>
    <x v="6"/>
    <x v="0"/>
    <x v="1"/>
    <n v="183.91624860100001"/>
  </r>
  <r>
    <x v="0"/>
    <x v="14"/>
    <x v="3"/>
    <x v="6"/>
    <x v="0"/>
    <x v="1"/>
    <n v="6.0927357000000001E-2"/>
  </r>
  <r>
    <x v="0"/>
    <x v="14"/>
    <x v="0"/>
    <x v="7"/>
    <x v="0"/>
    <x v="0"/>
    <n v="145.31810230900001"/>
  </r>
  <r>
    <x v="0"/>
    <x v="14"/>
    <x v="1"/>
    <x v="7"/>
    <x v="0"/>
    <x v="1"/>
    <n v="6.3130868000000007E-2"/>
  </r>
  <r>
    <x v="0"/>
    <x v="14"/>
    <x v="2"/>
    <x v="7"/>
    <x v="0"/>
    <x v="1"/>
    <n v="118.199647411"/>
  </r>
  <r>
    <x v="0"/>
    <x v="14"/>
    <x v="3"/>
    <x v="7"/>
    <x v="0"/>
    <x v="1"/>
    <n v="7.1985798000000004E-2"/>
  </r>
  <r>
    <x v="0"/>
    <x v="14"/>
    <x v="0"/>
    <x v="8"/>
    <x v="0"/>
    <x v="0"/>
    <n v="98.872076340999996"/>
  </r>
  <r>
    <x v="0"/>
    <x v="14"/>
    <x v="1"/>
    <x v="8"/>
    <x v="0"/>
    <x v="1"/>
    <n v="5.9846756000000001E-2"/>
  </r>
  <r>
    <x v="0"/>
    <x v="14"/>
    <x v="2"/>
    <x v="8"/>
    <x v="0"/>
    <x v="1"/>
    <n v="80.732914131000001"/>
  </r>
  <r>
    <x v="0"/>
    <x v="14"/>
    <x v="3"/>
    <x v="8"/>
    <x v="0"/>
    <x v="1"/>
    <n v="5.8361947999999997E-2"/>
  </r>
  <r>
    <x v="0"/>
    <x v="14"/>
    <x v="0"/>
    <x v="9"/>
    <x v="0"/>
    <x v="0"/>
    <n v="265.90304102300001"/>
  </r>
  <r>
    <x v="0"/>
    <x v="14"/>
    <x v="1"/>
    <x v="9"/>
    <x v="0"/>
    <x v="1"/>
    <n v="5.3553795000000001E-2"/>
  </r>
  <r>
    <x v="0"/>
    <x v="14"/>
    <x v="2"/>
    <x v="9"/>
    <x v="0"/>
    <x v="1"/>
    <n v="212.924298755"/>
  </r>
  <r>
    <x v="0"/>
    <x v="14"/>
    <x v="3"/>
    <x v="9"/>
    <x v="0"/>
    <x v="1"/>
    <n v="6.2708103000000001E-2"/>
  </r>
  <r>
    <x v="0"/>
    <x v="14"/>
    <x v="0"/>
    <x v="10"/>
    <x v="0"/>
    <x v="0"/>
    <n v="395.842716698"/>
  </r>
  <r>
    <x v="0"/>
    <x v="14"/>
    <x v="1"/>
    <x v="10"/>
    <x v="0"/>
    <x v="1"/>
    <n v="3.8130790999999997E-2"/>
  </r>
  <r>
    <x v="0"/>
    <x v="14"/>
    <x v="2"/>
    <x v="10"/>
    <x v="0"/>
    <x v="1"/>
    <n v="362.60831150799999"/>
  </r>
  <r>
    <x v="0"/>
    <x v="14"/>
    <x v="3"/>
    <x v="10"/>
    <x v="0"/>
    <x v="1"/>
    <n v="4.4790588999999999E-2"/>
  </r>
  <r>
    <x v="0"/>
    <x v="14"/>
    <x v="0"/>
    <x v="11"/>
    <x v="0"/>
    <x v="0"/>
    <n v="1046.678179856"/>
  </r>
  <r>
    <x v="0"/>
    <x v="14"/>
    <x v="1"/>
    <x v="11"/>
    <x v="0"/>
    <x v="1"/>
    <n v="4.7394778999999998E-2"/>
  </r>
  <r>
    <x v="0"/>
    <x v="14"/>
    <x v="2"/>
    <x v="11"/>
    <x v="0"/>
    <x v="1"/>
    <n v="879.48750024200001"/>
  </r>
  <r>
    <x v="0"/>
    <x v="14"/>
    <x v="3"/>
    <x v="11"/>
    <x v="0"/>
    <x v="1"/>
    <n v="4.0794997999999999E-2"/>
  </r>
  <r>
    <x v="0"/>
    <x v="14"/>
    <x v="0"/>
    <x v="12"/>
    <x v="0"/>
    <x v="0"/>
    <n v="262.275966557"/>
  </r>
  <r>
    <x v="0"/>
    <x v="14"/>
    <x v="1"/>
    <x v="12"/>
    <x v="0"/>
    <x v="1"/>
    <n v="4.8090530999999999E-2"/>
  </r>
  <r>
    <x v="0"/>
    <x v="14"/>
    <x v="2"/>
    <x v="12"/>
    <x v="0"/>
    <x v="1"/>
    <n v="210.11991634699999"/>
  </r>
  <r>
    <x v="0"/>
    <x v="14"/>
    <x v="3"/>
    <x v="12"/>
    <x v="0"/>
    <x v="1"/>
    <n v="5.3566060999999998E-2"/>
  </r>
  <r>
    <x v="0"/>
    <x v="14"/>
    <x v="0"/>
    <x v="13"/>
    <x v="0"/>
    <x v="0"/>
    <n v="749.50691215200004"/>
  </r>
  <r>
    <x v="0"/>
    <x v="14"/>
    <x v="1"/>
    <x v="13"/>
    <x v="0"/>
    <x v="1"/>
    <n v="3.9314191999999998E-2"/>
  </r>
  <r>
    <x v="0"/>
    <x v="14"/>
    <x v="2"/>
    <x v="13"/>
    <x v="0"/>
    <x v="1"/>
    <n v="636.08332600999995"/>
  </r>
  <r>
    <x v="0"/>
    <x v="14"/>
    <x v="3"/>
    <x v="13"/>
    <x v="0"/>
    <x v="1"/>
    <n v="3.5298955999999999E-2"/>
  </r>
  <r>
    <x v="0"/>
    <x v="14"/>
    <x v="0"/>
    <x v="14"/>
    <x v="0"/>
    <x v="0"/>
    <n v="207.543711997"/>
  </r>
  <r>
    <x v="0"/>
    <x v="14"/>
    <x v="1"/>
    <x v="14"/>
    <x v="0"/>
    <x v="1"/>
    <n v="4.4952183E-2"/>
  </r>
  <r>
    <x v="0"/>
    <x v="14"/>
    <x v="2"/>
    <x v="14"/>
    <x v="0"/>
    <x v="1"/>
    <n v="173.22054186599999"/>
  </r>
  <r>
    <x v="0"/>
    <x v="14"/>
    <x v="3"/>
    <x v="14"/>
    <x v="0"/>
    <x v="1"/>
    <n v="5.7073209E-2"/>
  </r>
  <r>
    <x v="0"/>
    <x v="14"/>
    <x v="0"/>
    <x v="15"/>
    <x v="0"/>
    <x v="0"/>
    <n v="224.652580465"/>
  </r>
  <r>
    <x v="0"/>
    <x v="14"/>
    <x v="1"/>
    <x v="15"/>
    <x v="0"/>
    <x v="1"/>
    <n v="4.8241649999999997E-2"/>
  </r>
  <r>
    <x v="0"/>
    <x v="14"/>
    <x v="2"/>
    <x v="15"/>
    <x v="0"/>
    <x v="1"/>
    <n v="185.60531815799999"/>
  </r>
  <r>
    <x v="0"/>
    <x v="14"/>
    <x v="3"/>
    <x v="15"/>
    <x v="0"/>
    <x v="1"/>
    <n v="6.2251632000000001E-2"/>
  </r>
  <r>
    <x v="0"/>
    <x v="14"/>
    <x v="0"/>
    <x v="16"/>
    <x v="0"/>
    <x v="0"/>
    <n v="143.68899599299999"/>
  </r>
  <r>
    <x v="0"/>
    <x v="14"/>
    <x v="1"/>
    <x v="16"/>
    <x v="0"/>
    <x v="1"/>
    <n v="4.8883326999999997E-2"/>
  </r>
  <r>
    <x v="0"/>
    <x v="14"/>
    <x v="2"/>
    <x v="16"/>
    <x v="0"/>
    <x v="1"/>
    <n v="117.421354081"/>
  </r>
  <r>
    <x v="0"/>
    <x v="14"/>
    <x v="3"/>
    <x v="16"/>
    <x v="0"/>
    <x v="1"/>
    <n v="6.1474751000000001E-2"/>
  </r>
  <r>
    <x v="0"/>
    <x v="14"/>
    <x v="0"/>
    <x v="17"/>
    <x v="0"/>
    <x v="0"/>
    <n v="337.81005902599998"/>
  </r>
  <r>
    <x v="0"/>
    <x v="14"/>
    <x v="1"/>
    <x v="17"/>
    <x v="0"/>
    <x v="1"/>
    <n v="4.9379300000000001E-2"/>
  </r>
  <r>
    <x v="0"/>
    <x v="14"/>
    <x v="2"/>
    <x v="17"/>
    <x v="0"/>
    <x v="1"/>
    <n v="282.51812124600002"/>
  </r>
  <r>
    <x v="0"/>
    <x v="14"/>
    <x v="3"/>
    <x v="17"/>
    <x v="0"/>
    <x v="1"/>
    <n v="5.9537477999999998E-2"/>
  </r>
  <r>
    <x v="0"/>
    <x v="14"/>
    <x v="0"/>
    <x v="18"/>
    <x v="0"/>
    <x v="0"/>
    <n v="291.284544498"/>
  </r>
  <r>
    <x v="0"/>
    <x v="14"/>
    <x v="1"/>
    <x v="18"/>
    <x v="0"/>
    <x v="1"/>
    <n v="4.4852392999999997E-2"/>
  </r>
  <r>
    <x v="0"/>
    <x v="14"/>
    <x v="2"/>
    <x v="18"/>
    <x v="0"/>
    <x v="1"/>
    <n v="249.916246492"/>
  </r>
  <r>
    <x v="0"/>
    <x v="14"/>
    <x v="3"/>
    <x v="18"/>
    <x v="0"/>
    <x v="1"/>
    <n v="4.9195087999999998E-2"/>
  </r>
  <r>
    <x v="0"/>
    <x v="14"/>
    <x v="0"/>
    <x v="19"/>
    <x v="0"/>
    <x v="0"/>
    <n v="347.98027763800002"/>
  </r>
  <r>
    <x v="0"/>
    <x v="14"/>
    <x v="1"/>
    <x v="19"/>
    <x v="0"/>
    <x v="1"/>
    <n v="4.9378140000000001E-2"/>
  </r>
  <r>
    <x v="0"/>
    <x v="14"/>
    <x v="2"/>
    <x v="19"/>
    <x v="0"/>
    <x v="1"/>
    <n v="294.960842888"/>
  </r>
  <r>
    <x v="0"/>
    <x v="14"/>
    <x v="3"/>
    <x v="19"/>
    <x v="0"/>
    <x v="1"/>
    <n v="6.7253006000000004E-2"/>
  </r>
  <r>
    <x v="0"/>
    <x v="14"/>
    <x v="0"/>
    <x v="20"/>
    <x v="0"/>
    <x v="0"/>
    <n v="46.476462091000002"/>
  </r>
  <r>
    <x v="0"/>
    <x v="14"/>
    <x v="1"/>
    <x v="20"/>
    <x v="0"/>
    <x v="1"/>
    <n v="4.7944713999999999E-2"/>
  </r>
  <r>
    <x v="0"/>
    <x v="14"/>
    <x v="2"/>
    <x v="20"/>
    <x v="0"/>
    <x v="1"/>
    <n v="37.262397229999998"/>
  </r>
  <r>
    <x v="0"/>
    <x v="14"/>
    <x v="3"/>
    <x v="20"/>
    <x v="0"/>
    <x v="1"/>
    <n v="5.5747296000000002E-2"/>
  </r>
  <r>
    <x v="0"/>
    <x v="14"/>
    <x v="0"/>
    <x v="21"/>
    <x v="0"/>
    <x v="0"/>
    <n v="19.223825447999999"/>
  </r>
  <r>
    <x v="0"/>
    <x v="14"/>
    <x v="1"/>
    <x v="21"/>
    <x v="0"/>
    <x v="1"/>
    <n v="5.4732393999999997E-2"/>
  </r>
  <r>
    <x v="0"/>
    <x v="14"/>
    <x v="2"/>
    <x v="21"/>
    <x v="0"/>
    <x v="1"/>
    <n v="15.744784723"/>
  </r>
  <r>
    <x v="0"/>
    <x v="14"/>
    <x v="3"/>
    <x v="21"/>
    <x v="0"/>
    <x v="1"/>
    <n v="6.4249887000000006E-2"/>
  </r>
  <r>
    <x v="0"/>
    <x v="14"/>
    <x v="0"/>
    <x v="22"/>
    <x v="0"/>
    <x v="0"/>
    <n v="84.443455005000004"/>
  </r>
  <r>
    <x v="0"/>
    <x v="14"/>
    <x v="1"/>
    <x v="22"/>
    <x v="0"/>
    <x v="1"/>
    <n v="1.1180338E-2"/>
  </r>
  <r>
    <x v="0"/>
    <x v="14"/>
    <x v="2"/>
    <x v="22"/>
    <x v="0"/>
    <x v="1"/>
    <n v="20.29321187"/>
  </r>
  <r>
    <x v="0"/>
    <x v="14"/>
    <x v="3"/>
    <x v="22"/>
    <x v="0"/>
    <x v="1"/>
    <n v="2.240836E-3"/>
  </r>
  <r>
    <x v="0"/>
    <x v="14"/>
    <x v="0"/>
    <x v="23"/>
    <x v="0"/>
    <x v="0"/>
    <n v="8.3354689620000002"/>
  </r>
  <r>
    <x v="0"/>
    <x v="14"/>
    <x v="1"/>
    <x v="23"/>
    <x v="0"/>
    <x v="1"/>
    <n v="5.5180616000000002E-2"/>
  </r>
  <r>
    <x v="0"/>
    <x v="14"/>
    <x v="2"/>
    <x v="23"/>
    <x v="0"/>
    <x v="1"/>
    <n v="6.8738769599999996"/>
  </r>
  <r>
    <x v="0"/>
    <x v="14"/>
    <x v="3"/>
    <x v="23"/>
    <x v="0"/>
    <x v="1"/>
    <n v="9.9680571999999995E-2"/>
  </r>
  <r>
    <x v="0"/>
    <x v="14"/>
    <x v="0"/>
    <x v="24"/>
    <x v="0"/>
    <x v="0"/>
    <n v="439.96481732799998"/>
  </r>
  <r>
    <x v="0"/>
    <x v="14"/>
    <x v="1"/>
    <x v="24"/>
    <x v="0"/>
    <x v="1"/>
    <n v="4.2316988E-2"/>
  </r>
  <r>
    <x v="0"/>
    <x v="14"/>
    <x v="2"/>
    <x v="24"/>
    <x v="0"/>
    <x v="1"/>
    <n v="345.05350934099999"/>
  </r>
  <r>
    <x v="0"/>
    <x v="14"/>
    <x v="3"/>
    <x v="24"/>
    <x v="0"/>
    <x v="1"/>
    <n v="3.1702067E-2"/>
  </r>
  <r>
    <x v="0"/>
    <x v="14"/>
    <x v="0"/>
    <x v="25"/>
    <x v="0"/>
    <x v="0"/>
    <n v="23.528212662000001"/>
  </r>
  <r>
    <x v="0"/>
    <x v="14"/>
    <x v="1"/>
    <x v="25"/>
    <x v="0"/>
    <x v="1"/>
    <n v="3.6202994000000002E-2"/>
  </r>
  <r>
    <x v="0"/>
    <x v="14"/>
    <x v="2"/>
    <x v="25"/>
    <x v="0"/>
    <x v="1"/>
    <n v="18.958088609000001"/>
  </r>
  <r>
    <x v="0"/>
    <x v="14"/>
    <x v="3"/>
    <x v="25"/>
    <x v="0"/>
    <x v="1"/>
    <n v="2.8553042000000001E-2"/>
  </r>
  <r>
    <x v="0"/>
    <x v="14"/>
    <x v="0"/>
    <x v="26"/>
    <x v="0"/>
    <x v="0"/>
    <n v="11.025310487"/>
  </r>
  <r>
    <x v="0"/>
    <x v="14"/>
    <x v="1"/>
    <x v="26"/>
    <x v="0"/>
    <x v="1"/>
    <n v="5.3480803E-2"/>
  </r>
  <r>
    <x v="0"/>
    <x v="14"/>
    <x v="2"/>
    <x v="26"/>
    <x v="0"/>
    <x v="1"/>
    <n v="6.5275868189999997"/>
  </r>
  <r>
    <x v="0"/>
    <x v="14"/>
    <x v="3"/>
    <x v="26"/>
    <x v="0"/>
    <x v="1"/>
    <n v="6.1768083000000001E-2"/>
  </r>
  <r>
    <x v="0"/>
    <x v="14"/>
    <x v="0"/>
    <x v="27"/>
    <x v="0"/>
    <x v="0"/>
    <n v="524.60062643000003"/>
  </r>
  <r>
    <x v="0"/>
    <x v="14"/>
    <x v="1"/>
    <x v="27"/>
    <x v="0"/>
    <x v="1"/>
    <n v="5.5287912000000002E-2"/>
  </r>
  <r>
    <x v="0"/>
    <x v="14"/>
    <x v="2"/>
    <x v="27"/>
    <x v="0"/>
    <x v="1"/>
    <n v="404.69033793400001"/>
  </r>
  <r>
    <x v="0"/>
    <x v="14"/>
    <x v="3"/>
    <x v="27"/>
    <x v="0"/>
    <x v="1"/>
    <n v="8.4871667999999997E-2"/>
  </r>
  <r>
    <x v="0"/>
    <x v="14"/>
    <x v="0"/>
    <x v="28"/>
    <x v="0"/>
    <x v="0"/>
    <n v="649.97078018699995"/>
  </r>
  <r>
    <x v="0"/>
    <x v="14"/>
    <x v="1"/>
    <x v="28"/>
    <x v="0"/>
    <x v="1"/>
    <n v="4.4583587000000001E-2"/>
  </r>
  <r>
    <x v="0"/>
    <x v="14"/>
    <x v="2"/>
    <x v="28"/>
    <x v="0"/>
    <x v="1"/>
    <n v="347.994505769"/>
  </r>
  <r>
    <x v="0"/>
    <x v="14"/>
    <x v="3"/>
    <x v="28"/>
    <x v="0"/>
    <x v="1"/>
    <n v="4.4697366000000002E-2"/>
  </r>
  <r>
    <x v="0"/>
    <x v="14"/>
    <x v="0"/>
    <x v="29"/>
    <x v="0"/>
    <x v="0"/>
    <n v="583.25351665000005"/>
  </r>
  <r>
    <x v="0"/>
    <x v="14"/>
    <x v="1"/>
    <x v="29"/>
    <x v="0"/>
    <x v="1"/>
    <n v="4.8701281999999999E-2"/>
  </r>
  <r>
    <x v="0"/>
    <x v="14"/>
    <x v="2"/>
    <x v="29"/>
    <x v="0"/>
    <x v="1"/>
    <n v="374.35413073799998"/>
  </r>
  <r>
    <x v="0"/>
    <x v="14"/>
    <x v="3"/>
    <x v="29"/>
    <x v="0"/>
    <x v="1"/>
    <n v="5.2521700999999997E-2"/>
  </r>
  <r>
    <x v="0"/>
    <x v="14"/>
    <x v="0"/>
    <x v="30"/>
    <x v="0"/>
    <x v="0"/>
    <n v="146.23328129800001"/>
  </r>
  <r>
    <x v="0"/>
    <x v="14"/>
    <x v="1"/>
    <x v="30"/>
    <x v="0"/>
    <x v="1"/>
    <n v="7.5952331999999997E-2"/>
  </r>
  <r>
    <x v="0"/>
    <x v="14"/>
    <x v="2"/>
    <x v="30"/>
    <x v="0"/>
    <x v="1"/>
    <n v="91.848847535999994"/>
  </r>
  <r>
    <x v="0"/>
    <x v="14"/>
    <x v="3"/>
    <x v="30"/>
    <x v="0"/>
    <x v="1"/>
    <n v="8.9187448000000003E-2"/>
  </r>
  <r>
    <x v="0"/>
    <x v="14"/>
    <x v="0"/>
    <x v="31"/>
    <x v="0"/>
    <x v="0"/>
    <n v="212.584106671"/>
  </r>
  <r>
    <x v="0"/>
    <x v="14"/>
    <x v="1"/>
    <x v="31"/>
    <x v="0"/>
    <x v="1"/>
    <n v="3.8035697E-2"/>
  </r>
  <r>
    <x v="0"/>
    <x v="14"/>
    <x v="2"/>
    <x v="31"/>
    <x v="0"/>
    <x v="1"/>
    <n v="116.89025658"/>
  </r>
  <r>
    <x v="0"/>
    <x v="14"/>
    <x v="3"/>
    <x v="31"/>
    <x v="0"/>
    <x v="1"/>
    <n v="2.9429618000000001E-2"/>
  </r>
  <r>
    <x v="0"/>
    <x v="14"/>
    <x v="0"/>
    <x v="32"/>
    <x v="0"/>
    <x v="0"/>
    <n v="680.573684845"/>
  </r>
  <r>
    <x v="0"/>
    <x v="14"/>
    <x v="1"/>
    <x v="32"/>
    <x v="0"/>
    <x v="1"/>
    <n v="3.9472981999999997E-2"/>
  </r>
  <r>
    <x v="0"/>
    <x v="14"/>
    <x v="2"/>
    <x v="32"/>
    <x v="0"/>
    <x v="1"/>
    <n v="320.11284426499998"/>
  </r>
  <r>
    <x v="0"/>
    <x v="14"/>
    <x v="3"/>
    <x v="32"/>
    <x v="0"/>
    <x v="1"/>
    <n v="3.2983720000000001E-2"/>
  </r>
  <r>
    <x v="0"/>
    <x v="14"/>
    <x v="0"/>
    <x v="33"/>
    <x v="0"/>
    <x v="0"/>
    <n v="619.63328089699996"/>
  </r>
  <r>
    <x v="0"/>
    <x v="14"/>
    <x v="1"/>
    <x v="33"/>
    <x v="0"/>
    <x v="1"/>
    <n v="2.3074345999999999E-2"/>
  </r>
  <r>
    <x v="0"/>
    <x v="14"/>
    <x v="2"/>
    <x v="33"/>
    <x v="0"/>
    <x v="1"/>
    <n v="238.736511648"/>
  </r>
  <r>
    <x v="0"/>
    <x v="14"/>
    <x v="3"/>
    <x v="33"/>
    <x v="0"/>
    <x v="1"/>
    <n v="1.0389512E-2"/>
  </r>
  <r>
    <x v="0"/>
    <x v="14"/>
    <x v="0"/>
    <x v="34"/>
    <x v="0"/>
    <x v="0"/>
    <n v="341.24489671200001"/>
  </r>
  <r>
    <x v="0"/>
    <x v="14"/>
    <x v="1"/>
    <x v="34"/>
    <x v="0"/>
    <x v="1"/>
    <n v="5.2686216000000001E-2"/>
  </r>
  <r>
    <x v="0"/>
    <x v="14"/>
    <x v="2"/>
    <x v="34"/>
    <x v="0"/>
    <x v="1"/>
    <n v="241.20711839800001"/>
  </r>
  <r>
    <x v="0"/>
    <x v="14"/>
    <x v="3"/>
    <x v="34"/>
    <x v="0"/>
    <x v="1"/>
    <n v="5.9971015000000003E-2"/>
  </r>
  <r>
    <x v="0"/>
    <x v="14"/>
    <x v="0"/>
    <x v="35"/>
    <x v="0"/>
    <x v="0"/>
    <n v="276.64186693300002"/>
  </r>
  <r>
    <x v="0"/>
    <x v="14"/>
    <x v="1"/>
    <x v="35"/>
    <x v="0"/>
    <x v="1"/>
    <n v="5.5009632000000003E-2"/>
  </r>
  <r>
    <x v="0"/>
    <x v="14"/>
    <x v="2"/>
    <x v="35"/>
    <x v="0"/>
    <x v="1"/>
    <n v="181.625238405"/>
  </r>
  <r>
    <x v="0"/>
    <x v="14"/>
    <x v="3"/>
    <x v="35"/>
    <x v="0"/>
    <x v="1"/>
    <n v="6.4685146999999998E-2"/>
  </r>
  <r>
    <x v="0"/>
    <x v="14"/>
    <x v="0"/>
    <x v="36"/>
    <x v="0"/>
    <x v="0"/>
    <n v="95.961977227999995"/>
  </r>
  <r>
    <x v="0"/>
    <x v="14"/>
    <x v="1"/>
    <x v="36"/>
    <x v="0"/>
    <x v="1"/>
    <n v="6.0114135999999999E-2"/>
  </r>
  <r>
    <x v="0"/>
    <x v="14"/>
    <x v="2"/>
    <x v="36"/>
    <x v="0"/>
    <x v="1"/>
    <n v="56.686999997000001"/>
  </r>
  <r>
    <x v="0"/>
    <x v="14"/>
    <x v="3"/>
    <x v="36"/>
    <x v="0"/>
    <x v="1"/>
    <n v="6.7201711999999997E-2"/>
  </r>
  <r>
    <x v="0"/>
    <x v="14"/>
    <x v="0"/>
    <x v="37"/>
    <x v="0"/>
    <x v="0"/>
    <n v="103.81131862300001"/>
  </r>
  <r>
    <x v="0"/>
    <x v="14"/>
    <x v="1"/>
    <x v="37"/>
    <x v="0"/>
    <x v="1"/>
    <n v="6.7828638999999996E-2"/>
  </r>
  <r>
    <x v="0"/>
    <x v="14"/>
    <x v="2"/>
    <x v="37"/>
    <x v="0"/>
    <x v="1"/>
    <n v="54.559083024000003"/>
  </r>
  <r>
    <x v="0"/>
    <x v="14"/>
    <x v="3"/>
    <x v="37"/>
    <x v="0"/>
    <x v="1"/>
    <n v="8.9687816000000004E-2"/>
  </r>
  <r>
    <x v="0"/>
    <x v="14"/>
    <x v="0"/>
    <x v="38"/>
    <x v="0"/>
    <x v="0"/>
    <n v="337.010573174"/>
  </r>
  <r>
    <x v="0"/>
    <x v="14"/>
    <x v="1"/>
    <x v="38"/>
    <x v="0"/>
    <x v="1"/>
    <n v="9.5299785999999997E-2"/>
  </r>
  <r>
    <x v="0"/>
    <x v="14"/>
    <x v="2"/>
    <x v="38"/>
    <x v="0"/>
    <x v="1"/>
    <n v="91.016144385000004"/>
  </r>
  <r>
    <x v="0"/>
    <x v="14"/>
    <x v="3"/>
    <x v="38"/>
    <x v="0"/>
    <x v="1"/>
    <n v="0.110639799"/>
  </r>
  <r>
    <x v="0"/>
    <x v="14"/>
    <x v="0"/>
    <x v="39"/>
    <x v="0"/>
    <x v="0"/>
    <n v="181.97161242999999"/>
  </r>
  <r>
    <x v="0"/>
    <x v="14"/>
    <x v="1"/>
    <x v="39"/>
    <x v="0"/>
    <x v="1"/>
    <n v="7.3740069000000005E-2"/>
  </r>
  <r>
    <x v="0"/>
    <x v="14"/>
    <x v="2"/>
    <x v="39"/>
    <x v="0"/>
    <x v="1"/>
    <n v="104.14860900799999"/>
  </r>
  <r>
    <x v="0"/>
    <x v="14"/>
    <x v="3"/>
    <x v="39"/>
    <x v="0"/>
    <x v="1"/>
    <n v="0.107484122"/>
  </r>
  <r>
    <x v="0"/>
    <x v="14"/>
    <x v="0"/>
    <x v="40"/>
    <x v="0"/>
    <x v="0"/>
    <n v="66.022235425000005"/>
  </r>
  <r>
    <x v="0"/>
    <x v="14"/>
    <x v="1"/>
    <x v="40"/>
    <x v="0"/>
    <x v="1"/>
    <n v="6.0178388999999999E-2"/>
  </r>
  <r>
    <x v="0"/>
    <x v="14"/>
    <x v="2"/>
    <x v="40"/>
    <x v="0"/>
    <x v="1"/>
    <n v="35.385074285999998"/>
  </r>
  <r>
    <x v="0"/>
    <x v="14"/>
    <x v="3"/>
    <x v="40"/>
    <x v="0"/>
    <x v="1"/>
    <n v="6.6416739000000002E-2"/>
  </r>
  <r>
    <x v="0"/>
    <x v="14"/>
    <x v="0"/>
    <x v="41"/>
    <x v="0"/>
    <x v="0"/>
    <n v="733.365727107"/>
  </r>
  <r>
    <x v="0"/>
    <x v="14"/>
    <x v="1"/>
    <x v="41"/>
    <x v="0"/>
    <x v="1"/>
    <n v="8.8614651000000003E-2"/>
  </r>
  <r>
    <x v="0"/>
    <x v="14"/>
    <x v="2"/>
    <x v="41"/>
    <x v="0"/>
    <x v="1"/>
    <n v="295.12152673000003"/>
  </r>
  <r>
    <x v="0"/>
    <x v="14"/>
    <x v="3"/>
    <x v="41"/>
    <x v="0"/>
    <x v="1"/>
    <n v="0.11202242599999999"/>
  </r>
  <r>
    <x v="0"/>
    <x v="14"/>
    <x v="4"/>
    <x v="0"/>
    <x v="1"/>
    <x v="0"/>
    <n v="263.84797162000001"/>
  </r>
  <r>
    <x v="0"/>
    <x v="14"/>
    <x v="5"/>
    <x v="0"/>
    <x v="1"/>
    <x v="1"/>
    <n v="2.2833999999999999E-5"/>
  </r>
  <r>
    <x v="0"/>
    <x v="14"/>
    <x v="6"/>
    <x v="0"/>
    <x v="1"/>
    <x v="1"/>
    <n v="0.55905639600000001"/>
  </r>
  <r>
    <x v="0"/>
    <x v="14"/>
    <x v="4"/>
    <x v="1"/>
    <x v="1"/>
    <x v="0"/>
    <n v="390.67391029300001"/>
  </r>
  <r>
    <x v="0"/>
    <x v="14"/>
    <x v="5"/>
    <x v="1"/>
    <x v="1"/>
    <x v="1"/>
    <n v="2.7892999999999999E-5"/>
  </r>
  <r>
    <x v="0"/>
    <x v="14"/>
    <x v="6"/>
    <x v="1"/>
    <x v="1"/>
    <x v="1"/>
    <n v="0.55905639600000001"/>
  </r>
  <r>
    <x v="0"/>
    <x v="14"/>
    <x v="4"/>
    <x v="2"/>
    <x v="1"/>
    <x v="0"/>
    <n v="611.35094668299996"/>
  </r>
  <r>
    <x v="0"/>
    <x v="14"/>
    <x v="5"/>
    <x v="2"/>
    <x v="1"/>
    <x v="1"/>
    <n v="7.1025999999999994E-5"/>
  </r>
  <r>
    <x v="0"/>
    <x v="14"/>
    <x v="6"/>
    <x v="2"/>
    <x v="1"/>
    <x v="1"/>
    <n v="0.55905639600000001"/>
  </r>
  <r>
    <x v="0"/>
    <x v="14"/>
    <x v="4"/>
    <x v="3"/>
    <x v="1"/>
    <x v="0"/>
    <n v="227.815316115"/>
  </r>
  <r>
    <x v="0"/>
    <x v="14"/>
    <x v="5"/>
    <x v="3"/>
    <x v="1"/>
    <x v="1"/>
    <n v="2.4433000000000001E-5"/>
  </r>
  <r>
    <x v="0"/>
    <x v="14"/>
    <x v="6"/>
    <x v="3"/>
    <x v="1"/>
    <x v="1"/>
    <n v="0.55905639600000001"/>
  </r>
  <r>
    <x v="0"/>
    <x v="14"/>
    <x v="4"/>
    <x v="4"/>
    <x v="1"/>
    <x v="0"/>
    <n v="102.07261234000001"/>
  </r>
  <r>
    <x v="0"/>
    <x v="14"/>
    <x v="5"/>
    <x v="4"/>
    <x v="1"/>
    <x v="1"/>
    <n v="2.3966000000000001E-5"/>
  </r>
  <r>
    <x v="0"/>
    <x v="14"/>
    <x v="6"/>
    <x v="4"/>
    <x v="1"/>
    <x v="1"/>
    <n v="0.55905639600000001"/>
  </r>
  <r>
    <x v="0"/>
    <x v="14"/>
    <x v="4"/>
    <x v="5"/>
    <x v="1"/>
    <x v="0"/>
    <n v="769.51111109999999"/>
  </r>
  <r>
    <x v="0"/>
    <x v="14"/>
    <x v="5"/>
    <x v="5"/>
    <x v="1"/>
    <x v="1"/>
    <n v="1.1721E-5"/>
  </r>
  <r>
    <x v="0"/>
    <x v="14"/>
    <x v="6"/>
    <x v="5"/>
    <x v="1"/>
    <x v="1"/>
    <n v="0.55905639600000001"/>
  </r>
  <r>
    <x v="0"/>
    <x v="14"/>
    <x v="4"/>
    <x v="6"/>
    <x v="1"/>
    <x v="0"/>
    <n v="231.42603738299999"/>
  </r>
  <r>
    <x v="0"/>
    <x v="14"/>
    <x v="5"/>
    <x v="6"/>
    <x v="1"/>
    <x v="1"/>
    <n v="8.6119999999999999E-6"/>
  </r>
  <r>
    <x v="0"/>
    <x v="14"/>
    <x v="6"/>
    <x v="6"/>
    <x v="1"/>
    <x v="1"/>
    <n v="0.55905639600000001"/>
  </r>
  <r>
    <x v="0"/>
    <x v="14"/>
    <x v="4"/>
    <x v="7"/>
    <x v="1"/>
    <x v="0"/>
    <n v="164.34511602200001"/>
  </r>
  <r>
    <x v="0"/>
    <x v="14"/>
    <x v="5"/>
    <x v="7"/>
    <x v="1"/>
    <x v="1"/>
    <n v="6.3600000000000001E-6"/>
  </r>
  <r>
    <x v="0"/>
    <x v="14"/>
    <x v="6"/>
    <x v="7"/>
    <x v="1"/>
    <x v="1"/>
    <n v="0.55905639600000001"/>
  </r>
  <r>
    <x v="0"/>
    <x v="14"/>
    <x v="4"/>
    <x v="8"/>
    <x v="1"/>
    <x v="0"/>
    <n v="128.47207827099999"/>
  </r>
  <r>
    <x v="0"/>
    <x v="14"/>
    <x v="5"/>
    <x v="8"/>
    <x v="1"/>
    <x v="1"/>
    <n v="6.674E-6"/>
  </r>
  <r>
    <x v="0"/>
    <x v="14"/>
    <x v="6"/>
    <x v="8"/>
    <x v="1"/>
    <x v="1"/>
    <n v="0.55905639600000001"/>
  </r>
  <r>
    <x v="0"/>
    <x v="14"/>
    <x v="4"/>
    <x v="9"/>
    <x v="1"/>
    <x v="0"/>
    <n v="277.67864558899998"/>
  </r>
  <r>
    <x v="0"/>
    <x v="14"/>
    <x v="5"/>
    <x v="9"/>
    <x v="1"/>
    <x v="1"/>
    <n v="1.8397999999999999E-5"/>
  </r>
  <r>
    <x v="0"/>
    <x v="14"/>
    <x v="6"/>
    <x v="9"/>
    <x v="1"/>
    <x v="1"/>
    <n v="0.55905639600000001"/>
  </r>
  <r>
    <x v="0"/>
    <x v="14"/>
    <x v="4"/>
    <x v="10"/>
    <x v="1"/>
    <x v="0"/>
    <n v="206.31518419"/>
  </r>
  <r>
    <x v="0"/>
    <x v="14"/>
    <x v="5"/>
    <x v="10"/>
    <x v="1"/>
    <x v="1"/>
    <n v="1.8703999999999999E-5"/>
  </r>
  <r>
    <x v="0"/>
    <x v="14"/>
    <x v="6"/>
    <x v="10"/>
    <x v="1"/>
    <x v="1"/>
    <n v="0.55905639600000001"/>
  </r>
  <r>
    <x v="0"/>
    <x v="14"/>
    <x v="4"/>
    <x v="11"/>
    <x v="1"/>
    <x v="0"/>
    <n v="1146.960136141"/>
  </r>
  <r>
    <x v="0"/>
    <x v="14"/>
    <x v="5"/>
    <x v="11"/>
    <x v="1"/>
    <x v="1"/>
    <n v="1.4069E-5"/>
  </r>
  <r>
    <x v="0"/>
    <x v="14"/>
    <x v="6"/>
    <x v="11"/>
    <x v="1"/>
    <x v="1"/>
    <n v="0.55905639600000001"/>
  </r>
  <r>
    <x v="0"/>
    <x v="14"/>
    <x v="4"/>
    <x v="12"/>
    <x v="1"/>
    <x v="0"/>
    <n v="379.99752993499999"/>
  </r>
  <r>
    <x v="0"/>
    <x v="14"/>
    <x v="5"/>
    <x v="12"/>
    <x v="1"/>
    <x v="1"/>
    <n v="7.2420000000000003E-6"/>
  </r>
  <r>
    <x v="0"/>
    <x v="14"/>
    <x v="6"/>
    <x v="12"/>
    <x v="1"/>
    <x v="1"/>
    <n v="0.55905639600000001"/>
  </r>
  <r>
    <x v="0"/>
    <x v="14"/>
    <x v="4"/>
    <x v="13"/>
    <x v="1"/>
    <x v="0"/>
    <n v="911.31372188600005"/>
  </r>
  <r>
    <x v="0"/>
    <x v="14"/>
    <x v="5"/>
    <x v="13"/>
    <x v="1"/>
    <x v="1"/>
    <n v="8.5469999999999997E-6"/>
  </r>
  <r>
    <x v="0"/>
    <x v="14"/>
    <x v="6"/>
    <x v="13"/>
    <x v="1"/>
    <x v="1"/>
    <n v="0.55905639600000001"/>
  </r>
  <r>
    <x v="0"/>
    <x v="14"/>
    <x v="4"/>
    <x v="14"/>
    <x v="1"/>
    <x v="0"/>
    <n v="225.61563572599999"/>
  </r>
  <r>
    <x v="0"/>
    <x v="14"/>
    <x v="5"/>
    <x v="14"/>
    <x v="1"/>
    <x v="1"/>
    <n v="9.5079999999999994E-6"/>
  </r>
  <r>
    <x v="0"/>
    <x v="14"/>
    <x v="6"/>
    <x v="14"/>
    <x v="1"/>
    <x v="1"/>
    <n v="0.55905639600000001"/>
  </r>
  <r>
    <x v="0"/>
    <x v="14"/>
    <x v="4"/>
    <x v="15"/>
    <x v="1"/>
    <x v="0"/>
    <n v="261.97111879300002"/>
  </r>
  <r>
    <x v="0"/>
    <x v="14"/>
    <x v="5"/>
    <x v="15"/>
    <x v="1"/>
    <x v="1"/>
    <n v="6.9720000000000003E-6"/>
  </r>
  <r>
    <x v="0"/>
    <x v="14"/>
    <x v="6"/>
    <x v="15"/>
    <x v="1"/>
    <x v="1"/>
    <n v="0.55905639600000001"/>
  </r>
  <r>
    <x v="0"/>
    <x v="14"/>
    <x v="4"/>
    <x v="16"/>
    <x v="1"/>
    <x v="0"/>
    <n v="190.082464305"/>
  </r>
  <r>
    <x v="0"/>
    <x v="14"/>
    <x v="5"/>
    <x v="16"/>
    <x v="1"/>
    <x v="1"/>
    <n v="5.3349999999999997E-6"/>
  </r>
  <r>
    <x v="0"/>
    <x v="14"/>
    <x v="6"/>
    <x v="16"/>
    <x v="1"/>
    <x v="1"/>
    <n v="0.55905639600000001"/>
  </r>
  <r>
    <x v="0"/>
    <x v="14"/>
    <x v="4"/>
    <x v="17"/>
    <x v="1"/>
    <x v="0"/>
    <n v="387.47998549200003"/>
  </r>
  <r>
    <x v="0"/>
    <x v="14"/>
    <x v="5"/>
    <x v="17"/>
    <x v="1"/>
    <x v="1"/>
    <n v="6.618E-6"/>
  </r>
  <r>
    <x v="0"/>
    <x v="14"/>
    <x v="6"/>
    <x v="17"/>
    <x v="1"/>
    <x v="1"/>
    <n v="0.55905639600000001"/>
  </r>
  <r>
    <x v="0"/>
    <x v="14"/>
    <x v="4"/>
    <x v="18"/>
    <x v="1"/>
    <x v="0"/>
    <n v="311.64862178099997"/>
  </r>
  <r>
    <x v="0"/>
    <x v="14"/>
    <x v="5"/>
    <x v="18"/>
    <x v="1"/>
    <x v="1"/>
    <n v="7.435E-6"/>
  </r>
  <r>
    <x v="0"/>
    <x v="14"/>
    <x v="6"/>
    <x v="18"/>
    <x v="1"/>
    <x v="1"/>
    <n v="0.55905639600000001"/>
  </r>
  <r>
    <x v="0"/>
    <x v="14"/>
    <x v="4"/>
    <x v="19"/>
    <x v="1"/>
    <x v="0"/>
    <n v="330.61510578999997"/>
  </r>
  <r>
    <x v="0"/>
    <x v="14"/>
    <x v="5"/>
    <x v="19"/>
    <x v="1"/>
    <x v="1"/>
    <n v="7.3220000000000004E-6"/>
  </r>
  <r>
    <x v="0"/>
    <x v="14"/>
    <x v="6"/>
    <x v="19"/>
    <x v="1"/>
    <x v="1"/>
    <n v="0.55905639600000001"/>
  </r>
  <r>
    <x v="0"/>
    <x v="14"/>
    <x v="4"/>
    <x v="20"/>
    <x v="1"/>
    <x v="0"/>
    <n v="54.303423299999999"/>
  </r>
  <r>
    <x v="0"/>
    <x v="14"/>
    <x v="5"/>
    <x v="20"/>
    <x v="1"/>
    <x v="1"/>
    <n v="1.5566999999999999E-5"/>
  </r>
  <r>
    <x v="0"/>
    <x v="14"/>
    <x v="6"/>
    <x v="20"/>
    <x v="1"/>
    <x v="1"/>
    <n v="0.55905639600000001"/>
  </r>
  <r>
    <x v="0"/>
    <x v="14"/>
    <x v="4"/>
    <x v="21"/>
    <x v="1"/>
    <x v="0"/>
    <n v="19.277544630000001"/>
  </r>
  <r>
    <x v="0"/>
    <x v="14"/>
    <x v="5"/>
    <x v="21"/>
    <x v="1"/>
    <x v="1"/>
    <n v="1.3668E-5"/>
  </r>
  <r>
    <x v="0"/>
    <x v="14"/>
    <x v="6"/>
    <x v="21"/>
    <x v="1"/>
    <x v="1"/>
    <n v="0.55905639600000001"/>
  </r>
  <r>
    <x v="0"/>
    <x v="14"/>
    <x v="4"/>
    <x v="22"/>
    <x v="1"/>
    <x v="0"/>
    <n v="329.58504378399999"/>
  </r>
  <r>
    <x v="0"/>
    <x v="14"/>
    <x v="5"/>
    <x v="22"/>
    <x v="1"/>
    <x v="1"/>
    <n v="1.7518999999999999E-5"/>
  </r>
  <r>
    <x v="0"/>
    <x v="14"/>
    <x v="6"/>
    <x v="22"/>
    <x v="1"/>
    <x v="1"/>
    <n v="0.55905639600000001"/>
  </r>
  <r>
    <x v="0"/>
    <x v="14"/>
    <x v="4"/>
    <x v="23"/>
    <x v="1"/>
    <x v="0"/>
    <n v="3.8130507840000001"/>
  </r>
  <r>
    <x v="0"/>
    <x v="14"/>
    <x v="5"/>
    <x v="23"/>
    <x v="1"/>
    <x v="1"/>
    <n v="2.1277999999999999E-5"/>
  </r>
  <r>
    <x v="0"/>
    <x v="14"/>
    <x v="6"/>
    <x v="23"/>
    <x v="1"/>
    <x v="1"/>
    <n v="0.55905639600000001"/>
  </r>
  <r>
    <x v="0"/>
    <x v="14"/>
    <x v="4"/>
    <x v="24"/>
    <x v="1"/>
    <x v="0"/>
    <n v="691.00068837699996"/>
  </r>
  <r>
    <x v="0"/>
    <x v="14"/>
    <x v="5"/>
    <x v="24"/>
    <x v="1"/>
    <x v="1"/>
    <n v="1.3647E-5"/>
  </r>
  <r>
    <x v="0"/>
    <x v="14"/>
    <x v="6"/>
    <x v="24"/>
    <x v="1"/>
    <x v="1"/>
    <n v="0.55905639600000001"/>
  </r>
  <r>
    <x v="0"/>
    <x v="14"/>
    <x v="4"/>
    <x v="25"/>
    <x v="1"/>
    <x v="0"/>
    <n v="37.005070772000003"/>
  </r>
  <r>
    <x v="0"/>
    <x v="14"/>
    <x v="5"/>
    <x v="25"/>
    <x v="1"/>
    <x v="1"/>
    <n v="9.3670000000000003E-6"/>
  </r>
  <r>
    <x v="0"/>
    <x v="14"/>
    <x v="6"/>
    <x v="25"/>
    <x v="1"/>
    <x v="1"/>
    <n v="0.55905639600000001"/>
  </r>
  <r>
    <x v="0"/>
    <x v="14"/>
    <x v="4"/>
    <x v="26"/>
    <x v="1"/>
    <x v="0"/>
    <n v="27.773611115000001"/>
  </r>
  <r>
    <x v="0"/>
    <x v="14"/>
    <x v="5"/>
    <x v="26"/>
    <x v="1"/>
    <x v="1"/>
    <n v="9.9459999999999993E-6"/>
  </r>
  <r>
    <x v="0"/>
    <x v="14"/>
    <x v="6"/>
    <x v="26"/>
    <x v="1"/>
    <x v="1"/>
    <n v="0.55905639600000001"/>
  </r>
  <r>
    <x v="0"/>
    <x v="14"/>
    <x v="4"/>
    <x v="27"/>
    <x v="1"/>
    <x v="0"/>
    <n v="651.42202806"/>
  </r>
  <r>
    <x v="0"/>
    <x v="14"/>
    <x v="5"/>
    <x v="27"/>
    <x v="1"/>
    <x v="1"/>
    <n v="4.267E-6"/>
  </r>
  <r>
    <x v="0"/>
    <x v="14"/>
    <x v="6"/>
    <x v="27"/>
    <x v="1"/>
    <x v="1"/>
    <n v="0.55905639600000001"/>
  </r>
  <r>
    <x v="0"/>
    <x v="14"/>
    <x v="4"/>
    <x v="28"/>
    <x v="1"/>
    <x v="0"/>
    <n v="1957.587790345"/>
  </r>
  <r>
    <x v="0"/>
    <x v="14"/>
    <x v="5"/>
    <x v="28"/>
    <x v="1"/>
    <x v="1"/>
    <n v="1.5760000000000002E-5"/>
  </r>
  <r>
    <x v="0"/>
    <x v="14"/>
    <x v="6"/>
    <x v="28"/>
    <x v="1"/>
    <x v="1"/>
    <n v="0.55905639600000001"/>
  </r>
  <r>
    <x v="0"/>
    <x v="14"/>
    <x v="4"/>
    <x v="29"/>
    <x v="1"/>
    <x v="0"/>
    <n v="1220.4676218300001"/>
  </r>
  <r>
    <x v="0"/>
    <x v="14"/>
    <x v="5"/>
    <x v="29"/>
    <x v="1"/>
    <x v="1"/>
    <n v="1.8295E-5"/>
  </r>
  <r>
    <x v="0"/>
    <x v="14"/>
    <x v="6"/>
    <x v="29"/>
    <x v="1"/>
    <x v="1"/>
    <n v="0.55905639600000001"/>
  </r>
  <r>
    <x v="0"/>
    <x v="14"/>
    <x v="4"/>
    <x v="30"/>
    <x v="1"/>
    <x v="0"/>
    <n v="214.95053299099999"/>
  </r>
  <r>
    <x v="0"/>
    <x v="14"/>
    <x v="5"/>
    <x v="30"/>
    <x v="1"/>
    <x v="1"/>
    <n v="1.0890000000000001E-5"/>
  </r>
  <r>
    <x v="0"/>
    <x v="14"/>
    <x v="6"/>
    <x v="30"/>
    <x v="1"/>
    <x v="1"/>
    <n v="0.55905639600000001"/>
  </r>
  <r>
    <x v="0"/>
    <x v="14"/>
    <x v="4"/>
    <x v="31"/>
    <x v="1"/>
    <x v="0"/>
    <n v="729.89777129200002"/>
  </r>
  <r>
    <x v="0"/>
    <x v="14"/>
    <x v="5"/>
    <x v="31"/>
    <x v="1"/>
    <x v="1"/>
    <n v="1.1755E-5"/>
  </r>
  <r>
    <x v="0"/>
    <x v="14"/>
    <x v="6"/>
    <x v="31"/>
    <x v="1"/>
    <x v="1"/>
    <n v="0.55905639600000001"/>
  </r>
  <r>
    <x v="0"/>
    <x v="14"/>
    <x v="4"/>
    <x v="32"/>
    <x v="1"/>
    <x v="0"/>
    <n v="2326.134875447"/>
  </r>
  <r>
    <x v="0"/>
    <x v="14"/>
    <x v="5"/>
    <x v="32"/>
    <x v="1"/>
    <x v="1"/>
    <n v="2.1637E-5"/>
  </r>
  <r>
    <x v="0"/>
    <x v="14"/>
    <x v="6"/>
    <x v="32"/>
    <x v="1"/>
    <x v="1"/>
    <n v="0.55905639600000001"/>
  </r>
  <r>
    <x v="0"/>
    <x v="14"/>
    <x v="4"/>
    <x v="33"/>
    <x v="1"/>
    <x v="0"/>
    <n v="2468.902707364"/>
  </r>
  <r>
    <x v="0"/>
    <x v="14"/>
    <x v="5"/>
    <x v="33"/>
    <x v="1"/>
    <x v="1"/>
    <n v="2.0316999999999999E-5"/>
  </r>
  <r>
    <x v="0"/>
    <x v="14"/>
    <x v="6"/>
    <x v="33"/>
    <x v="1"/>
    <x v="1"/>
    <n v="0.55905639600000001"/>
  </r>
  <r>
    <x v="0"/>
    <x v="14"/>
    <x v="4"/>
    <x v="34"/>
    <x v="1"/>
    <x v="0"/>
    <n v="521.62786937099997"/>
  </r>
  <r>
    <x v="0"/>
    <x v="14"/>
    <x v="5"/>
    <x v="34"/>
    <x v="1"/>
    <x v="1"/>
    <n v="2.1290000000000001E-5"/>
  </r>
  <r>
    <x v="0"/>
    <x v="14"/>
    <x v="6"/>
    <x v="34"/>
    <x v="1"/>
    <x v="1"/>
    <n v="0.55905639600000001"/>
  </r>
  <r>
    <x v="0"/>
    <x v="14"/>
    <x v="4"/>
    <x v="35"/>
    <x v="1"/>
    <x v="0"/>
    <n v="442.42103509899999"/>
  </r>
  <r>
    <x v="0"/>
    <x v="14"/>
    <x v="5"/>
    <x v="35"/>
    <x v="1"/>
    <x v="1"/>
    <n v="2.6948999999999999E-5"/>
  </r>
  <r>
    <x v="0"/>
    <x v="14"/>
    <x v="6"/>
    <x v="35"/>
    <x v="1"/>
    <x v="1"/>
    <n v="0.55905639600000001"/>
  </r>
  <r>
    <x v="0"/>
    <x v="14"/>
    <x v="4"/>
    <x v="36"/>
    <x v="1"/>
    <x v="0"/>
    <n v="151.544323268"/>
  </r>
  <r>
    <x v="0"/>
    <x v="14"/>
    <x v="5"/>
    <x v="36"/>
    <x v="1"/>
    <x v="1"/>
    <n v="5.0713E-5"/>
  </r>
  <r>
    <x v="0"/>
    <x v="14"/>
    <x v="6"/>
    <x v="36"/>
    <x v="1"/>
    <x v="1"/>
    <n v="0.55905639600000001"/>
  </r>
  <r>
    <x v="0"/>
    <x v="14"/>
    <x v="4"/>
    <x v="37"/>
    <x v="1"/>
    <x v="0"/>
    <n v="188.050850298"/>
  </r>
  <r>
    <x v="0"/>
    <x v="14"/>
    <x v="5"/>
    <x v="37"/>
    <x v="1"/>
    <x v="1"/>
    <n v="1.2002E-5"/>
  </r>
  <r>
    <x v="0"/>
    <x v="14"/>
    <x v="6"/>
    <x v="37"/>
    <x v="1"/>
    <x v="1"/>
    <n v="0.55905639600000001"/>
  </r>
  <r>
    <x v="0"/>
    <x v="14"/>
    <x v="4"/>
    <x v="38"/>
    <x v="1"/>
    <x v="0"/>
    <n v="345.07153213300001"/>
  </r>
  <r>
    <x v="0"/>
    <x v="14"/>
    <x v="5"/>
    <x v="38"/>
    <x v="1"/>
    <x v="1"/>
    <n v="6.0083000000000001E-5"/>
  </r>
  <r>
    <x v="0"/>
    <x v="14"/>
    <x v="6"/>
    <x v="38"/>
    <x v="1"/>
    <x v="1"/>
    <n v="0.55905639600000001"/>
  </r>
  <r>
    <x v="0"/>
    <x v="14"/>
    <x v="4"/>
    <x v="39"/>
    <x v="1"/>
    <x v="0"/>
    <n v="158.617242648"/>
  </r>
  <r>
    <x v="0"/>
    <x v="14"/>
    <x v="5"/>
    <x v="39"/>
    <x v="1"/>
    <x v="1"/>
    <n v="2.1566999999999999E-5"/>
  </r>
  <r>
    <x v="0"/>
    <x v="14"/>
    <x v="6"/>
    <x v="39"/>
    <x v="1"/>
    <x v="1"/>
    <n v="0.55905639600000001"/>
  </r>
  <r>
    <x v="0"/>
    <x v="14"/>
    <x v="4"/>
    <x v="40"/>
    <x v="1"/>
    <x v="0"/>
    <n v="149.87138040599999"/>
  </r>
  <r>
    <x v="0"/>
    <x v="14"/>
    <x v="5"/>
    <x v="40"/>
    <x v="1"/>
    <x v="1"/>
    <n v="2.0262E-5"/>
  </r>
  <r>
    <x v="0"/>
    <x v="14"/>
    <x v="6"/>
    <x v="40"/>
    <x v="1"/>
    <x v="1"/>
    <n v="0.55905639600000001"/>
  </r>
  <r>
    <x v="0"/>
    <x v="14"/>
    <x v="4"/>
    <x v="41"/>
    <x v="1"/>
    <x v="0"/>
    <n v="494.80288838400003"/>
  </r>
  <r>
    <x v="0"/>
    <x v="14"/>
    <x v="5"/>
    <x v="41"/>
    <x v="1"/>
    <x v="1"/>
    <n v="1.1497000000000001E-4"/>
  </r>
  <r>
    <x v="0"/>
    <x v="14"/>
    <x v="6"/>
    <x v="41"/>
    <x v="1"/>
    <x v="1"/>
    <n v="0.55905639600000001"/>
  </r>
  <r>
    <x v="0"/>
    <x v="14"/>
    <x v="7"/>
    <x v="0"/>
    <x v="2"/>
    <x v="2"/>
    <n v="406.88948894800001"/>
  </r>
  <r>
    <x v="0"/>
    <x v="14"/>
    <x v="7"/>
    <x v="1"/>
    <x v="2"/>
    <x v="2"/>
    <n v="48.358748173000002"/>
  </r>
  <r>
    <x v="0"/>
    <x v="14"/>
    <x v="7"/>
    <x v="2"/>
    <x v="2"/>
    <x v="2"/>
    <n v="21.669386947"/>
  </r>
  <r>
    <x v="0"/>
    <x v="14"/>
    <x v="7"/>
    <x v="3"/>
    <x v="2"/>
    <x v="2"/>
    <n v="16.494788111999998"/>
  </r>
  <r>
    <x v="0"/>
    <x v="14"/>
    <x v="7"/>
    <x v="4"/>
    <x v="2"/>
    <x v="2"/>
    <n v="9.5763173130000006"/>
  </r>
  <r>
    <x v="0"/>
    <x v="14"/>
    <x v="7"/>
    <x v="5"/>
    <x v="2"/>
    <x v="2"/>
    <n v="34.146411526000001"/>
  </r>
  <r>
    <x v="0"/>
    <x v="14"/>
    <x v="7"/>
    <x v="6"/>
    <x v="2"/>
    <x v="2"/>
    <n v="14.856922836000001"/>
  </r>
  <r>
    <x v="0"/>
    <x v="14"/>
    <x v="7"/>
    <x v="7"/>
    <x v="2"/>
    <x v="2"/>
    <n v="13.223207066000001"/>
  </r>
  <r>
    <x v="0"/>
    <x v="14"/>
    <x v="7"/>
    <x v="8"/>
    <x v="2"/>
    <x v="2"/>
    <n v="7.2189473399999997"/>
  </r>
  <r>
    <x v="0"/>
    <x v="14"/>
    <x v="7"/>
    <x v="9"/>
    <x v="2"/>
    <x v="2"/>
    <n v="22.584994175999999"/>
  </r>
  <r>
    <x v="0"/>
    <x v="14"/>
    <x v="7"/>
    <x v="10"/>
    <x v="2"/>
    <x v="2"/>
    <n v="10.215287377999999"/>
  </r>
  <r>
    <x v="0"/>
    <x v="14"/>
    <x v="7"/>
    <x v="11"/>
    <x v="2"/>
    <x v="2"/>
    <n v="46.944760195999997"/>
  </r>
  <r>
    <x v="0"/>
    <x v="14"/>
    <x v="7"/>
    <x v="12"/>
    <x v="2"/>
    <x v="2"/>
    <n v="19.099414768999999"/>
  </r>
  <r>
    <x v="0"/>
    <x v="14"/>
    <x v="7"/>
    <x v="13"/>
    <x v="2"/>
    <x v="2"/>
    <n v="27.683206117000001"/>
  </r>
  <r>
    <x v="0"/>
    <x v="14"/>
    <x v="7"/>
    <x v="14"/>
    <x v="2"/>
    <x v="2"/>
    <n v="13.363790111"/>
  </r>
  <r>
    <x v="0"/>
    <x v="14"/>
    <x v="7"/>
    <x v="15"/>
    <x v="2"/>
    <x v="2"/>
    <n v="16.541989152999999"/>
  </r>
  <r>
    <x v="0"/>
    <x v="14"/>
    <x v="7"/>
    <x v="16"/>
    <x v="2"/>
    <x v="2"/>
    <n v="10.995038879999999"/>
  </r>
  <r>
    <x v="0"/>
    <x v="14"/>
    <x v="7"/>
    <x v="17"/>
    <x v="2"/>
    <x v="2"/>
    <n v="22.434413745000001"/>
  </r>
  <r>
    <x v="0"/>
    <x v="14"/>
    <x v="7"/>
    <x v="18"/>
    <x v="2"/>
    <x v="2"/>
    <n v="13.947160952000001"/>
  </r>
  <r>
    <x v="0"/>
    <x v="14"/>
    <x v="7"/>
    <x v="19"/>
    <x v="2"/>
    <x v="2"/>
    <n v="24.205455644000001"/>
  </r>
  <r>
    <x v="0"/>
    <x v="14"/>
    <x v="7"/>
    <x v="20"/>
    <x v="2"/>
    <x v="2"/>
    <n v="3.50480905"/>
  </r>
  <r>
    <x v="0"/>
    <x v="14"/>
    <x v="7"/>
    <x v="21"/>
    <x v="2"/>
    <x v="2"/>
    <n v="1.5189319379999999"/>
  </r>
  <r>
    <x v="0"/>
    <x v="14"/>
    <x v="7"/>
    <x v="22"/>
    <x v="2"/>
    <x v="2"/>
    <n v="1.020177866"/>
  </r>
  <r>
    <x v="0"/>
    <x v="14"/>
    <x v="7"/>
    <x v="23"/>
    <x v="2"/>
    <x v="2"/>
    <n v="0.97501928999999998"/>
  </r>
  <r>
    <x v="0"/>
    <x v="14"/>
    <x v="7"/>
    <x v="24"/>
    <x v="2"/>
    <x v="2"/>
    <n v="20.841432506"/>
  </r>
  <r>
    <x v="0"/>
    <x v="14"/>
    <x v="7"/>
    <x v="25"/>
    <x v="2"/>
    <x v="2"/>
    <n v="0.90689058499999997"/>
  </r>
  <r>
    <x v="0"/>
    <x v="14"/>
    <x v="7"/>
    <x v="26"/>
    <x v="2"/>
    <x v="2"/>
    <n v="1.8906294880000001"/>
  </r>
  <r>
    <x v="0"/>
    <x v="14"/>
    <x v="7"/>
    <x v="27"/>
    <x v="2"/>
    <x v="2"/>
    <n v="68.550230142000004"/>
  </r>
  <r>
    <x v="0"/>
    <x v="14"/>
    <x v="7"/>
    <x v="28"/>
    <x v="2"/>
    <x v="2"/>
    <n v="92.660297271000005"/>
  </r>
  <r>
    <x v="0"/>
    <x v="14"/>
    <x v="7"/>
    <x v="29"/>
    <x v="2"/>
    <x v="2"/>
    <n v="74.972508223000006"/>
  </r>
  <r>
    <x v="0"/>
    <x v="14"/>
    <x v="7"/>
    <x v="30"/>
    <x v="2"/>
    <x v="2"/>
    <n v="32.603929823999998"/>
  </r>
  <r>
    <x v="0"/>
    <x v="14"/>
    <x v="7"/>
    <x v="31"/>
    <x v="2"/>
    <x v="2"/>
    <n v="19.548499811999999"/>
  </r>
  <r>
    <x v="0"/>
    <x v="14"/>
    <x v="7"/>
    <x v="32"/>
    <x v="2"/>
    <x v="2"/>
    <n v="82.170172597000004"/>
  </r>
  <r>
    <x v="0"/>
    <x v="14"/>
    <x v="7"/>
    <x v="33"/>
    <x v="2"/>
    <x v="2"/>
    <n v="27.922980571"/>
  </r>
  <r>
    <x v="0"/>
    <x v="14"/>
    <x v="7"/>
    <x v="34"/>
    <x v="2"/>
    <x v="2"/>
    <n v="40.831158971999997"/>
  </r>
  <r>
    <x v="0"/>
    <x v="14"/>
    <x v="7"/>
    <x v="35"/>
    <x v="2"/>
    <x v="2"/>
    <n v="41.723129538000002"/>
  </r>
  <r>
    <x v="0"/>
    <x v="14"/>
    <x v="7"/>
    <x v="36"/>
    <x v="2"/>
    <x v="2"/>
    <n v="17.876651584000001"/>
  </r>
  <r>
    <x v="0"/>
    <x v="14"/>
    <x v="7"/>
    <x v="37"/>
    <x v="2"/>
    <x v="2"/>
    <n v="29.685640043999999"/>
  </r>
  <r>
    <x v="0"/>
    <x v="14"/>
    <x v="7"/>
    <x v="38"/>
    <x v="2"/>
    <x v="2"/>
    <n v="181.32091837600001"/>
  </r>
  <r>
    <x v="0"/>
    <x v="14"/>
    <x v="7"/>
    <x v="39"/>
    <x v="2"/>
    <x v="2"/>
    <n v="55.814915771999999"/>
  </r>
  <r>
    <x v="0"/>
    <x v="14"/>
    <x v="7"/>
    <x v="40"/>
    <x v="2"/>
    <x v="2"/>
    <n v="13.807499026"/>
  </r>
  <r>
    <x v="0"/>
    <x v="14"/>
    <x v="7"/>
    <x v="41"/>
    <x v="2"/>
    <x v="2"/>
    <n v="326.758778167"/>
  </r>
  <r>
    <x v="0"/>
    <x v="14"/>
    <x v="8"/>
    <x v="0"/>
    <x v="2"/>
    <x v="3"/>
    <n v="7.6547874000000002E-2"/>
  </r>
  <r>
    <x v="0"/>
    <x v="14"/>
    <x v="8"/>
    <x v="1"/>
    <x v="2"/>
    <x v="3"/>
    <n v="7.6547874000000002E-2"/>
  </r>
  <r>
    <x v="0"/>
    <x v="14"/>
    <x v="8"/>
    <x v="2"/>
    <x v="2"/>
    <x v="3"/>
    <n v="7.6547874000000002E-2"/>
  </r>
  <r>
    <x v="0"/>
    <x v="14"/>
    <x v="8"/>
    <x v="3"/>
    <x v="2"/>
    <x v="3"/>
    <n v="7.6547874000000002E-2"/>
  </r>
  <r>
    <x v="0"/>
    <x v="14"/>
    <x v="8"/>
    <x v="4"/>
    <x v="2"/>
    <x v="3"/>
    <n v="7.6547874000000002E-2"/>
  </r>
  <r>
    <x v="0"/>
    <x v="14"/>
    <x v="8"/>
    <x v="5"/>
    <x v="2"/>
    <x v="3"/>
    <n v="7.6547874000000002E-2"/>
  </r>
  <r>
    <x v="0"/>
    <x v="14"/>
    <x v="8"/>
    <x v="6"/>
    <x v="2"/>
    <x v="3"/>
    <n v="7.6547874000000002E-2"/>
  </r>
  <r>
    <x v="0"/>
    <x v="14"/>
    <x v="8"/>
    <x v="7"/>
    <x v="2"/>
    <x v="3"/>
    <n v="7.6547874000000002E-2"/>
  </r>
  <r>
    <x v="0"/>
    <x v="14"/>
    <x v="8"/>
    <x v="8"/>
    <x v="2"/>
    <x v="3"/>
    <n v="7.6547874000000002E-2"/>
  </r>
  <r>
    <x v="0"/>
    <x v="14"/>
    <x v="8"/>
    <x v="9"/>
    <x v="2"/>
    <x v="3"/>
    <n v="7.6547874000000002E-2"/>
  </r>
  <r>
    <x v="0"/>
    <x v="14"/>
    <x v="8"/>
    <x v="10"/>
    <x v="2"/>
    <x v="3"/>
    <n v="7.6547874000000002E-2"/>
  </r>
  <r>
    <x v="0"/>
    <x v="14"/>
    <x v="8"/>
    <x v="11"/>
    <x v="2"/>
    <x v="3"/>
    <n v="7.6547874000000002E-2"/>
  </r>
  <r>
    <x v="0"/>
    <x v="14"/>
    <x v="8"/>
    <x v="12"/>
    <x v="2"/>
    <x v="3"/>
    <n v="7.6547874000000002E-2"/>
  </r>
  <r>
    <x v="0"/>
    <x v="14"/>
    <x v="8"/>
    <x v="13"/>
    <x v="2"/>
    <x v="3"/>
    <n v="7.6547874000000002E-2"/>
  </r>
  <r>
    <x v="0"/>
    <x v="14"/>
    <x v="8"/>
    <x v="14"/>
    <x v="2"/>
    <x v="3"/>
    <n v="7.6547874000000002E-2"/>
  </r>
  <r>
    <x v="0"/>
    <x v="14"/>
    <x v="8"/>
    <x v="15"/>
    <x v="2"/>
    <x v="3"/>
    <n v="7.6547874000000002E-2"/>
  </r>
  <r>
    <x v="0"/>
    <x v="14"/>
    <x v="8"/>
    <x v="16"/>
    <x v="2"/>
    <x v="3"/>
    <n v="7.6547874000000002E-2"/>
  </r>
  <r>
    <x v="0"/>
    <x v="14"/>
    <x v="8"/>
    <x v="17"/>
    <x v="2"/>
    <x v="3"/>
    <n v="7.6547874000000002E-2"/>
  </r>
  <r>
    <x v="0"/>
    <x v="14"/>
    <x v="8"/>
    <x v="18"/>
    <x v="2"/>
    <x v="3"/>
    <n v="7.6547874000000002E-2"/>
  </r>
  <r>
    <x v="0"/>
    <x v="14"/>
    <x v="8"/>
    <x v="19"/>
    <x v="2"/>
    <x v="3"/>
    <n v="7.6547874000000002E-2"/>
  </r>
  <r>
    <x v="0"/>
    <x v="14"/>
    <x v="8"/>
    <x v="20"/>
    <x v="2"/>
    <x v="3"/>
    <n v="7.6547874000000002E-2"/>
  </r>
  <r>
    <x v="0"/>
    <x v="14"/>
    <x v="8"/>
    <x v="21"/>
    <x v="2"/>
    <x v="3"/>
    <n v="7.6547874000000002E-2"/>
  </r>
  <r>
    <x v="0"/>
    <x v="14"/>
    <x v="8"/>
    <x v="22"/>
    <x v="2"/>
    <x v="3"/>
    <n v="7.6547874000000002E-2"/>
  </r>
  <r>
    <x v="0"/>
    <x v="14"/>
    <x v="8"/>
    <x v="23"/>
    <x v="2"/>
    <x v="3"/>
    <n v="7.6547874000000002E-2"/>
  </r>
  <r>
    <x v="0"/>
    <x v="14"/>
    <x v="8"/>
    <x v="24"/>
    <x v="2"/>
    <x v="3"/>
    <n v="7.6547874000000002E-2"/>
  </r>
  <r>
    <x v="0"/>
    <x v="14"/>
    <x v="8"/>
    <x v="25"/>
    <x v="2"/>
    <x v="3"/>
    <n v="7.6547874000000002E-2"/>
  </r>
  <r>
    <x v="0"/>
    <x v="14"/>
    <x v="8"/>
    <x v="26"/>
    <x v="2"/>
    <x v="3"/>
    <n v="7.6547874000000002E-2"/>
  </r>
  <r>
    <x v="0"/>
    <x v="14"/>
    <x v="8"/>
    <x v="27"/>
    <x v="2"/>
    <x v="3"/>
    <n v="7.6547874000000002E-2"/>
  </r>
  <r>
    <x v="0"/>
    <x v="14"/>
    <x v="8"/>
    <x v="28"/>
    <x v="2"/>
    <x v="3"/>
    <n v="7.6547874000000002E-2"/>
  </r>
  <r>
    <x v="0"/>
    <x v="14"/>
    <x v="8"/>
    <x v="29"/>
    <x v="2"/>
    <x v="3"/>
    <n v="7.6547874000000002E-2"/>
  </r>
  <r>
    <x v="0"/>
    <x v="14"/>
    <x v="8"/>
    <x v="30"/>
    <x v="2"/>
    <x v="3"/>
    <n v="7.6547874000000002E-2"/>
  </r>
  <r>
    <x v="0"/>
    <x v="14"/>
    <x v="8"/>
    <x v="31"/>
    <x v="2"/>
    <x v="3"/>
    <n v="7.6547874000000002E-2"/>
  </r>
  <r>
    <x v="0"/>
    <x v="14"/>
    <x v="8"/>
    <x v="32"/>
    <x v="2"/>
    <x v="3"/>
    <n v="7.6547874000000002E-2"/>
  </r>
  <r>
    <x v="0"/>
    <x v="14"/>
    <x v="8"/>
    <x v="33"/>
    <x v="2"/>
    <x v="3"/>
    <n v="7.6547874000000002E-2"/>
  </r>
  <r>
    <x v="0"/>
    <x v="14"/>
    <x v="8"/>
    <x v="34"/>
    <x v="2"/>
    <x v="3"/>
    <n v="7.6547874000000002E-2"/>
  </r>
  <r>
    <x v="0"/>
    <x v="14"/>
    <x v="8"/>
    <x v="35"/>
    <x v="2"/>
    <x v="3"/>
    <n v="7.6547874000000002E-2"/>
  </r>
  <r>
    <x v="0"/>
    <x v="14"/>
    <x v="8"/>
    <x v="36"/>
    <x v="2"/>
    <x v="3"/>
    <n v="7.6547874000000002E-2"/>
  </r>
  <r>
    <x v="0"/>
    <x v="14"/>
    <x v="8"/>
    <x v="37"/>
    <x v="2"/>
    <x v="3"/>
    <n v="7.6547874000000002E-2"/>
  </r>
  <r>
    <x v="0"/>
    <x v="14"/>
    <x v="8"/>
    <x v="38"/>
    <x v="2"/>
    <x v="3"/>
    <n v="7.6547874000000002E-2"/>
  </r>
  <r>
    <x v="0"/>
    <x v="14"/>
    <x v="8"/>
    <x v="39"/>
    <x v="2"/>
    <x v="3"/>
    <n v="7.6547874000000002E-2"/>
  </r>
  <r>
    <x v="0"/>
    <x v="14"/>
    <x v="8"/>
    <x v="40"/>
    <x v="2"/>
    <x v="3"/>
    <n v="7.6547874000000002E-2"/>
  </r>
  <r>
    <x v="0"/>
    <x v="14"/>
    <x v="8"/>
    <x v="41"/>
    <x v="2"/>
    <x v="3"/>
    <n v="7.6547874000000002E-2"/>
  </r>
  <r>
    <x v="0"/>
    <x v="14"/>
    <x v="7"/>
    <x v="0"/>
    <x v="3"/>
    <x v="2"/>
    <n v="408.70934506899999"/>
  </r>
  <r>
    <x v="0"/>
    <x v="14"/>
    <x v="7"/>
    <x v="1"/>
    <x v="3"/>
    <x v="2"/>
    <n v="46.468340802999997"/>
  </r>
  <r>
    <x v="0"/>
    <x v="14"/>
    <x v="7"/>
    <x v="2"/>
    <x v="3"/>
    <x v="2"/>
    <n v="19.470971777999999"/>
  </r>
  <r>
    <x v="0"/>
    <x v="14"/>
    <x v="7"/>
    <x v="3"/>
    <x v="3"/>
    <x v="2"/>
    <n v="15.541447295999999"/>
  </r>
  <r>
    <x v="0"/>
    <x v="14"/>
    <x v="7"/>
    <x v="4"/>
    <x v="3"/>
    <x v="2"/>
    <n v="9.1208133149999995"/>
  </r>
  <r>
    <x v="0"/>
    <x v="14"/>
    <x v="7"/>
    <x v="5"/>
    <x v="3"/>
    <x v="2"/>
    <n v="31.726163540999998"/>
  </r>
  <r>
    <x v="0"/>
    <x v="14"/>
    <x v="7"/>
    <x v="6"/>
    <x v="3"/>
    <x v="2"/>
    <n v="14.078866756"/>
  </r>
  <r>
    <x v="0"/>
    <x v="14"/>
    <x v="7"/>
    <x v="7"/>
    <x v="3"/>
    <x v="2"/>
    <n v="12.676986316000001"/>
  </r>
  <r>
    <x v="0"/>
    <x v="14"/>
    <x v="7"/>
    <x v="8"/>
    <x v="3"/>
    <x v="2"/>
    <n v="6.8210488160000002"/>
  </r>
  <r>
    <x v="0"/>
    <x v="14"/>
    <x v="7"/>
    <x v="9"/>
    <x v="3"/>
    <x v="2"/>
    <n v="21.444768036999999"/>
  </r>
  <r>
    <x v="0"/>
    <x v="14"/>
    <x v="7"/>
    <x v="10"/>
    <x v="3"/>
    <x v="2"/>
    <n v="9.4888848639999992"/>
  </r>
  <r>
    <x v="0"/>
    <x v="14"/>
    <x v="7"/>
    <x v="11"/>
    <x v="3"/>
    <x v="2"/>
    <n v="43.353695504999997"/>
  </r>
  <r>
    <x v="0"/>
    <x v="14"/>
    <x v="7"/>
    <x v="12"/>
    <x v="3"/>
    <x v="2"/>
    <n v="17.944592734"/>
  </r>
  <r>
    <x v="0"/>
    <x v="14"/>
    <x v="7"/>
    <x v="13"/>
    <x v="3"/>
    <x v="2"/>
    <n v="25.341473347000001"/>
  </r>
  <r>
    <x v="0"/>
    <x v="14"/>
    <x v="7"/>
    <x v="14"/>
    <x v="3"/>
    <x v="2"/>
    <n v="12.608511126"/>
  </r>
  <r>
    <x v="0"/>
    <x v="14"/>
    <x v="7"/>
    <x v="15"/>
    <x v="3"/>
    <x v="2"/>
    <n v="15.698554832999999"/>
  </r>
  <r>
    <x v="0"/>
    <x v="14"/>
    <x v="7"/>
    <x v="16"/>
    <x v="3"/>
    <x v="2"/>
    <n v="10.425453149999999"/>
  </r>
  <r>
    <x v="0"/>
    <x v="14"/>
    <x v="7"/>
    <x v="17"/>
    <x v="3"/>
    <x v="2"/>
    <n v="21.226265693999999"/>
  </r>
  <r>
    <x v="0"/>
    <x v="14"/>
    <x v="7"/>
    <x v="18"/>
    <x v="3"/>
    <x v="2"/>
    <n v="13.031879239"/>
  </r>
  <r>
    <x v="0"/>
    <x v="14"/>
    <x v="7"/>
    <x v="19"/>
    <x v="3"/>
    <x v="2"/>
    <n v="23.094252169000001"/>
  </r>
  <r>
    <x v="0"/>
    <x v="14"/>
    <x v="7"/>
    <x v="20"/>
    <x v="3"/>
    <x v="2"/>
    <n v="3.3016434870000002"/>
  </r>
  <r>
    <x v="0"/>
    <x v="14"/>
    <x v="7"/>
    <x v="21"/>
    <x v="3"/>
    <x v="2"/>
    <n v="1.444636585"/>
  </r>
  <r>
    <x v="0"/>
    <x v="14"/>
    <x v="7"/>
    <x v="22"/>
    <x v="3"/>
    <x v="2"/>
    <n v="0.80855480899999999"/>
  </r>
  <r>
    <x v="0"/>
    <x v="14"/>
    <x v="7"/>
    <x v="23"/>
    <x v="3"/>
    <x v="2"/>
    <n v="0.95831877499999996"/>
  </r>
  <r>
    <x v="0"/>
    <x v="14"/>
    <x v="7"/>
    <x v="24"/>
    <x v="3"/>
    <x v="2"/>
    <n v="18.958129099000001"/>
  </r>
  <r>
    <x v="0"/>
    <x v="14"/>
    <x v="7"/>
    <x v="25"/>
    <x v="3"/>
    <x v="2"/>
    <n v="0.81989827500000001"/>
  </r>
  <r>
    <x v="0"/>
    <x v="14"/>
    <x v="7"/>
    <x v="26"/>
    <x v="3"/>
    <x v="2"/>
    <n v="1.793292954"/>
  </r>
  <r>
    <x v="0"/>
    <x v="14"/>
    <x v="7"/>
    <x v="27"/>
    <x v="3"/>
    <x v="2"/>
    <n v="66.522578715999998"/>
  </r>
  <r>
    <x v="0"/>
    <x v="14"/>
    <x v="7"/>
    <x v="28"/>
    <x v="3"/>
    <x v="2"/>
    <n v="86.058906058999995"/>
  </r>
  <r>
    <x v="0"/>
    <x v="14"/>
    <x v="7"/>
    <x v="29"/>
    <x v="3"/>
    <x v="2"/>
    <n v="70.351830093000004"/>
  </r>
  <r>
    <x v="0"/>
    <x v="14"/>
    <x v="7"/>
    <x v="30"/>
    <x v="3"/>
    <x v="2"/>
    <n v="31.761075387999998"/>
  </r>
  <r>
    <x v="0"/>
    <x v="14"/>
    <x v="7"/>
    <x v="31"/>
    <x v="3"/>
    <x v="2"/>
    <n v="17.704723092999998"/>
  </r>
  <r>
    <x v="0"/>
    <x v="14"/>
    <x v="7"/>
    <x v="32"/>
    <x v="3"/>
    <x v="2"/>
    <n v="74.923910393"/>
  </r>
  <r>
    <x v="0"/>
    <x v="14"/>
    <x v="7"/>
    <x v="33"/>
    <x v="3"/>
    <x v="2"/>
    <n v="23.895018448999998"/>
  </r>
  <r>
    <x v="0"/>
    <x v="14"/>
    <x v="7"/>
    <x v="34"/>
    <x v="3"/>
    <x v="2"/>
    <n v="38.652775699000003"/>
  </r>
  <r>
    <x v="0"/>
    <x v="14"/>
    <x v="7"/>
    <x v="35"/>
    <x v="3"/>
    <x v="2"/>
    <n v="39.701909848"/>
  </r>
  <r>
    <x v="0"/>
    <x v="14"/>
    <x v="7"/>
    <x v="36"/>
    <x v="3"/>
    <x v="2"/>
    <n v="17.056400929999999"/>
  </r>
  <r>
    <x v="0"/>
    <x v="14"/>
    <x v="7"/>
    <x v="37"/>
    <x v="3"/>
    <x v="2"/>
    <n v="28.930891775999999"/>
  </r>
  <r>
    <x v="0"/>
    <x v="14"/>
    <x v="7"/>
    <x v="38"/>
    <x v="3"/>
    <x v="2"/>
    <n v="179.79813891500001"/>
  </r>
  <r>
    <x v="0"/>
    <x v="14"/>
    <x v="7"/>
    <x v="39"/>
    <x v="3"/>
    <x v="2"/>
    <n v="55.207425692999998"/>
  </r>
  <r>
    <x v="0"/>
    <x v="14"/>
    <x v="7"/>
    <x v="40"/>
    <x v="3"/>
    <x v="2"/>
    <n v="13.162505976"/>
  </r>
  <r>
    <x v="0"/>
    <x v="14"/>
    <x v="7"/>
    <x v="41"/>
    <x v="3"/>
    <x v="2"/>
    <n v="324.369038467"/>
  </r>
  <r>
    <x v="0"/>
    <x v="14"/>
    <x v="8"/>
    <x v="0"/>
    <x v="3"/>
    <x v="3"/>
    <n v="7.4062558000000001E-2"/>
  </r>
  <r>
    <x v="0"/>
    <x v="14"/>
    <x v="8"/>
    <x v="1"/>
    <x v="3"/>
    <x v="3"/>
    <n v="7.4062558000000001E-2"/>
  </r>
  <r>
    <x v="0"/>
    <x v="14"/>
    <x v="8"/>
    <x v="2"/>
    <x v="3"/>
    <x v="3"/>
    <n v="7.4062558000000001E-2"/>
  </r>
  <r>
    <x v="0"/>
    <x v="14"/>
    <x v="8"/>
    <x v="3"/>
    <x v="3"/>
    <x v="3"/>
    <n v="7.4062558000000001E-2"/>
  </r>
  <r>
    <x v="0"/>
    <x v="14"/>
    <x v="8"/>
    <x v="4"/>
    <x v="3"/>
    <x v="3"/>
    <n v="7.4062558000000001E-2"/>
  </r>
  <r>
    <x v="0"/>
    <x v="14"/>
    <x v="8"/>
    <x v="5"/>
    <x v="3"/>
    <x v="3"/>
    <n v="7.4062558000000001E-2"/>
  </r>
  <r>
    <x v="0"/>
    <x v="14"/>
    <x v="8"/>
    <x v="6"/>
    <x v="3"/>
    <x v="3"/>
    <n v="7.4062558000000001E-2"/>
  </r>
  <r>
    <x v="0"/>
    <x v="14"/>
    <x v="8"/>
    <x v="7"/>
    <x v="3"/>
    <x v="3"/>
    <n v="7.4062558000000001E-2"/>
  </r>
  <r>
    <x v="0"/>
    <x v="14"/>
    <x v="8"/>
    <x v="8"/>
    <x v="3"/>
    <x v="3"/>
    <n v="7.4062558000000001E-2"/>
  </r>
  <r>
    <x v="0"/>
    <x v="14"/>
    <x v="8"/>
    <x v="9"/>
    <x v="3"/>
    <x v="3"/>
    <n v="7.4062558000000001E-2"/>
  </r>
  <r>
    <x v="0"/>
    <x v="14"/>
    <x v="8"/>
    <x v="10"/>
    <x v="3"/>
    <x v="3"/>
    <n v="7.4062558000000001E-2"/>
  </r>
  <r>
    <x v="0"/>
    <x v="14"/>
    <x v="8"/>
    <x v="11"/>
    <x v="3"/>
    <x v="3"/>
    <n v="7.4062558000000001E-2"/>
  </r>
  <r>
    <x v="0"/>
    <x v="14"/>
    <x v="8"/>
    <x v="12"/>
    <x v="3"/>
    <x v="3"/>
    <n v="7.4062558000000001E-2"/>
  </r>
  <r>
    <x v="0"/>
    <x v="14"/>
    <x v="8"/>
    <x v="13"/>
    <x v="3"/>
    <x v="3"/>
    <n v="7.4062558000000001E-2"/>
  </r>
  <r>
    <x v="0"/>
    <x v="14"/>
    <x v="8"/>
    <x v="14"/>
    <x v="3"/>
    <x v="3"/>
    <n v="7.4062558000000001E-2"/>
  </r>
  <r>
    <x v="0"/>
    <x v="14"/>
    <x v="8"/>
    <x v="15"/>
    <x v="3"/>
    <x v="3"/>
    <n v="7.4062558000000001E-2"/>
  </r>
  <r>
    <x v="0"/>
    <x v="14"/>
    <x v="8"/>
    <x v="16"/>
    <x v="3"/>
    <x v="3"/>
    <n v="7.4062558000000001E-2"/>
  </r>
  <r>
    <x v="0"/>
    <x v="14"/>
    <x v="8"/>
    <x v="17"/>
    <x v="3"/>
    <x v="3"/>
    <n v="7.4062558000000001E-2"/>
  </r>
  <r>
    <x v="0"/>
    <x v="14"/>
    <x v="8"/>
    <x v="18"/>
    <x v="3"/>
    <x v="3"/>
    <n v="7.4062558000000001E-2"/>
  </r>
  <r>
    <x v="0"/>
    <x v="14"/>
    <x v="8"/>
    <x v="19"/>
    <x v="3"/>
    <x v="3"/>
    <n v="7.4062558000000001E-2"/>
  </r>
  <r>
    <x v="0"/>
    <x v="14"/>
    <x v="8"/>
    <x v="20"/>
    <x v="3"/>
    <x v="3"/>
    <n v="7.4062558000000001E-2"/>
  </r>
  <r>
    <x v="0"/>
    <x v="14"/>
    <x v="8"/>
    <x v="21"/>
    <x v="3"/>
    <x v="3"/>
    <n v="7.4062558000000001E-2"/>
  </r>
  <r>
    <x v="0"/>
    <x v="14"/>
    <x v="8"/>
    <x v="22"/>
    <x v="3"/>
    <x v="3"/>
    <n v="7.4062558000000001E-2"/>
  </r>
  <r>
    <x v="0"/>
    <x v="14"/>
    <x v="8"/>
    <x v="23"/>
    <x v="3"/>
    <x v="3"/>
    <n v="7.4062558000000001E-2"/>
  </r>
  <r>
    <x v="0"/>
    <x v="14"/>
    <x v="8"/>
    <x v="24"/>
    <x v="3"/>
    <x v="3"/>
    <n v="7.4062558000000001E-2"/>
  </r>
  <r>
    <x v="0"/>
    <x v="14"/>
    <x v="8"/>
    <x v="25"/>
    <x v="3"/>
    <x v="3"/>
    <n v="7.4062558000000001E-2"/>
  </r>
  <r>
    <x v="0"/>
    <x v="14"/>
    <x v="8"/>
    <x v="26"/>
    <x v="3"/>
    <x v="3"/>
    <n v="7.4062558000000001E-2"/>
  </r>
  <r>
    <x v="0"/>
    <x v="14"/>
    <x v="8"/>
    <x v="27"/>
    <x v="3"/>
    <x v="3"/>
    <n v="7.4062558000000001E-2"/>
  </r>
  <r>
    <x v="0"/>
    <x v="14"/>
    <x v="8"/>
    <x v="28"/>
    <x v="3"/>
    <x v="3"/>
    <n v="7.4062558000000001E-2"/>
  </r>
  <r>
    <x v="0"/>
    <x v="14"/>
    <x v="8"/>
    <x v="29"/>
    <x v="3"/>
    <x v="3"/>
    <n v="7.4062558000000001E-2"/>
  </r>
  <r>
    <x v="0"/>
    <x v="14"/>
    <x v="8"/>
    <x v="30"/>
    <x v="3"/>
    <x v="3"/>
    <n v="7.4062558000000001E-2"/>
  </r>
  <r>
    <x v="0"/>
    <x v="14"/>
    <x v="8"/>
    <x v="31"/>
    <x v="3"/>
    <x v="3"/>
    <n v="7.4062558000000001E-2"/>
  </r>
  <r>
    <x v="0"/>
    <x v="14"/>
    <x v="8"/>
    <x v="32"/>
    <x v="3"/>
    <x v="3"/>
    <n v="7.4062558000000001E-2"/>
  </r>
  <r>
    <x v="0"/>
    <x v="14"/>
    <x v="8"/>
    <x v="33"/>
    <x v="3"/>
    <x v="3"/>
    <n v="7.4062558000000001E-2"/>
  </r>
  <r>
    <x v="0"/>
    <x v="14"/>
    <x v="8"/>
    <x v="34"/>
    <x v="3"/>
    <x v="3"/>
    <n v="7.4062558000000001E-2"/>
  </r>
  <r>
    <x v="0"/>
    <x v="14"/>
    <x v="8"/>
    <x v="35"/>
    <x v="3"/>
    <x v="3"/>
    <n v="7.4062558000000001E-2"/>
  </r>
  <r>
    <x v="0"/>
    <x v="14"/>
    <x v="8"/>
    <x v="36"/>
    <x v="3"/>
    <x v="3"/>
    <n v="7.4062558000000001E-2"/>
  </r>
  <r>
    <x v="0"/>
    <x v="14"/>
    <x v="8"/>
    <x v="37"/>
    <x v="3"/>
    <x v="3"/>
    <n v="7.4062558000000001E-2"/>
  </r>
  <r>
    <x v="0"/>
    <x v="14"/>
    <x v="8"/>
    <x v="38"/>
    <x v="3"/>
    <x v="3"/>
    <n v="7.4062558000000001E-2"/>
  </r>
  <r>
    <x v="0"/>
    <x v="14"/>
    <x v="8"/>
    <x v="39"/>
    <x v="3"/>
    <x v="3"/>
    <n v="7.4062558000000001E-2"/>
  </r>
  <r>
    <x v="0"/>
    <x v="14"/>
    <x v="8"/>
    <x v="40"/>
    <x v="3"/>
    <x v="3"/>
    <n v="7.4062558000000001E-2"/>
  </r>
  <r>
    <x v="0"/>
    <x v="14"/>
    <x v="8"/>
    <x v="41"/>
    <x v="3"/>
    <x v="3"/>
    <n v="7.4062558000000001E-2"/>
  </r>
  <r>
    <x v="0"/>
    <x v="14"/>
    <x v="9"/>
    <x v="42"/>
    <x v="4"/>
    <x v="4"/>
    <n v="78.955130260999994"/>
  </r>
  <r>
    <x v="0"/>
    <x v="14"/>
    <x v="9"/>
    <x v="42"/>
    <x v="5"/>
    <x v="4"/>
    <n v="1.126656213"/>
  </r>
  <r>
    <x v="0"/>
    <x v="14"/>
    <x v="9"/>
    <x v="42"/>
    <x v="6"/>
    <x v="4"/>
    <n v="0"/>
  </r>
  <r>
    <x v="0"/>
    <x v="14"/>
    <x v="9"/>
    <x v="42"/>
    <x v="7"/>
    <x v="4"/>
    <n v="0"/>
  </r>
  <r>
    <x v="0"/>
    <x v="14"/>
    <x v="9"/>
    <x v="42"/>
    <x v="8"/>
    <x v="4"/>
    <n v="0"/>
  </r>
  <r>
    <x v="0"/>
    <x v="14"/>
    <x v="9"/>
    <x v="42"/>
    <x v="9"/>
    <x v="4"/>
    <n v="89.823011086999998"/>
  </r>
  <r>
    <x v="0"/>
    <x v="14"/>
    <x v="9"/>
    <x v="42"/>
    <x v="10"/>
    <x v="4"/>
    <n v="2.5930285990000002"/>
  </r>
  <r>
    <x v="0"/>
    <x v="14"/>
    <x v="9"/>
    <x v="42"/>
    <x v="11"/>
    <x v="4"/>
    <n v="15.690728009000001"/>
  </r>
  <r>
    <x v="0"/>
    <x v="14"/>
    <x v="9"/>
    <x v="42"/>
    <x v="12"/>
    <x v="4"/>
    <n v="2.2402105209999998"/>
  </r>
  <r>
    <x v="0"/>
    <x v="14"/>
    <x v="9"/>
    <x v="42"/>
    <x v="13"/>
    <x v="4"/>
    <n v="3.590458361"/>
  </r>
  <r>
    <x v="0"/>
    <x v="14"/>
    <x v="9"/>
    <x v="42"/>
    <x v="14"/>
    <x v="4"/>
    <n v="2.8389721780000001"/>
  </r>
  <r>
    <x v="0"/>
    <x v="14"/>
    <x v="9"/>
    <x v="42"/>
    <x v="15"/>
    <x v="4"/>
    <n v="12.507860256000001"/>
  </r>
  <r>
    <x v="0"/>
    <x v="14"/>
    <x v="9"/>
    <x v="42"/>
    <x v="16"/>
    <x v="4"/>
    <n v="1.695394498"/>
  </r>
  <r>
    <x v="0"/>
    <x v="14"/>
    <x v="9"/>
    <x v="42"/>
    <x v="17"/>
    <x v="4"/>
    <n v="0"/>
  </r>
  <r>
    <x v="0"/>
    <x v="14"/>
    <x v="9"/>
    <x v="42"/>
    <x v="18"/>
    <x v="4"/>
    <n v="1.0403104999999999"/>
  </r>
  <r>
    <x v="0"/>
    <x v="14"/>
    <x v="9"/>
    <x v="42"/>
    <x v="19"/>
    <x v="4"/>
    <n v="0.53954703100000001"/>
  </r>
  <r>
    <x v="0"/>
    <x v="14"/>
    <x v="9"/>
    <x v="42"/>
    <x v="20"/>
    <x v="4"/>
    <n v="0.137422673"/>
  </r>
  <r>
    <x v="0"/>
    <x v="14"/>
    <x v="9"/>
    <x v="42"/>
    <x v="21"/>
    <x v="4"/>
    <n v="9.301947427"/>
  </r>
  <r>
    <x v="0"/>
    <x v="14"/>
    <x v="9"/>
    <x v="42"/>
    <x v="22"/>
    <x v="4"/>
    <n v="9.9196045670000004"/>
  </r>
  <r>
    <x v="0"/>
    <x v="14"/>
    <x v="9"/>
    <x v="42"/>
    <x v="23"/>
    <x v="4"/>
    <n v="9.1444514239999997"/>
  </r>
  <r>
    <x v="0"/>
    <x v="14"/>
    <x v="9"/>
    <x v="42"/>
    <x v="24"/>
    <x v="4"/>
    <n v="0.657470903"/>
  </r>
  <r>
    <x v="0"/>
    <x v="14"/>
    <x v="9"/>
    <x v="42"/>
    <x v="25"/>
    <x v="4"/>
    <n v="0.69738991299999997"/>
  </r>
  <r>
    <x v="0"/>
    <x v="14"/>
    <x v="9"/>
    <x v="42"/>
    <x v="26"/>
    <x v="4"/>
    <n v="0"/>
  </r>
  <r>
    <x v="0"/>
    <x v="14"/>
    <x v="9"/>
    <x v="42"/>
    <x v="27"/>
    <x v="4"/>
    <n v="0"/>
  </r>
  <r>
    <x v="0"/>
    <x v="14"/>
    <x v="9"/>
    <x v="42"/>
    <x v="28"/>
    <x v="4"/>
    <n v="9.7259728889999995"/>
  </r>
  <r>
    <x v="0"/>
    <x v="14"/>
    <x v="9"/>
    <x v="42"/>
    <x v="29"/>
    <x v="4"/>
    <n v="1.3169326139999999"/>
  </r>
  <r>
    <x v="0"/>
    <x v="14"/>
    <x v="9"/>
    <x v="42"/>
    <x v="30"/>
    <x v="4"/>
    <n v="0.60390666000000004"/>
  </r>
  <r>
    <x v="0"/>
    <x v="14"/>
    <x v="9"/>
    <x v="42"/>
    <x v="31"/>
    <x v="4"/>
    <n v="0"/>
  </r>
  <r>
    <x v="0"/>
    <x v="14"/>
    <x v="9"/>
    <x v="42"/>
    <x v="32"/>
    <x v="4"/>
    <n v="40.900001189999998"/>
  </r>
  <r>
    <x v="0"/>
    <x v="14"/>
    <x v="9"/>
    <x v="42"/>
    <x v="33"/>
    <x v="4"/>
    <n v="13.596891586"/>
  </r>
  <r>
    <x v="0"/>
    <x v="14"/>
    <x v="9"/>
    <x v="42"/>
    <x v="34"/>
    <x v="4"/>
    <n v="2.082720057"/>
  </r>
  <r>
    <x v="0"/>
    <x v="14"/>
    <x v="9"/>
    <x v="42"/>
    <x v="35"/>
    <x v="4"/>
    <n v="19.990511265999999"/>
  </r>
  <r>
    <x v="0"/>
    <x v="14"/>
    <x v="9"/>
    <x v="42"/>
    <x v="36"/>
    <x v="4"/>
    <n v="26.116824513000001"/>
  </r>
  <r>
    <x v="0"/>
    <x v="14"/>
    <x v="9"/>
    <x v="42"/>
    <x v="37"/>
    <x v="4"/>
    <n v="182.72601320199999"/>
  </r>
  <r>
    <x v="0"/>
    <x v="14"/>
    <x v="9"/>
    <x v="42"/>
    <x v="38"/>
    <x v="4"/>
    <n v="0.50432485199999999"/>
  </r>
  <r>
    <x v="0"/>
    <x v="14"/>
    <x v="9"/>
    <x v="42"/>
    <x v="39"/>
    <x v="4"/>
    <n v="0.22918401399999999"/>
  </r>
  <r>
    <x v="0"/>
    <x v="14"/>
    <x v="9"/>
    <x v="42"/>
    <x v="40"/>
    <x v="4"/>
    <n v="0.32124567700000001"/>
  </r>
  <r>
    <x v="0"/>
    <x v="14"/>
    <x v="9"/>
    <x v="42"/>
    <x v="41"/>
    <x v="4"/>
    <n v="3.6617611499999998"/>
  </r>
  <r>
    <x v="0"/>
    <x v="14"/>
    <x v="9"/>
    <x v="42"/>
    <x v="42"/>
    <x v="4"/>
    <n v="-4.7931026909999996"/>
  </r>
  <r>
    <x v="0"/>
    <x v="14"/>
    <x v="9"/>
    <x v="42"/>
    <x v="43"/>
    <x v="4"/>
    <n v="-0.10545705499999999"/>
  </r>
  <r>
    <x v="0"/>
    <x v="14"/>
    <x v="9"/>
    <x v="42"/>
    <x v="44"/>
    <x v="4"/>
    <n v="2.3714620740000001"/>
  </r>
  <r>
    <x v="0"/>
    <x v="14"/>
    <x v="9"/>
    <x v="42"/>
    <x v="45"/>
    <x v="4"/>
    <n v="-0.10515918"/>
  </r>
  <r>
    <x v="0"/>
    <x v="14"/>
    <x v="10"/>
    <x v="42"/>
    <x v="0"/>
    <x v="4"/>
    <n v="0.61961606000000002"/>
  </r>
  <r>
    <x v="0"/>
    <x v="14"/>
    <x v="11"/>
    <x v="42"/>
    <x v="0"/>
    <x v="4"/>
    <n v="15.008533894999999"/>
  </r>
  <r>
    <x v="0"/>
    <x v="14"/>
    <x v="9"/>
    <x v="43"/>
    <x v="4"/>
    <x v="4"/>
    <n v="141.563807102"/>
  </r>
  <r>
    <x v="0"/>
    <x v="14"/>
    <x v="9"/>
    <x v="43"/>
    <x v="5"/>
    <x v="4"/>
    <n v="0.72548639299999995"/>
  </r>
  <r>
    <x v="0"/>
    <x v="14"/>
    <x v="9"/>
    <x v="43"/>
    <x v="6"/>
    <x v="4"/>
    <n v="0"/>
  </r>
  <r>
    <x v="0"/>
    <x v="14"/>
    <x v="9"/>
    <x v="43"/>
    <x v="7"/>
    <x v="4"/>
    <n v="0"/>
  </r>
  <r>
    <x v="0"/>
    <x v="14"/>
    <x v="9"/>
    <x v="43"/>
    <x v="8"/>
    <x v="4"/>
    <n v="0"/>
  </r>
  <r>
    <x v="0"/>
    <x v="14"/>
    <x v="9"/>
    <x v="43"/>
    <x v="9"/>
    <x v="4"/>
    <n v="320.294415431"/>
  </r>
  <r>
    <x v="0"/>
    <x v="14"/>
    <x v="9"/>
    <x v="43"/>
    <x v="10"/>
    <x v="4"/>
    <n v="2.9804883640000002"/>
  </r>
  <r>
    <x v="0"/>
    <x v="14"/>
    <x v="9"/>
    <x v="43"/>
    <x v="11"/>
    <x v="4"/>
    <n v="60.471201837000002"/>
  </r>
  <r>
    <x v="0"/>
    <x v="14"/>
    <x v="9"/>
    <x v="43"/>
    <x v="12"/>
    <x v="4"/>
    <n v="5.4947525329999998"/>
  </r>
  <r>
    <x v="0"/>
    <x v="14"/>
    <x v="9"/>
    <x v="43"/>
    <x v="13"/>
    <x v="4"/>
    <n v="10.340213368000001"/>
  </r>
  <r>
    <x v="0"/>
    <x v="14"/>
    <x v="9"/>
    <x v="43"/>
    <x v="14"/>
    <x v="4"/>
    <n v="20.207593366000001"/>
  </r>
  <r>
    <x v="0"/>
    <x v="14"/>
    <x v="9"/>
    <x v="43"/>
    <x v="15"/>
    <x v="4"/>
    <n v="40.820852102000003"/>
  </r>
  <r>
    <x v="0"/>
    <x v="14"/>
    <x v="9"/>
    <x v="43"/>
    <x v="16"/>
    <x v="4"/>
    <n v="2.7097865360000002"/>
  </r>
  <r>
    <x v="0"/>
    <x v="14"/>
    <x v="9"/>
    <x v="43"/>
    <x v="17"/>
    <x v="4"/>
    <n v="0"/>
  </r>
  <r>
    <x v="0"/>
    <x v="14"/>
    <x v="9"/>
    <x v="43"/>
    <x v="18"/>
    <x v="4"/>
    <n v="3.2004757210000001"/>
  </r>
  <r>
    <x v="0"/>
    <x v="14"/>
    <x v="9"/>
    <x v="43"/>
    <x v="19"/>
    <x v="4"/>
    <n v="0.85335318500000001"/>
  </r>
  <r>
    <x v="0"/>
    <x v="14"/>
    <x v="9"/>
    <x v="43"/>
    <x v="20"/>
    <x v="4"/>
    <n v="0.84559262199999996"/>
  </r>
  <r>
    <x v="0"/>
    <x v="14"/>
    <x v="9"/>
    <x v="43"/>
    <x v="21"/>
    <x v="4"/>
    <n v="49.228657259999999"/>
  </r>
  <r>
    <x v="0"/>
    <x v="14"/>
    <x v="9"/>
    <x v="43"/>
    <x v="22"/>
    <x v="4"/>
    <n v="21.393689943999998"/>
  </r>
  <r>
    <x v="0"/>
    <x v="14"/>
    <x v="9"/>
    <x v="43"/>
    <x v="23"/>
    <x v="4"/>
    <n v="23.279011142000002"/>
  </r>
  <r>
    <x v="0"/>
    <x v="14"/>
    <x v="9"/>
    <x v="43"/>
    <x v="24"/>
    <x v="4"/>
    <n v="1.119712107"/>
  </r>
  <r>
    <x v="0"/>
    <x v="14"/>
    <x v="9"/>
    <x v="43"/>
    <x v="25"/>
    <x v="4"/>
    <n v="1.070625148"/>
  </r>
  <r>
    <x v="0"/>
    <x v="14"/>
    <x v="9"/>
    <x v="43"/>
    <x v="26"/>
    <x v="4"/>
    <n v="0"/>
  </r>
  <r>
    <x v="0"/>
    <x v="14"/>
    <x v="9"/>
    <x v="43"/>
    <x v="27"/>
    <x v="4"/>
    <n v="0"/>
  </r>
  <r>
    <x v="0"/>
    <x v="14"/>
    <x v="9"/>
    <x v="43"/>
    <x v="28"/>
    <x v="4"/>
    <n v="10.070489745"/>
  </r>
  <r>
    <x v="0"/>
    <x v="14"/>
    <x v="9"/>
    <x v="43"/>
    <x v="29"/>
    <x v="4"/>
    <n v="8.7845796650000008"/>
  </r>
  <r>
    <x v="0"/>
    <x v="14"/>
    <x v="9"/>
    <x v="43"/>
    <x v="30"/>
    <x v="4"/>
    <n v="-0.20658492000000001"/>
  </r>
  <r>
    <x v="0"/>
    <x v="14"/>
    <x v="9"/>
    <x v="43"/>
    <x v="31"/>
    <x v="4"/>
    <n v="0"/>
  </r>
  <r>
    <x v="0"/>
    <x v="14"/>
    <x v="9"/>
    <x v="43"/>
    <x v="32"/>
    <x v="4"/>
    <n v="45.966094446"/>
  </r>
  <r>
    <x v="0"/>
    <x v="14"/>
    <x v="9"/>
    <x v="43"/>
    <x v="33"/>
    <x v="4"/>
    <n v="12.29596776"/>
  </r>
  <r>
    <x v="0"/>
    <x v="14"/>
    <x v="9"/>
    <x v="43"/>
    <x v="34"/>
    <x v="4"/>
    <n v="-24.566191606"/>
  </r>
  <r>
    <x v="0"/>
    <x v="14"/>
    <x v="9"/>
    <x v="43"/>
    <x v="35"/>
    <x v="4"/>
    <n v="30.013857609999999"/>
  </r>
  <r>
    <x v="0"/>
    <x v="14"/>
    <x v="9"/>
    <x v="43"/>
    <x v="36"/>
    <x v="4"/>
    <n v="58.570913654999998"/>
  </r>
  <r>
    <x v="0"/>
    <x v="14"/>
    <x v="9"/>
    <x v="43"/>
    <x v="37"/>
    <x v="4"/>
    <n v="302.42517656400003"/>
  </r>
  <r>
    <x v="0"/>
    <x v="14"/>
    <x v="9"/>
    <x v="43"/>
    <x v="38"/>
    <x v="4"/>
    <n v="0.61562908299999997"/>
  </r>
  <r>
    <x v="0"/>
    <x v="14"/>
    <x v="9"/>
    <x v="43"/>
    <x v="39"/>
    <x v="4"/>
    <n v="-0.156622977"/>
  </r>
  <r>
    <x v="0"/>
    <x v="14"/>
    <x v="9"/>
    <x v="43"/>
    <x v="40"/>
    <x v="4"/>
    <n v="-1.1041469939999999"/>
  </r>
  <r>
    <x v="0"/>
    <x v="14"/>
    <x v="9"/>
    <x v="43"/>
    <x v="41"/>
    <x v="4"/>
    <n v="-15.29254607"/>
  </r>
  <r>
    <x v="0"/>
    <x v="14"/>
    <x v="9"/>
    <x v="43"/>
    <x v="42"/>
    <x v="4"/>
    <n v="-33.005564417000002"/>
  </r>
  <r>
    <x v="0"/>
    <x v="14"/>
    <x v="9"/>
    <x v="43"/>
    <x v="43"/>
    <x v="4"/>
    <n v="-30.865584650999999"/>
  </r>
  <r>
    <x v="0"/>
    <x v="14"/>
    <x v="9"/>
    <x v="43"/>
    <x v="44"/>
    <x v="4"/>
    <n v="-2.2489374029999998"/>
  </r>
  <r>
    <x v="0"/>
    <x v="14"/>
    <x v="9"/>
    <x v="43"/>
    <x v="45"/>
    <x v="4"/>
    <n v="-2.1089197350000002"/>
  </r>
  <r>
    <x v="0"/>
    <x v="14"/>
    <x v="10"/>
    <x v="43"/>
    <x v="0"/>
    <x v="4"/>
    <n v="1.5450426740000001"/>
  </r>
  <r>
    <x v="0"/>
    <x v="14"/>
    <x v="11"/>
    <x v="43"/>
    <x v="0"/>
    <x v="4"/>
    <n v="39.788149169"/>
  </r>
  <r>
    <x v="0"/>
    <x v="14"/>
    <x v="12"/>
    <x v="0"/>
    <x v="0"/>
    <x v="0"/>
    <n v="810.52942600699998"/>
  </r>
  <r>
    <x v="0"/>
    <x v="14"/>
    <x v="13"/>
    <x v="0"/>
    <x v="0"/>
    <x v="0"/>
    <n v="316.43386758299999"/>
  </r>
  <r>
    <x v="0"/>
    <x v="14"/>
    <x v="14"/>
    <x v="0"/>
    <x v="0"/>
    <x v="0"/>
    <n v="1.073214197"/>
  </r>
  <r>
    <x v="0"/>
    <x v="14"/>
    <x v="15"/>
    <x v="0"/>
    <x v="0"/>
    <x v="1"/>
    <n v="9.4684787000000006E-2"/>
  </r>
  <r>
    <x v="0"/>
    <x v="14"/>
    <x v="16"/>
    <x v="0"/>
    <x v="0"/>
    <x v="1"/>
    <n v="0.10081869"/>
  </r>
  <r>
    <x v="0"/>
    <x v="14"/>
    <x v="12"/>
    <x v="1"/>
    <x v="0"/>
    <x v="0"/>
    <n v="262.76696559300001"/>
  </r>
  <r>
    <x v="0"/>
    <x v="14"/>
    <x v="13"/>
    <x v="1"/>
    <x v="0"/>
    <x v="0"/>
    <n v="39.892765494000002"/>
  </r>
  <r>
    <x v="0"/>
    <x v="14"/>
    <x v="14"/>
    <x v="1"/>
    <x v="0"/>
    <x v="0"/>
    <n v="0.353741156"/>
  </r>
  <r>
    <x v="0"/>
    <x v="14"/>
    <x v="15"/>
    <x v="1"/>
    <x v="0"/>
    <x v="1"/>
    <n v="5.4028141000000002E-2"/>
  </r>
  <r>
    <x v="0"/>
    <x v="14"/>
    <x v="16"/>
    <x v="1"/>
    <x v="0"/>
    <x v="1"/>
    <n v="5.5014454999999997E-2"/>
  </r>
  <r>
    <x v="0"/>
    <x v="14"/>
    <x v="12"/>
    <x v="2"/>
    <x v="0"/>
    <x v="0"/>
    <n v="344.38178014599998"/>
  </r>
  <r>
    <x v="0"/>
    <x v="14"/>
    <x v="13"/>
    <x v="2"/>
    <x v="0"/>
    <x v="0"/>
    <n v="108.006528065"/>
  </r>
  <r>
    <x v="0"/>
    <x v="14"/>
    <x v="14"/>
    <x v="2"/>
    <x v="0"/>
    <x v="0"/>
    <n v="2.7607401500000002"/>
  </r>
  <r>
    <x v="0"/>
    <x v="14"/>
    <x v="15"/>
    <x v="2"/>
    <x v="0"/>
    <x v="1"/>
    <n v="3.3661473999999997E-2"/>
  </r>
  <r>
    <x v="0"/>
    <x v="14"/>
    <x v="16"/>
    <x v="2"/>
    <x v="0"/>
    <x v="1"/>
    <n v="3.0943154E-2"/>
  </r>
  <r>
    <x v="0"/>
    <x v="14"/>
    <x v="12"/>
    <x v="3"/>
    <x v="0"/>
    <x v="0"/>
    <n v="151.857618968"/>
  </r>
  <r>
    <x v="0"/>
    <x v="14"/>
    <x v="13"/>
    <x v="3"/>
    <x v="0"/>
    <x v="0"/>
    <n v="86.003298478999994"/>
  </r>
  <r>
    <x v="0"/>
    <x v="14"/>
    <x v="14"/>
    <x v="3"/>
    <x v="0"/>
    <x v="0"/>
    <n v="0.34393634099999998"/>
  </r>
  <r>
    <x v="0"/>
    <x v="14"/>
    <x v="15"/>
    <x v="3"/>
    <x v="0"/>
    <x v="1"/>
    <n v="4.2615037000000001E-2"/>
  </r>
  <r>
    <x v="0"/>
    <x v="14"/>
    <x v="16"/>
    <x v="3"/>
    <x v="0"/>
    <x v="1"/>
    <n v="4.3130313000000003E-2"/>
  </r>
  <r>
    <x v="0"/>
    <x v="14"/>
    <x v="12"/>
    <x v="4"/>
    <x v="0"/>
    <x v="0"/>
    <n v="69.060173469000006"/>
  </r>
  <r>
    <x v="0"/>
    <x v="14"/>
    <x v="13"/>
    <x v="4"/>
    <x v="0"/>
    <x v="0"/>
    <n v="7.167973581"/>
  </r>
  <r>
    <x v="0"/>
    <x v="14"/>
    <x v="14"/>
    <x v="4"/>
    <x v="0"/>
    <x v="0"/>
    <n v="0.56725722199999995"/>
  </r>
  <r>
    <x v="0"/>
    <x v="14"/>
    <x v="15"/>
    <x v="4"/>
    <x v="0"/>
    <x v="1"/>
    <n v="4.9137248000000001E-2"/>
  </r>
  <r>
    <x v="0"/>
    <x v="14"/>
    <x v="16"/>
    <x v="4"/>
    <x v="0"/>
    <x v="1"/>
    <n v="4.95805E-2"/>
  </r>
  <r>
    <x v="0"/>
    <x v="14"/>
    <x v="12"/>
    <x v="5"/>
    <x v="0"/>
    <x v="0"/>
    <n v="647.34053071899996"/>
  </r>
  <r>
    <x v="0"/>
    <x v="14"/>
    <x v="13"/>
    <x v="5"/>
    <x v="0"/>
    <x v="0"/>
    <n v="162.056124692"/>
  </r>
  <r>
    <x v="0"/>
    <x v="14"/>
    <x v="14"/>
    <x v="5"/>
    <x v="0"/>
    <x v="0"/>
    <n v="5.6027472930000002"/>
  </r>
  <r>
    <x v="0"/>
    <x v="14"/>
    <x v="15"/>
    <x v="5"/>
    <x v="0"/>
    <x v="1"/>
    <n v="7.1415260999999994E-2"/>
  </r>
  <r>
    <x v="0"/>
    <x v="14"/>
    <x v="16"/>
    <x v="5"/>
    <x v="0"/>
    <x v="1"/>
    <n v="7.3843231999999995E-2"/>
  </r>
  <r>
    <x v="0"/>
    <x v="14"/>
    <x v="12"/>
    <x v="6"/>
    <x v="0"/>
    <x v="0"/>
    <n v="209.19613803199999"/>
  </r>
  <r>
    <x v="0"/>
    <x v="14"/>
    <x v="13"/>
    <x v="6"/>
    <x v="0"/>
    <x v="0"/>
    <n v="26.158058151999999"/>
  </r>
  <r>
    <x v="0"/>
    <x v="14"/>
    <x v="14"/>
    <x v="6"/>
    <x v="0"/>
    <x v="0"/>
    <n v="10.585221297"/>
  </r>
  <r>
    <x v="0"/>
    <x v="14"/>
    <x v="15"/>
    <x v="6"/>
    <x v="0"/>
    <x v="1"/>
    <n v="6.4707677000000005E-2"/>
  </r>
  <r>
    <x v="0"/>
    <x v="14"/>
    <x v="16"/>
    <x v="6"/>
    <x v="0"/>
    <x v="1"/>
    <n v="6.5734539999999994E-2"/>
  </r>
  <r>
    <x v="0"/>
    <x v="14"/>
    <x v="12"/>
    <x v="7"/>
    <x v="0"/>
    <x v="0"/>
    <n v="113.159778919"/>
  </r>
  <r>
    <x v="0"/>
    <x v="14"/>
    <x v="13"/>
    <x v="7"/>
    <x v="0"/>
    <x v="0"/>
    <n v="41.040366056000003"/>
  </r>
  <r>
    <x v="0"/>
    <x v="14"/>
    <x v="14"/>
    <x v="7"/>
    <x v="0"/>
    <x v="0"/>
    <n v="21.788058006"/>
  </r>
  <r>
    <x v="0"/>
    <x v="14"/>
    <x v="15"/>
    <x v="7"/>
    <x v="0"/>
    <x v="1"/>
    <n v="6.6742756E-2"/>
  </r>
  <r>
    <x v="0"/>
    <x v="14"/>
    <x v="16"/>
    <x v="7"/>
    <x v="0"/>
    <x v="1"/>
    <n v="6.9845781999999995E-2"/>
  </r>
  <r>
    <x v="0"/>
    <x v="14"/>
    <x v="12"/>
    <x v="8"/>
    <x v="0"/>
    <x v="0"/>
    <n v="89.312797731000003"/>
  </r>
  <r>
    <x v="0"/>
    <x v="14"/>
    <x v="13"/>
    <x v="8"/>
    <x v="0"/>
    <x v="0"/>
    <n v="11.071689237999999"/>
  </r>
  <r>
    <x v="0"/>
    <x v="14"/>
    <x v="14"/>
    <x v="8"/>
    <x v="0"/>
    <x v="0"/>
    <n v="8.3120107819999998"/>
  </r>
  <r>
    <x v="0"/>
    <x v="14"/>
    <x v="15"/>
    <x v="8"/>
    <x v="0"/>
    <x v="1"/>
    <n v="6.0144101999999998E-2"/>
  </r>
  <r>
    <x v="0"/>
    <x v="14"/>
    <x v="16"/>
    <x v="8"/>
    <x v="0"/>
    <x v="1"/>
    <n v="6.1045335999999999E-2"/>
  </r>
  <r>
    <x v="0"/>
    <x v="14"/>
    <x v="12"/>
    <x v="9"/>
    <x v="0"/>
    <x v="0"/>
    <n v="245.668782196"/>
  </r>
  <r>
    <x v="0"/>
    <x v="14"/>
    <x v="13"/>
    <x v="9"/>
    <x v="0"/>
    <x v="0"/>
    <n v="40.740796473000003"/>
  </r>
  <r>
    <x v="0"/>
    <x v="14"/>
    <x v="14"/>
    <x v="9"/>
    <x v="0"/>
    <x v="0"/>
    <n v="19.908689623000001"/>
  </r>
  <r>
    <x v="0"/>
    <x v="14"/>
    <x v="15"/>
    <x v="9"/>
    <x v="0"/>
    <x v="1"/>
    <n v="5.3156131000000002E-2"/>
  </r>
  <r>
    <x v="0"/>
    <x v="14"/>
    <x v="16"/>
    <x v="9"/>
    <x v="0"/>
    <x v="1"/>
    <n v="5.4026110000000002E-2"/>
  </r>
  <r>
    <x v="0"/>
    <x v="14"/>
    <x v="12"/>
    <x v="10"/>
    <x v="0"/>
    <x v="0"/>
    <n v="395.203718638"/>
  </r>
  <r>
    <x v="0"/>
    <x v="14"/>
    <x v="13"/>
    <x v="10"/>
    <x v="0"/>
    <x v="0"/>
    <n v="38.213618402000002"/>
  </r>
  <r>
    <x v="0"/>
    <x v="14"/>
    <x v="14"/>
    <x v="10"/>
    <x v="0"/>
    <x v="0"/>
    <n v="7.6253208199999998"/>
  </r>
  <r>
    <x v="0"/>
    <x v="14"/>
    <x v="15"/>
    <x v="10"/>
    <x v="0"/>
    <x v="1"/>
    <n v="3.7652249999999998E-2"/>
  </r>
  <r>
    <x v="0"/>
    <x v="14"/>
    <x v="16"/>
    <x v="10"/>
    <x v="0"/>
    <x v="1"/>
    <n v="3.7429790999999997E-2"/>
  </r>
  <r>
    <x v="0"/>
    <x v="14"/>
    <x v="12"/>
    <x v="11"/>
    <x v="0"/>
    <x v="0"/>
    <n v="1023.394009639"/>
  </r>
  <r>
    <x v="0"/>
    <x v="14"/>
    <x v="13"/>
    <x v="11"/>
    <x v="0"/>
    <x v="0"/>
    <n v="218.93120095200001"/>
  </r>
  <r>
    <x v="0"/>
    <x v="14"/>
    <x v="14"/>
    <x v="11"/>
    <x v="0"/>
    <x v="0"/>
    <n v="42.351507220000002"/>
  </r>
  <r>
    <x v="0"/>
    <x v="14"/>
    <x v="15"/>
    <x v="11"/>
    <x v="0"/>
    <x v="1"/>
    <n v="4.6065488000000002E-2"/>
  </r>
  <r>
    <x v="0"/>
    <x v="14"/>
    <x v="16"/>
    <x v="11"/>
    <x v="0"/>
    <x v="1"/>
    <n v="4.6584978999999999E-2"/>
  </r>
  <r>
    <x v="0"/>
    <x v="14"/>
    <x v="12"/>
    <x v="12"/>
    <x v="0"/>
    <x v="0"/>
    <n v="259.089942673"/>
  </r>
  <r>
    <x v="0"/>
    <x v="14"/>
    <x v="13"/>
    <x v="12"/>
    <x v="0"/>
    <x v="0"/>
    <n v="8.0324054969999992"/>
  </r>
  <r>
    <x v="0"/>
    <x v="14"/>
    <x v="14"/>
    <x v="12"/>
    <x v="0"/>
    <x v="0"/>
    <n v="9.2779812110000002"/>
  </r>
  <r>
    <x v="0"/>
    <x v="14"/>
    <x v="15"/>
    <x v="12"/>
    <x v="0"/>
    <x v="1"/>
    <n v="4.6843260999999997E-2"/>
  </r>
  <r>
    <x v="0"/>
    <x v="14"/>
    <x v="16"/>
    <x v="12"/>
    <x v="0"/>
    <x v="1"/>
    <n v="4.6930108999999998E-2"/>
  </r>
  <r>
    <x v="0"/>
    <x v="14"/>
    <x v="12"/>
    <x v="13"/>
    <x v="0"/>
    <x v="0"/>
    <n v="744.44174398400003"/>
  </r>
  <r>
    <x v="0"/>
    <x v="14"/>
    <x v="13"/>
    <x v="13"/>
    <x v="0"/>
    <x v="0"/>
    <n v="82.233927905000002"/>
  </r>
  <r>
    <x v="0"/>
    <x v="14"/>
    <x v="14"/>
    <x v="13"/>
    <x v="0"/>
    <x v="0"/>
    <n v="23.412642741999999"/>
  </r>
  <r>
    <x v="0"/>
    <x v="14"/>
    <x v="15"/>
    <x v="13"/>
    <x v="0"/>
    <x v="1"/>
    <n v="3.8442509E-2"/>
  </r>
  <r>
    <x v="0"/>
    <x v="14"/>
    <x v="16"/>
    <x v="13"/>
    <x v="0"/>
    <x v="1"/>
    <n v="3.8247268000000001E-2"/>
  </r>
  <r>
    <x v="0"/>
    <x v="14"/>
    <x v="12"/>
    <x v="14"/>
    <x v="0"/>
    <x v="0"/>
    <n v="189.96823217400001"/>
  </r>
  <r>
    <x v="0"/>
    <x v="14"/>
    <x v="13"/>
    <x v="14"/>
    <x v="0"/>
    <x v="0"/>
    <n v="10.983805563000001"/>
  </r>
  <r>
    <x v="0"/>
    <x v="14"/>
    <x v="14"/>
    <x v="14"/>
    <x v="0"/>
    <x v="0"/>
    <n v="17.246653946999999"/>
  </r>
  <r>
    <x v="0"/>
    <x v="14"/>
    <x v="15"/>
    <x v="14"/>
    <x v="0"/>
    <x v="1"/>
    <n v="4.4815042999999999E-2"/>
  </r>
  <r>
    <x v="0"/>
    <x v="14"/>
    <x v="16"/>
    <x v="14"/>
    <x v="0"/>
    <x v="1"/>
    <n v="4.4919384999999999E-2"/>
  </r>
  <r>
    <x v="0"/>
    <x v="14"/>
    <x v="12"/>
    <x v="15"/>
    <x v="0"/>
    <x v="0"/>
    <n v="195.89593992900001"/>
  </r>
  <r>
    <x v="0"/>
    <x v="14"/>
    <x v="13"/>
    <x v="15"/>
    <x v="0"/>
    <x v="0"/>
    <n v="71.156495164000006"/>
  </r>
  <r>
    <x v="0"/>
    <x v="14"/>
    <x v="14"/>
    <x v="15"/>
    <x v="0"/>
    <x v="0"/>
    <n v="24.244695944"/>
  </r>
  <r>
    <x v="0"/>
    <x v="14"/>
    <x v="15"/>
    <x v="15"/>
    <x v="0"/>
    <x v="1"/>
    <n v="4.8011056000000003E-2"/>
  </r>
  <r>
    <x v="0"/>
    <x v="14"/>
    <x v="16"/>
    <x v="15"/>
    <x v="0"/>
    <x v="1"/>
    <n v="4.9209377999999998E-2"/>
  </r>
  <r>
    <x v="0"/>
    <x v="14"/>
    <x v="12"/>
    <x v="16"/>
    <x v="0"/>
    <x v="0"/>
    <n v="123.94618334800001"/>
  </r>
  <r>
    <x v="0"/>
    <x v="14"/>
    <x v="13"/>
    <x v="16"/>
    <x v="0"/>
    <x v="0"/>
    <n v="60.696732228000002"/>
  </r>
  <r>
    <x v="0"/>
    <x v="14"/>
    <x v="14"/>
    <x v="16"/>
    <x v="0"/>
    <x v="0"/>
    <n v="11.362701753"/>
  </r>
  <r>
    <x v="0"/>
    <x v="14"/>
    <x v="15"/>
    <x v="16"/>
    <x v="0"/>
    <x v="1"/>
    <n v="5.0019502E-2"/>
  </r>
  <r>
    <x v="0"/>
    <x v="14"/>
    <x v="16"/>
    <x v="16"/>
    <x v="0"/>
    <x v="1"/>
    <n v="5.2011633000000002E-2"/>
  </r>
  <r>
    <x v="0"/>
    <x v="14"/>
    <x v="12"/>
    <x v="17"/>
    <x v="0"/>
    <x v="0"/>
    <n v="304.81783452899998"/>
  </r>
  <r>
    <x v="0"/>
    <x v="14"/>
    <x v="13"/>
    <x v="17"/>
    <x v="0"/>
    <x v="0"/>
    <n v="101.677337581"/>
  </r>
  <r>
    <x v="0"/>
    <x v="14"/>
    <x v="14"/>
    <x v="17"/>
    <x v="0"/>
    <x v="0"/>
    <n v="18.808688887999999"/>
  </r>
  <r>
    <x v="0"/>
    <x v="14"/>
    <x v="15"/>
    <x v="17"/>
    <x v="0"/>
    <x v="1"/>
    <n v="5.0250688000000002E-2"/>
  </r>
  <r>
    <x v="0"/>
    <x v="14"/>
    <x v="16"/>
    <x v="17"/>
    <x v="0"/>
    <x v="1"/>
    <n v="5.1626704000000002E-2"/>
  </r>
  <r>
    <x v="0"/>
    <x v="14"/>
    <x v="12"/>
    <x v="18"/>
    <x v="0"/>
    <x v="0"/>
    <n v="242.13597862699999"/>
  </r>
  <r>
    <x v="0"/>
    <x v="14"/>
    <x v="13"/>
    <x v="18"/>
    <x v="0"/>
    <x v="0"/>
    <n v="55.696219665000001"/>
  </r>
  <r>
    <x v="0"/>
    <x v="14"/>
    <x v="14"/>
    <x v="18"/>
    <x v="0"/>
    <x v="0"/>
    <n v="41.716596105000001"/>
  </r>
  <r>
    <x v="0"/>
    <x v="14"/>
    <x v="15"/>
    <x v="18"/>
    <x v="0"/>
    <x v="1"/>
    <n v="4.5418281999999997E-2"/>
  </r>
  <r>
    <x v="0"/>
    <x v="14"/>
    <x v="16"/>
    <x v="18"/>
    <x v="0"/>
    <x v="1"/>
    <n v="4.5897333999999998E-2"/>
  </r>
  <r>
    <x v="0"/>
    <x v="14"/>
    <x v="12"/>
    <x v="19"/>
    <x v="0"/>
    <x v="0"/>
    <n v="238.58777831399999"/>
  </r>
  <r>
    <x v="0"/>
    <x v="14"/>
    <x v="13"/>
    <x v="19"/>
    <x v="0"/>
    <x v="0"/>
    <n v="312.96817559099998"/>
  </r>
  <r>
    <x v="0"/>
    <x v="14"/>
    <x v="14"/>
    <x v="19"/>
    <x v="0"/>
    <x v="0"/>
    <n v="105.78716827"/>
  </r>
  <r>
    <x v="0"/>
    <x v="14"/>
    <x v="15"/>
    <x v="19"/>
    <x v="0"/>
    <x v="1"/>
    <n v="4.6405187000000001E-2"/>
  </r>
  <r>
    <x v="0"/>
    <x v="14"/>
    <x v="16"/>
    <x v="19"/>
    <x v="0"/>
    <x v="1"/>
    <n v="4.9849857999999997E-2"/>
  </r>
  <r>
    <x v="0"/>
    <x v="14"/>
    <x v="12"/>
    <x v="20"/>
    <x v="0"/>
    <x v="0"/>
    <n v="39.054394191"/>
  </r>
  <r>
    <x v="0"/>
    <x v="14"/>
    <x v="13"/>
    <x v="20"/>
    <x v="0"/>
    <x v="0"/>
    <n v="44.734459389000001"/>
  </r>
  <r>
    <x v="0"/>
    <x v="14"/>
    <x v="14"/>
    <x v="20"/>
    <x v="0"/>
    <x v="0"/>
    <n v="8.4760656109999992"/>
  </r>
  <r>
    <x v="0"/>
    <x v="14"/>
    <x v="15"/>
    <x v="20"/>
    <x v="0"/>
    <x v="1"/>
    <n v="4.4762878999999998E-2"/>
  </r>
  <r>
    <x v="0"/>
    <x v="14"/>
    <x v="16"/>
    <x v="20"/>
    <x v="0"/>
    <x v="1"/>
    <n v="4.7062843E-2"/>
  </r>
  <r>
    <x v="0"/>
    <x v="14"/>
    <x v="12"/>
    <x v="21"/>
    <x v="0"/>
    <x v="0"/>
    <n v="17.281677572"/>
  </r>
  <r>
    <x v="0"/>
    <x v="14"/>
    <x v="13"/>
    <x v="21"/>
    <x v="0"/>
    <x v="0"/>
    <n v="0.99146753600000004"/>
  </r>
  <r>
    <x v="0"/>
    <x v="14"/>
    <x v="14"/>
    <x v="21"/>
    <x v="0"/>
    <x v="0"/>
    <n v="1.5241766210000001"/>
  </r>
  <r>
    <x v="0"/>
    <x v="14"/>
    <x v="15"/>
    <x v="21"/>
    <x v="0"/>
    <x v="1"/>
    <n v="5.6088961E-2"/>
  </r>
  <r>
    <x v="0"/>
    <x v="14"/>
    <x v="16"/>
    <x v="21"/>
    <x v="0"/>
    <x v="1"/>
    <n v="5.6437108999999999E-2"/>
  </r>
  <r>
    <x v="0"/>
    <x v="14"/>
    <x v="12"/>
    <x v="22"/>
    <x v="0"/>
    <x v="0"/>
    <n v="90.359109105000002"/>
  </r>
  <r>
    <x v="0"/>
    <x v="14"/>
    <x v="13"/>
    <x v="22"/>
    <x v="0"/>
    <x v="0"/>
    <n v="1.3740105730000001"/>
  </r>
  <r>
    <x v="0"/>
    <x v="14"/>
    <x v="14"/>
    <x v="22"/>
    <x v="0"/>
    <x v="0"/>
    <n v="5.2845339200000003"/>
  </r>
  <r>
    <x v="0"/>
    <x v="14"/>
    <x v="15"/>
    <x v="22"/>
    <x v="0"/>
    <x v="1"/>
    <n v="1.1166807000000001E-2"/>
  </r>
  <r>
    <x v="0"/>
    <x v="14"/>
    <x v="16"/>
    <x v="22"/>
    <x v="0"/>
    <x v="1"/>
    <n v="9.4113949999999995E-3"/>
  </r>
  <r>
    <x v="0"/>
    <x v="14"/>
    <x v="12"/>
    <x v="23"/>
    <x v="0"/>
    <x v="0"/>
    <n v="8.5581875069999995"/>
  </r>
  <r>
    <x v="0"/>
    <x v="14"/>
    <x v="13"/>
    <x v="23"/>
    <x v="0"/>
    <x v="0"/>
    <n v="0"/>
  </r>
  <r>
    <x v="0"/>
    <x v="14"/>
    <x v="14"/>
    <x v="23"/>
    <x v="0"/>
    <x v="0"/>
    <n v="0"/>
  </r>
  <r>
    <x v="0"/>
    <x v="14"/>
    <x v="15"/>
    <x v="23"/>
    <x v="0"/>
    <x v="1"/>
    <n v="5.3744584999999997E-2"/>
  </r>
  <r>
    <x v="0"/>
    <x v="14"/>
    <x v="16"/>
    <x v="23"/>
    <x v="0"/>
    <x v="1"/>
    <n v="5.3744584999999997E-2"/>
  </r>
  <r>
    <x v="0"/>
    <x v="14"/>
    <x v="12"/>
    <x v="24"/>
    <x v="0"/>
    <x v="0"/>
    <n v="449.26927586800002"/>
  </r>
  <r>
    <x v="0"/>
    <x v="14"/>
    <x v="13"/>
    <x v="24"/>
    <x v="0"/>
    <x v="0"/>
    <n v="0.321228868"/>
  </r>
  <r>
    <x v="0"/>
    <x v="14"/>
    <x v="14"/>
    <x v="24"/>
    <x v="0"/>
    <x v="0"/>
    <n v="0.41056507199999998"/>
  </r>
  <r>
    <x v="0"/>
    <x v="14"/>
    <x v="15"/>
    <x v="24"/>
    <x v="0"/>
    <x v="1"/>
    <n v="4.1401724000000001E-2"/>
  </r>
  <r>
    <x v="0"/>
    <x v="14"/>
    <x v="16"/>
    <x v="24"/>
    <x v="0"/>
    <x v="1"/>
    <n v="4.1401757999999997E-2"/>
  </r>
  <r>
    <x v="0"/>
    <x v="14"/>
    <x v="12"/>
    <x v="25"/>
    <x v="0"/>
    <x v="0"/>
    <n v="22.809495825999999"/>
  </r>
  <r>
    <x v="0"/>
    <x v="14"/>
    <x v="13"/>
    <x v="25"/>
    <x v="0"/>
    <x v="0"/>
    <n v="1.8400000000000001E-7"/>
  </r>
  <r>
    <x v="0"/>
    <x v="14"/>
    <x v="14"/>
    <x v="25"/>
    <x v="0"/>
    <x v="0"/>
    <n v="0"/>
  </r>
  <r>
    <x v="0"/>
    <x v="14"/>
    <x v="15"/>
    <x v="25"/>
    <x v="0"/>
    <x v="1"/>
    <n v="3.7343734000000003E-2"/>
  </r>
  <r>
    <x v="0"/>
    <x v="14"/>
    <x v="16"/>
    <x v="25"/>
    <x v="0"/>
    <x v="1"/>
    <n v="3.7343734000000003E-2"/>
  </r>
  <r>
    <x v="0"/>
    <x v="14"/>
    <x v="12"/>
    <x v="26"/>
    <x v="0"/>
    <x v="0"/>
    <n v="11.068468012"/>
  </r>
  <r>
    <x v="0"/>
    <x v="14"/>
    <x v="13"/>
    <x v="26"/>
    <x v="0"/>
    <x v="0"/>
    <n v="0"/>
  </r>
  <r>
    <x v="0"/>
    <x v="14"/>
    <x v="14"/>
    <x v="26"/>
    <x v="0"/>
    <x v="0"/>
    <n v="0"/>
  </r>
  <r>
    <x v="0"/>
    <x v="14"/>
    <x v="15"/>
    <x v="26"/>
    <x v="0"/>
    <x v="1"/>
    <n v="5.3272285000000003E-2"/>
  </r>
  <r>
    <x v="0"/>
    <x v="14"/>
    <x v="16"/>
    <x v="26"/>
    <x v="0"/>
    <x v="1"/>
    <n v="5.3272285000000003E-2"/>
  </r>
  <r>
    <x v="0"/>
    <x v="14"/>
    <x v="12"/>
    <x v="27"/>
    <x v="0"/>
    <x v="0"/>
    <n v="473.44386092899998"/>
  </r>
  <r>
    <x v="0"/>
    <x v="14"/>
    <x v="13"/>
    <x v="27"/>
    <x v="0"/>
    <x v="0"/>
    <n v="4.8636763099999998"/>
  </r>
  <r>
    <x v="0"/>
    <x v="14"/>
    <x v="14"/>
    <x v="27"/>
    <x v="0"/>
    <x v="0"/>
    <n v="1.785072478"/>
  </r>
  <r>
    <x v="0"/>
    <x v="14"/>
    <x v="15"/>
    <x v="27"/>
    <x v="0"/>
    <x v="1"/>
    <n v="6.0971677000000002E-2"/>
  </r>
  <r>
    <x v="0"/>
    <x v="14"/>
    <x v="16"/>
    <x v="27"/>
    <x v="0"/>
    <x v="1"/>
    <n v="6.1050511000000002E-2"/>
  </r>
  <r>
    <x v="0"/>
    <x v="14"/>
    <x v="12"/>
    <x v="28"/>
    <x v="0"/>
    <x v="0"/>
    <n v="599.937239643"/>
  </r>
  <r>
    <x v="0"/>
    <x v="14"/>
    <x v="13"/>
    <x v="28"/>
    <x v="0"/>
    <x v="0"/>
    <n v="0"/>
  </r>
  <r>
    <x v="0"/>
    <x v="14"/>
    <x v="14"/>
    <x v="28"/>
    <x v="0"/>
    <x v="0"/>
    <n v="75.467217352999995"/>
  </r>
  <r>
    <x v="0"/>
    <x v="14"/>
    <x v="15"/>
    <x v="28"/>
    <x v="0"/>
    <x v="1"/>
    <n v="4.2791717E-2"/>
  </r>
  <r>
    <x v="0"/>
    <x v="14"/>
    <x v="16"/>
    <x v="28"/>
    <x v="0"/>
    <x v="1"/>
    <n v="4.2791717E-2"/>
  </r>
  <r>
    <x v="0"/>
    <x v="14"/>
    <x v="12"/>
    <x v="29"/>
    <x v="0"/>
    <x v="0"/>
    <n v="568.080228659"/>
  </r>
  <r>
    <x v="0"/>
    <x v="14"/>
    <x v="13"/>
    <x v="29"/>
    <x v="0"/>
    <x v="0"/>
    <n v="61.730588912999998"/>
  </r>
  <r>
    <x v="0"/>
    <x v="14"/>
    <x v="14"/>
    <x v="29"/>
    <x v="0"/>
    <x v="0"/>
    <n v="26.190085551999999"/>
  </r>
  <r>
    <x v="0"/>
    <x v="14"/>
    <x v="15"/>
    <x v="29"/>
    <x v="0"/>
    <x v="1"/>
    <n v="4.7527219000000002E-2"/>
  </r>
  <r>
    <x v="0"/>
    <x v="14"/>
    <x v="16"/>
    <x v="29"/>
    <x v="0"/>
    <x v="1"/>
    <n v="4.7891372000000001E-2"/>
  </r>
  <r>
    <x v="0"/>
    <x v="14"/>
    <x v="12"/>
    <x v="30"/>
    <x v="0"/>
    <x v="0"/>
    <n v="143.71232044800001"/>
  </r>
  <r>
    <x v="0"/>
    <x v="14"/>
    <x v="13"/>
    <x v="30"/>
    <x v="0"/>
    <x v="0"/>
    <n v="40.888438338999997"/>
  </r>
  <r>
    <x v="0"/>
    <x v="14"/>
    <x v="14"/>
    <x v="30"/>
    <x v="0"/>
    <x v="0"/>
    <n v="1.0425959220000001"/>
  </r>
  <r>
    <x v="0"/>
    <x v="14"/>
    <x v="15"/>
    <x v="30"/>
    <x v="0"/>
    <x v="1"/>
    <n v="7.3665273000000003E-2"/>
  </r>
  <r>
    <x v="0"/>
    <x v="14"/>
    <x v="16"/>
    <x v="30"/>
    <x v="0"/>
    <x v="1"/>
    <n v="7.6830887E-2"/>
  </r>
  <r>
    <x v="0"/>
    <x v="14"/>
    <x v="12"/>
    <x v="31"/>
    <x v="0"/>
    <x v="0"/>
    <n v="202.93166672699999"/>
  </r>
  <r>
    <x v="0"/>
    <x v="14"/>
    <x v="13"/>
    <x v="31"/>
    <x v="0"/>
    <x v="0"/>
    <n v="8.5609532759999993"/>
  </r>
  <r>
    <x v="0"/>
    <x v="14"/>
    <x v="14"/>
    <x v="31"/>
    <x v="0"/>
    <x v="0"/>
    <n v="7.0728018239999999"/>
  </r>
  <r>
    <x v="0"/>
    <x v="14"/>
    <x v="15"/>
    <x v="31"/>
    <x v="0"/>
    <x v="1"/>
    <n v="3.8522191999999997E-2"/>
  </r>
  <r>
    <x v="0"/>
    <x v="14"/>
    <x v="16"/>
    <x v="31"/>
    <x v="0"/>
    <x v="1"/>
    <n v="3.8438449999999999E-2"/>
  </r>
  <r>
    <x v="0"/>
    <x v="14"/>
    <x v="12"/>
    <x v="32"/>
    <x v="0"/>
    <x v="0"/>
    <n v="713.819825541"/>
  </r>
  <r>
    <x v="0"/>
    <x v="14"/>
    <x v="13"/>
    <x v="32"/>
    <x v="0"/>
    <x v="0"/>
    <n v="4.7642600350000004"/>
  </r>
  <r>
    <x v="0"/>
    <x v="14"/>
    <x v="14"/>
    <x v="32"/>
    <x v="0"/>
    <x v="0"/>
    <n v="3.4044780729999999"/>
  </r>
  <r>
    <x v="0"/>
    <x v="14"/>
    <x v="15"/>
    <x v="32"/>
    <x v="0"/>
    <x v="1"/>
    <n v="3.7466668000000002E-2"/>
  </r>
  <r>
    <x v="0"/>
    <x v="14"/>
    <x v="16"/>
    <x v="32"/>
    <x v="0"/>
    <x v="1"/>
    <n v="3.7446414999999997E-2"/>
  </r>
  <r>
    <x v="0"/>
    <x v="14"/>
    <x v="12"/>
    <x v="33"/>
    <x v="0"/>
    <x v="0"/>
    <n v="622.13242894999996"/>
  </r>
  <r>
    <x v="0"/>
    <x v="14"/>
    <x v="13"/>
    <x v="33"/>
    <x v="0"/>
    <x v="0"/>
    <n v="0"/>
  </r>
  <r>
    <x v="0"/>
    <x v="14"/>
    <x v="14"/>
    <x v="33"/>
    <x v="0"/>
    <x v="0"/>
    <n v="0"/>
  </r>
  <r>
    <x v="0"/>
    <x v="14"/>
    <x v="15"/>
    <x v="33"/>
    <x v="0"/>
    <x v="1"/>
    <n v="2.2981647000000001E-2"/>
  </r>
  <r>
    <x v="0"/>
    <x v="14"/>
    <x v="16"/>
    <x v="33"/>
    <x v="0"/>
    <x v="1"/>
    <n v="2.2981647000000001E-2"/>
  </r>
  <r>
    <x v="0"/>
    <x v="14"/>
    <x v="12"/>
    <x v="34"/>
    <x v="0"/>
    <x v="0"/>
    <n v="333.18111169899998"/>
  </r>
  <r>
    <x v="0"/>
    <x v="14"/>
    <x v="13"/>
    <x v="34"/>
    <x v="0"/>
    <x v="0"/>
    <n v="64.397703387999996"/>
  </r>
  <r>
    <x v="0"/>
    <x v="14"/>
    <x v="14"/>
    <x v="34"/>
    <x v="0"/>
    <x v="0"/>
    <n v="16.725386471"/>
  </r>
  <r>
    <x v="0"/>
    <x v="14"/>
    <x v="15"/>
    <x v="34"/>
    <x v="0"/>
    <x v="1"/>
    <n v="5.0682251999999997E-2"/>
  </r>
  <r>
    <x v="0"/>
    <x v="14"/>
    <x v="16"/>
    <x v="34"/>
    <x v="0"/>
    <x v="1"/>
    <n v="5.1575373000000001E-2"/>
  </r>
  <r>
    <x v="0"/>
    <x v="14"/>
    <x v="12"/>
    <x v="35"/>
    <x v="0"/>
    <x v="0"/>
    <n v="278.34254502700003"/>
  </r>
  <r>
    <x v="0"/>
    <x v="14"/>
    <x v="13"/>
    <x v="35"/>
    <x v="0"/>
    <x v="0"/>
    <n v="6.9090256659999998"/>
  </r>
  <r>
    <x v="0"/>
    <x v="14"/>
    <x v="14"/>
    <x v="35"/>
    <x v="0"/>
    <x v="0"/>
    <n v="0.104505142"/>
  </r>
  <r>
    <x v="0"/>
    <x v="14"/>
    <x v="15"/>
    <x v="35"/>
    <x v="0"/>
    <x v="1"/>
    <n v="5.4503393999999997E-2"/>
  </r>
  <r>
    <x v="0"/>
    <x v="14"/>
    <x v="16"/>
    <x v="35"/>
    <x v="0"/>
    <x v="1"/>
    <n v="5.4655521999999998E-2"/>
  </r>
  <r>
    <x v="0"/>
    <x v="14"/>
    <x v="12"/>
    <x v="36"/>
    <x v="0"/>
    <x v="0"/>
    <n v="90.995768838000004"/>
  </r>
  <r>
    <x v="0"/>
    <x v="14"/>
    <x v="13"/>
    <x v="36"/>
    <x v="0"/>
    <x v="0"/>
    <n v="15.219672900000001"/>
  </r>
  <r>
    <x v="0"/>
    <x v="14"/>
    <x v="14"/>
    <x v="36"/>
    <x v="0"/>
    <x v="0"/>
    <n v="0.43679046300000002"/>
  </r>
  <r>
    <x v="0"/>
    <x v="14"/>
    <x v="15"/>
    <x v="36"/>
    <x v="0"/>
    <x v="1"/>
    <n v="6.1737062000000002E-2"/>
  </r>
  <r>
    <x v="0"/>
    <x v="14"/>
    <x v="16"/>
    <x v="36"/>
    <x v="0"/>
    <x v="1"/>
    <n v="6.3164283000000002E-2"/>
  </r>
  <r>
    <x v="0"/>
    <x v="14"/>
    <x v="12"/>
    <x v="37"/>
    <x v="0"/>
    <x v="0"/>
    <n v="103.623065215"/>
  </r>
  <r>
    <x v="0"/>
    <x v="14"/>
    <x v="13"/>
    <x v="37"/>
    <x v="0"/>
    <x v="0"/>
    <n v="3.5741686129999999"/>
  </r>
  <r>
    <x v="0"/>
    <x v="14"/>
    <x v="14"/>
    <x v="37"/>
    <x v="0"/>
    <x v="0"/>
    <n v="0.28375066799999998"/>
  </r>
  <r>
    <x v="0"/>
    <x v="14"/>
    <x v="15"/>
    <x v="37"/>
    <x v="0"/>
    <x v="1"/>
    <n v="6.7420995999999997E-2"/>
  </r>
  <r>
    <x v="0"/>
    <x v="14"/>
    <x v="16"/>
    <x v="37"/>
    <x v="0"/>
    <x v="1"/>
    <n v="6.7792500000000006E-2"/>
  </r>
  <r>
    <x v="0"/>
    <x v="14"/>
    <x v="12"/>
    <x v="38"/>
    <x v="0"/>
    <x v="0"/>
    <n v="325.30681583799998"/>
  </r>
  <r>
    <x v="0"/>
    <x v="14"/>
    <x v="13"/>
    <x v="38"/>
    <x v="0"/>
    <x v="0"/>
    <n v="16.716844139999999"/>
  </r>
  <r>
    <x v="0"/>
    <x v="14"/>
    <x v="14"/>
    <x v="38"/>
    <x v="0"/>
    <x v="0"/>
    <n v="9.8314362000000002E-2"/>
  </r>
  <r>
    <x v="0"/>
    <x v="14"/>
    <x v="15"/>
    <x v="38"/>
    <x v="0"/>
    <x v="1"/>
    <n v="9.7749428999999999E-2"/>
  </r>
  <r>
    <x v="0"/>
    <x v="14"/>
    <x v="16"/>
    <x v="38"/>
    <x v="0"/>
    <x v="1"/>
    <n v="9.8709498000000007E-2"/>
  </r>
  <r>
    <x v="0"/>
    <x v="14"/>
    <x v="12"/>
    <x v="39"/>
    <x v="0"/>
    <x v="0"/>
    <n v="166.942609336"/>
  </r>
  <r>
    <x v="0"/>
    <x v="14"/>
    <x v="13"/>
    <x v="39"/>
    <x v="0"/>
    <x v="0"/>
    <n v="6.3762107600000002"/>
  </r>
  <r>
    <x v="0"/>
    <x v="14"/>
    <x v="14"/>
    <x v="39"/>
    <x v="0"/>
    <x v="0"/>
    <n v="9.5696233000000006E-2"/>
  </r>
  <r>
    <x v="0"/>
    <x v="14"/>
    <x v="15"/>
    <x v="39"/>
    <x v="0"/>
    <x v="1"/>
    <n v="7.9861335000000006E-2"/>
  </r>
  <r>
    <x v="0"/>
    <x v="14"/>
    <x v="16"/>
    <x v="39"/>
    <x v="0"/>
    <x v="1"/>
    <n v="8.0344910000000005E-2"/>
  </r>
  <r>
    <x v="0"/>
    <x v="14"/>
    <x v="12"/>
    <x v="40"/>
    <x v="0"/>
    <x v="0"/>
    <n v="63.452171149999998"/>
  </r>
  <r>
    <x v="0"/>
    <x v="14"/>
    <x v="13"/>
    <x v="40"/>
    <x v="0"/>
    <x v="0"/>
    <n v="38.296989664000002"/>
  </r>
  <r>
    <x v="0"/>
    <x v="14"/>
    <x v="14"/>
    <x v="40"/>
    <x v="0"/>
    <x v="0"/>
    <n v="1.978339589"/>
  </r>
  <r>
    <x v="0"/>
    <x v="14"/>
    <x v="15"/>
    <x v="40"/>
    <x v="0"/>
    <x v="1"/>
    <n v="5.6608040999999998E-2"/>
  </r>
  <r>
    <x v="0"/>
    <x v="14"/>
    <x v="16"/>
    <x v="40"/>
    <x v="0"/>
    <x v="1"/>
    <n v="6.1005299999999998E-2"/>
  </r>
  <r>
    <x v="0"/>
    <x v="14"/>
    <x v="12"/>
    <x v="41"/>
    <x v="0"/>
    <x v="0"/>
    <n v="689.94798579899998"/>
  </r>
  <r>
    <x v="0"/>
    <x v="14"/>
    <x v="13"/>
    <x v="41"/>
    <x v="0"/>
    <x v="0"/>
    <n v="13.298010248000001"/>
  </r>
  <r>
    <x v="0"/>
    <x v="14"/>
    <x v="14"/>
    <x v="41"/>
    <x v="0"/>
    <x v="0"/>
    <n v="0.16836329899999999"/>
  </r>
  <r>
    <x v="0"/>
    <x v="14"/>
    <x v="15"/>
    <x v="41"/>
    <x v="0"/>
    <x v="1"/>
    <n v="9.3860147000000005E-2"/>
  </r>
  <r>
    <x v="0"/>
    <x v="14"/>
    <x v="16"/>
    <x v="41"/>
    <x v="0"/>
    <x v="1"/>
    <n v="9.4177132999999996E-2"/>
  </r>
  <r>
    <x v="0"/>
    <x v="14"/>
    <x v="17"/>
    <x v="0"/>
    <x v="46"/>
    <x v="1"/>
    <n v="81.793496675"/>
  </r>
  <r>
    <x v="0"/>
    <x v="14"/>
    <x v="17"/>
    <x v="0"/>
    <x v="47"/>
    <x v="1"/>
    <n v="81.793496675"/>
  </r>
  <r>
    <x v="0"/>
    <x v="14"/>
    <x v="17"/>
    <x v="0"/>
    <x v="48"/>
    <x v="1"/>
    <n v="81.793496675"/>
  </r>
  <r>
    <x v="0"/>
    <x v="14"/>
    <x v="17"/>
    <x v="0"/>
    <x v="49"/>
    <x v="1"/>
    <n v="0"/>
  </r>
  <r>
    <x v="0"/>
    <x v="14"/>
    <x v="17"/>
    <x v="0"/>
    <x v="50"/>
    <x v="1"/>
    <n v="0"/>
  </r>
  <r>
    <x v="0"/>
    <x v="14"/>
    <x v="17"/>
    <x v="0"/>
    <x v="51"/>
    <x v="1"/>
    <n v="0"/>
  </r>
  <r>
    <x v="0"/>
    <x v="14"/>
    <x v="17"/>
    <x v="0"/>
    <x v="52"/>
    <x v="1"/>
    <n v="0"/>
  </r>
  <r>
    <x v="0"/>
    <x v="14"/>
    <x v="17"/>
    <x v="0"/>
    <x v="53"/>
    <x v="1"/>
    <n v="0"/>
  </r>
  <r>
    <x v="0"/>
    <x v="14"/>
    <x v="17"/>
    <x v="0"/>
    <x v="54"/>
    <x v="1"/>
    <n v="0"/>
  </r>
  <r>
    <x v="0"/>
    <x v="14"/>
    <x v="17"/>
    <x v="0"/>
    <x v="55"/>
    <x v="1"/>
    <n v="0"/>
  </r>
  <r>
    <x v="0"/>
    <x v="14"/>
    <x v="17"/>
    <x v="1"/>
    <x v="46"/>
    <x v="1"/>
    <n v="14.473615240999999"/>
  </r>
  <r>
    <x v="0"/>
    <x v="14"/>
    <x v="17"/>
    <x v="1"/>
    <x v="47"/>
    <x v="1"/>
    <n v="14.473615240999999"/>
  </r>
  <r>
    <x v="0"/>
    <x v="14"/>
    <x v="17"/>
    <x v="1"/>
    <x v="48"/>
    <x v="1"/>
    <n v="14.473615240999999"/>
  </r>
  <r>
    <x v="0"/>
    <x v="14"/>
    <x v="17"/>
    <x v="1"/>
    <x v="49"/>
    <x v="1"/>
    <n v="0"/>
  </r>
  <r>
    <x v="0"/>
    <x v="14"/>
    <x v="17"/>
    <x v="1"/>
    <x v="50"/>
    <x v="1"/>
    <n v="0"/>
  </r>
  <r>
    <x v="0"/>
    <x v="14"/>
    <x v="17"/>
    <x v="1"/>
    <x v="51"/>
    <x v="1"/>
    <n v="0"/>
  </r>
  <r>
    <x v="0"/>
    <x v="14"/>
    <x v="17"/>
    <x v="1"/>
    <x v="52"/>
    <x v="1"/>
    <n v="0"/>
  </r>
  <r>
    <x v="0"/>
    <x v="14"/>
    <x v="17"/>
    <x v="1"/>
    <x v="53"/>
    <x v="1"/>
    <n v="0"/>
  </r>
  <r>
    <x v="0"/>
    <x v="14"/>
    <x v="17"/>
    <x v="1"/>
    <x v="54"/>
    <x v="1"/>
    <n v="0"/>
  </r>
  <r>
    <x v="0"/>
    <x v="14"/>
    <x v="17"/>
    <x v="1"/>
    <x v="55"/>
    <x v="1"/>
    <n v="0"/>
  </r>
  <r>
    <x v="0"/>
    <x v="14"/>
    <x v="17"/>
    <x v="2"/>
    <x v="46"/>
    <x v="1"/>
    <n v="10.751130818"/>
  </r>
  <r>
    <x v="0"/>
    <x v="14"/>
    <x v="17"/>
    <x v="2"/>
    <x v="47"/>
    <x v="1"/>
    <n v="10.751130818"/>
  </r>
  <r>
    <x v="0"/>
    <x v="14"/>
    <x v="17"/>
    <x v="2"/>
    <x v="48"/>
    <x v="1"/>
    <n v="10.751130818"/>
  </r>
  <r>
    <x v="0"/>
    <x v="14"/>
    <x v="17"/>
    <x v="2"/>
    <x v="49"/>
    <x v="1"/>
    <n v="0"/>
  </r>
  <r>
    <x v="0"/>
    <x v="14"/>
    <x v="17"/>
    <x v="2"/>
    <x v="50"/>
    <x v="1"/>
    <n v="0"/>
  </r>
  <r>
    <x v="0"/>
    <x v="14"/>
    <x v="17"/>
    <x v="2"/>
    <x v="51"/>
    <x v="1"/>
    <n v="0"/>
  </r>
  <r>
    <x v="0"/>
    <x v="14"/>
    <x v="17"/>
    <x v="2"/>
    <x v="52"/>
    <x v="1"/>
    <n v="0"/>
  </r>
  <r>
    <x v="0"/>
    <x v="14"/>
    <x v="17"/>
    <x v="2"/>
    <x v="53"/>
    <x v="1"/>
    <n v="0"/>
  </r>
  <r>
    <x v="0"/>
    <x v="14"/>
    <x v="17"/>
    <x v="2"/>
    <x v="54"/>
    <x v="1"/>
    <n v="0"/>
  </r>
  <r>
    <x v="0"/>
    <x v="14"/>
    <x v="17"/>
    <x v="2"/>
    <x v="55"/>
    <x v="1"/>
    <n v="0"/>
  </r>
  <r>
    <x v="0"/>
    <x v="14"/>
    <x v="17"/>
    <x v="3"/>
    <x v="46"/>
    <x v="1"/>
    <n v="6.5650287780000003"/>
  </r>
  <r>
    <x v="0"/>
    <x v="14"/>
    <x v="17"/>
    <x v="3"/>
    <x v="47"/>
    <x v="1"/>
    <n v="6.5650287780000003"/>
  </r>
  <r>
    <x v="0"/>
    <x v="14"/>
    <x v="17"/>
    <x v="3"/>
    <x v="48"/>
    <x v="1"/>
    <n v="6.5650287780000003"/>
  </r>
  <r>
    <x v="0"/>
    <x v="14"/>
    <x v="17"/>
    <x v="3"/>
    <x v="49"/>
    <x v="1"/>
    <n v="0"/>
  </r>
  <r>
    <x v="0"/>
    <x v="14"/>
    <x v="17"/>
    <x v="3"/>
    <x v="50"/>
    <x v="1"/>
    <n v="0"/>
  </r>
  <r>
    <x v="0"/>
    <x v="14"/>
    <x v="17"/>
    <x v="3"/>
    <x v="51"/>
    <x v="1"/>
    <n v="0"/>
  </r>
  <r>
    <x v="0"/>
    <x v="14"/>
    <x v="17"/>
    <x v="3"/>
    <x v="52"/>
    <x v="1"/>
    <n v="0"/>
  </r>
  <r>
    <x v="0"/>
    <x v="14"/>
    <x v="17"/>
    <x v="3"/>
    <x v="53"/>
    <x v="1"/>
    <n v="0"/>
  </r>
  <r>
    <x v="0"/>
    <x v="14"/>
    <x v="17"/>
    <x v="3"/>
    <x v="54"/>
    <x v="1"/>
    <n v="0"/>
  </r>
  <r>
    <x v="0"/>
    <x v="14"/>
    <x v="17"/>
    <x v="3"/>
    <x v="55"/>
    <x v="1"/>
    <n v="0"/>
  </r>
  <r>
    <x v="0"/>
    <x v="14"/>
    <x v="17"/>
    <x v="4"/>
    <x v="46"/>
    <x v="1"/>
    <n v="3.4507609129999999"/>
  </r>
  <r>
    <x v="0"/>
    <x v="14"/>
    <x v="17"/>
    <x v="4"/>
    <x v="47"/>
    <x v="1"/>
    <n v="3.4507609129999999"/>
  </r>
  <r>
    <x v="0"/>
    <x v="14"/>
    <x v="17"/>
    <x v="4"/>
    <x v="48"/>
    <x v="1"/>
    <n v="3.4507609129999999"/>
  </r>
  <r>
    <x v="0"/>
    <x v="14"/>
    <x v="17"/>
    <x v="4"/>
    <x v="49"/>
    <x v="1"/>
    <n v="0"/>
  </r>
  <r>
    <x v="0"/>
    <x v="14"/>
    <x v="17"/>
    <x v="4"/>
    <x v="50"/>
    <x v="1"/>
    <n v="0"/>
  </r>
  <r>
    <x v="0"/>
    <x v="14"/>
    <x v="17"/>
    <x v="4"/>
    <x v="51"/>
    <x v="1"/>
    <n v="0"/>
  </r>
  <r>
    <x v="0"/>
    <x v="14"/>
    <x v="17"/>
    <x v="4"/>
    <x v="52"/>
    <x v="1"/>
    <n v="0"/>
  </r>
  <r>
    <x v="0"/>
    <x v="14"/>
    <x v="17"/>
    <x v="4"/>
    <x v="53"/>
    <x v="1"/>
    <n v="0"/>
  </r>
  <r>
    <x v="0"/>
    <x v="14"/>
    <x v="17"/>
    <x v="4"/>
    <x v="54"/>
    <x v="1"/>
    <n v="0"/>
  </r>
  <r>
    <x v="0"/>
    <x v="14"/>
    <x v="17"/>
    <x v="4"/>
    <x v="55"/>
    <x v="1"/>
    <n v="0"/>
  </r>
  <r>
    <x v="0"/>
    <x v="14"/>
    <x v="17"/>
    <x v="5"/>
    <x v="46"/>
    <x v="1"/>
    <n v="48.131092142999996"/>
  </r>
  <r>
    <x v="0"/>
    <x v="14"/>
    <x v="17"/>
    <x v="5"/>
    <x v="47"/>
    <x v="1"/>
    <n v="48.131092142999996"/>
  </r>
  <r>
    <x v="0"/>
    <x v="14"/>
    <x v="17"/>
    <x v="5"/>
    <x v="48"/>
    <x v="1"/>
    <n v="48.131092142999996"/>
  </r>
  <r>
    <x v="0"/>
    <x v="14"/>
    <x v="17"/>
    <x v="5"/>
    <x v="49"/>
    <x v="1"/>
    <n v="0"/>
  </r>
  <r>
    <x v="0"/>
    <x v="14"/>
    <x v="17"/>
    <x v="5"/>
    <x v="50"/>
    <x v="1"/>
    <n v="0"/>
  </r>
  <r>
    <x v="0"/>
    <x v="14"/>
    <x v="17"/>
    <x v="5"/>
    <x v="51"/>
    <x v="1"/>
    <n v="0"/>
  </r>
  <r>
    <x v="0"/>
    <x v="14"/>
    <x v="17"/>
    <x v="5"/>
    <x v="52"/>
    <x v="1"/>
    <n v="0"/>
  </r>
  <r>
    <x v="0"/>
    <x v="14"/>
    <x v="17"/>
    <x v="5"/>
    <x v="53"/>
    <x v="1"/>
    <n v="0"/>
  </r>
  <r>
    <x v="0"/>
    <x v="14"/>
    <x v="17"/>
    <x v="5"/>
    <x v="54"/>
    <x v="1"/>
    <n v="0"/>
  </r>
  <r>
    <x v="0"/>
    <x v="14"/>
    <x v="17"/>
    <x v="5"/>
    <x v="55"/>
    <x v="1"/>
    <n v="0"/>
  </r>
  <r>
    <x v="0"/>
    <x v="14"/>
    <x v="17"/>
    <x v="6"/>
    <x v="46"/>
    <x v="1"/>
    <n v="14.362778582000001"/>
  </r>
  <r>
    <x v="0"/>
    <x v="14"/>
    <x v="17"/>
    <x v="6"/>
    <x v="47"/>
    <x v="1"/>
    <n v="14.362778582000001"/>
  </r>
  <r>
    <x v="0"/>
    <x v="14"/>
    <x v="17"/>
    <x v="6"/>
    <x v="48"/>
    <x v="1"/>
    <n v="14.362778582000001"/>
  </r>
  <r>
    <x v="0"/>
    <x v="14"/>
    <x v="17"/>
    <x v="6"/>
    <x v="49"/>
    <x v="1"/>
    <n v="0"/>
  </r>
  <r>
    <x v="0"/>
    <x v="14"/>
    <x v="17"/>
    <x v="6"/>
    <x v="50"/>
    <x v="1"/>
    <n v="0"/>
  </r>
  <r>
    <x v="0"/>
    <x v="14"/>
    <x v="17"/>
    <x v="6"/>
    <x v="51"/>
    <x v="1"/>
    <n v="0"/>
  </r>
  <r>
    <x v="0"/>
    <x v="14"/>
    <x v="17"/>
    <x v="6"/>
    <x v="52"/>
    <x v="1"/>
    <n v="0"/>
  </r>
  <r>
    <x v="0"/>
    <x v="14"/>
    <x v="17"/>
    <x v="6"/>
    <x v="53"/>
    <x v="1"/>
    <n v="0"/>
  </r>
  <r>
    <x v="0"/>
    <x v="14"/>
    <x v="17"/>
    <x v="6"/>
    <x v="54"/>
    <x v="1"/>
    <n v="0"/>
  </r>
  <r>
    <x v="0"/>
    <x v="14"/>
    <x v="17"/>
    <x v="6"/>
    <x v="55"/>
    <x v="1"/>
    <n v="0"/>
  </r>
  <r>
    <x v="0"/>
    <x v="14"/>
    <x v="17"/>
    <x v="7"/>
    <x v="46"/>
    <x v="1"/>
    <n v="9.1740579770000004"/>
  </r>
  <r>
    <x v="0"/>
    <x v="14"/>
    <x v="17"/>
    <x v="7"/>
    <x v="47"/>
    <x v="1"/>
    <n v="9.1740579770000004"/>
  </r>
  <r>
    <x v="0"/>
    <x v="14"/>
    <x v="17"/>
    <x v="7"/>
    <x v="48"/>
    <x v="1"/>
    <n v="9.1740579770000004"/>
  </r>
  <r>
    <x v="0"/>
    <x v="14"/>
    <x v="17"/>
    <x v="7"/>
    <x v="49"/>
    <x v="1"/>
    <n v="0"/>
  </r>
  <r>
    <x v="0"/>
    <x v="14"/>
    <x v="17"/>
    <x v="7"/>
    <x v="50"/>
    <x v="1"/>
    <n v="0"/>
  </r>
  <r>
    <x v="0"/>
    <x v="14"/>
    <x v="17"/>
    <x v="7"/>
    <x v="51"/>
    <x v="1"/>
    <n v="0"/>
  </r>
  <r>
    <x v="0"/>
    <x v="14"/>
    <x v="17"/>
    <x v="7"/>
    <x v="52"/>
    <x v="1"/>
    <n v="0"/>
  </r>
  <r>
    <x v="0"/>
    <x v="14"/>
    <x v="17"/>
    <x v="7"/>
    <x v="53"/>
    <x v="1"/>
    <n v="0"/>
  </r>
  <r>
    <x v="0"/>
    <x v="14"/>
    <x v="17"/>
    <x v="7"/>
    <x v="54"/>
    <x v="1"/>
    <n v="0"/>
  </r>
  <r>
    <x v="0"/>
    <x v="14"/>
    <x v="17"/>
    <x v="7"/>
    <x v="55"/>
    <x v="1"/>
    <n v="0"/>
  </r>
  <r>
    <x v="0"/>
    <x v="14"/>
    <x v="17"/>
    <x v="8"/>
    <x v="46"/>
    <x v="1"/>
    <n v="5.9171730379999996"/>
  </r>
  <r>
    <x v="0"/>
    <x v="14"/>
    <x v="17"/>
    <x v="8"/>
    <x v="47"/>
    <x v="1"/>
    <n v="5.9171730379999996"/>
  </r>
  <r>
    <x v="0"/>
    <x v="14"/>
    <x v="17"/>
    <x v="8"/>
    <x v="48"/>
    <x v="1"/>
    <n v="5.9171730379999996"/>
  </r>
  <r>
    <x v="0"/>
    <x v="14"/>
    <x v="17"/>
    <x v="8"/>
    <x v="49"/>
    <x v="1"/>
    <n v="0"/>
  </r>
  <r>
    <x v="0"/>
    <x v="14"/>
    <x v="17"/>
    <x v="8"/>
    <x v="50"/>
    <x v="1"/>
    <n v="0"/>
  </r>
  <r>
    <x v="0"/>
    <x v="14"/>
    <x v="17"/>
    <x v="8"/>
    <x v="51"/>
    <x v="1"/>
    <n v="0"/>
  </r>
  <r>
    <x v="0"/>
    <x v="14"/>
    <x v="17"/>
    <x v="8"/>
    <x v="52"/>
    <x v="1"/>
    <n v="0"/>
  </r>
  <r>
    <x v="0"/>
    <x v="14"/>
    <x v="17"/>
    <x v="8"/>
    <x v="53"/>
    <x v="1"/>
    <n v="0"/>
  </r>
  <r>
    <x v="0"/>
    <x v="14"/>
    <x v="17"/>
    <x v="8"/>
    <x v="54"/>
    <x v="1"/>
    <n v="0"/>
  </r>
  <r>
    <x v="0"/>
    <x v="14"/>
    <x v="17"/>
    <x v="8"/>
    <x v="55"/>
    <x v="1"/>
    <n v="0"/>
  </r>
  <r>
    <x v="0"/>
    <x v="14"/>
    <x v="17"/>
    <x v="9"/>
    <x v="46"/>
    <x v="1"/>
    <n v="14.24011703"/>
  </r>
  <r>
    <x v="0"/>
    <x v="14"/>
    <x v="17"/>
    <x v="9"/>
    <x v="47"/>
    <x v="1"/>
    <n v="14.24011703"/>
  </r>
  <r>
    <x v="0"/>
    <x v="14"/>
    <x v="17"/>
    <x v="9"/>
    <x v="48"/>
    <x v="1"/>
    <n v="14.24011703"/>
  </r>
  <r>
    <x v="0"/>
    <x v="14"/>
    <x v="17"/>
    <x v="9"/>
    <x v="49"/>
    <x v="1"/>
    <n v="0"/>
  </r>
  <r>
    <x v="0"/>
    <x v="14"/>
    <x v="17"/>
    <x v="9"/>
    <x v="50"/>
    <x v="1"/>
    <n v="0"/>
  </r>
  <r>
    <x v="0"/>
    <x v="14"/>
    <x v="17"/>
    <x v="9"/>
    <x v="51"/>
    <x v="1"/>
    <n v="0"/>
  </r>
  <r>
    <x v="0"/>
    <x v="14"/>
    <x v="17"/>
    <x v="9"/>
    <x v="52"/>
    <x v="1"/>
    <n v="0"/>
  </r>
  <r>
    <x v="0"/>
    <x v="14"/>
    <x v="17"/>
    <x v="9"/>
    <x v="53"/>
    <x v="1"/>
    <n v="0"/>
  </r>
  <r>
    <x v="0"/>
    <x v="14"/>
    <x v="17"/>
    <x v="9"/>
    <x v="54"/>
    <x v="1"/>
    <n v="0"/>
  </r>
  <r>
    <x v="0"/>
    <x v="14"/>
    <x v="17"/>
    <x v="9"/>
    <x v="55"/>
    <x v="1"/>
    <n v="0"/>
  </r>
  <r>
    <x v="0"/>
    <x v="14"/>
    <x v="17"/>
    <x v="10"/>
    <x v="46"/>
    <x v="1"/>
    <n v="15.093795861"/>
  </r>
  <r>
    <x v="0"/>
    <x v="14"/>
    <x v="17"/>
    <x v="10"/>
    <x v="47"/>
    <x v="1"/>
    <n v="15.093795861"/>
  </r>
  <r>
    <x v="0"/>
    <x v="14"/>
    <x v="17"/>
    <x v="10"/>
    <x v="48"/>
    <x v="1"/>
    <n v="15.093795861"/>
  </r>
  <r>
    <x v="0"/>
    <x v="14"/>
    <x v="17"/>
    <x v="10"/>
    <x v="49"/>
    <x v="1"/>
    <n v="0"/>
  </r>
  <r>
    <x v="0"/>
    <x v="14"/>
    <x v="17"/>
    <x v="10"/>
    <x v="50"/>
    <x v="1"/>
    <n v="0"/>
  </r>
  <r>
    <x v="0"/>
    <x v="14"/>
    <x v="17"/>
    <x v="10"/>
    <x v="51"/>
    <x v="1"/>
    <n v="0"/>
  </r>
  <r>
    <x v="0"/>
    <x v="14"/>
    <x v="17"/>
    <x v="10"/>
    <x v="52"/>
    <x v="1"/>
    <n v="0"/>
  </r>
  <r>
    <x v="0"/>
    <x v="14"/>
    <x v="17"/>
    <x v="10"/>
    <x v="53"/>
    <x v="1"/>
    <n v="0"/>
  </r>
  <r>
    <x v="0"/>
    <x v="14"/>
    <x v="17"/>
    <x v="10"/>
    <x v="54"/>
    <x v="1"/>
    <n v="0"/>
  </r>
  <r>
    <x v="0"/>
    <x v="14"/>
    <x v="17"/>
    <x v="10"/>
    <x v="55"/>
    <x v="1"/>
    <n v="0"/>
  </r>
  <r>
    <x v="0"/>
    <x v="14"/>
    <x v="17"/>
    <x v="11"/>
    <x v="46"/>
    <x v="1"/>
    <n v="49.607081174999998"/>
  </r>
  <r>
    <x v="0"/>
    <x v="14"/>
    <x v="17"/>
    <x v="11"/>
    <x v="47"/>
    <x v="1"/>
    <n v="49.607081174999998"/>
  </r>
  <r>
    <x v="0"/>
    <x v="14"/>
    <x v="17"/>
    <x v="11"/>
    <x v="48"/>
    <x v="1"/>
    <n v="49.607081174999998"/>
  </r>
  <r>
    <x v="0"/>
    <x v="14"/>
    <x v="17"/>
    <x v="11"/>
    <x v="49"/>
    <x v="1"/>
    <n v="0"/>
  </r>
  <r>
    <x v="0"/>
    <x v="14"/>
    <x v="17"/>
    <x v="11"/>
    <x v="50"/>
    <x v="1"/>
    <n v="0"/>
  </r>
  <r>
    <x v="0"/>
    <x v="14"/>
    <x v="17"/>
    <x v="11"/>
    <x v="51"/>
    <x v="1"/>
    <n v="0"/>
  </r>
  <r>
    <x v="0"/>
    <x v="14"/>
    <x v="17"/>
    <x v="11"/>
    <x v="52"/>
    <x v="1"/>
    <n v="0"/>
  </r>
  <r>
    <x v="0"/>
    <x v="14"/>
    <x v="17"/>
    <x v="11"/>
    <x v="53"/>
    <x v="1"/>
    <n v="0"/>
  </r>
  <r>
    <x v="0"/>
    <x v="14"/>
    <x v="17"/>
    <x v="11"/>
    <x v="54"/>
    <x v="1"/>
    <n v="0"/>
  </r>
  <r>
    <x v="0"/>
    <x v="14"/>
    <x v="17"/>
    <x v="11"/>
    <x v="55"/>
    <x v="1"/>
    <n v="0"/>
  </r>
  <r>
    <x v="0"/>
    <x v="14"/>
    <x v="17"/>
    <x v="12"/>
    <x v="46"/>
    <x v="1"/>
    <n v="12.612990576"/>
  </r>
  <r>
    <x v="0"/>
    <x v="14"/>
    <x v="17"/>
    <x v="12"/>
    <x v="47"/>
    <x v="1"/>
    <n v="12.612990576"/>
  </r>
  <r>
    <x v="0"/>
    <x v="14"/>
    <x v="17"/>
    <x v="12"/>
    <x v="48"/>
    <x v="1"/>
    <n v="12.612990576"/>
  </r>
  <r>
    <x v="0"/>
    <x v="14"/>
    <x v="17"/>
    <x v="12"/>
    <x v="49"/>
    <x v="1"/>
    <n v="0"/>
  </r>
  <r>
    <x v="0"/>
    <x v="14"/>
    <x v="17"/>
    <x v="12"/>
    <x v="50"/>
    <x v="1"/>
    <n v="0"/>
  </r>
  <r>
    <x v="0"/>
    <x v="14"/>
    <x v="17"/>
    <x v="12"/>
    <x v="51"/>
    <x v="1"/>
    <n v="0"/>
  </r>
  <r>
    <x v="0"/>
    <x v="14"/>
    <x v="17"/>
    <x v="12"/>
    <x v="52"/>
    <x v="1"/>
    <n v="0"/>
  </r>
  <r>
    <x v="0"/>
    <x v="14"/>
    <x v="17"/>
    <x v="12"/>
    <x v="53"/>
    <x v="1"/>
    <n v="0"/>
  </r>
  <r>
    <x v="0"/>
    <x v="14"/>
    <x v="17"/>
    <x v="12"/>
    <x v="54"/>
    <x v="1"/>
    <n v="0"/>
  </r>
  <r>
    <x v="0"/>
    <x v="14"/>
    <x v="17"/>
    <x v="12"/>
    <x v="55"/>
    <x v="1"/>
    <n v="0"/>
  </r>
  <r>
    <x v="0"/>
    <x v="14"/>
    <x v="17"/>
    <x v="13"/>
    <x v="46"/>
    <x v="1"/>
    <n v="29.466258552999999"/>
  </r>
  <r>
    <x v="0"/>
    <x v="14"/>
    <x v="17"/>
    <x v="13"/>
    <x v="47"/>
    <x v="1"/>
    <n v="29.466258552999999"/>
  </r>
  <r>
    <x v="0"/>
    <x v="14"/>
    <x v="17"/>
    <x v="13"/>
    <x v="48"/>
    <x v="1"/>
    <n v="29.466258552999999"/>
  </r>
  <r>
    <x v="0"/>
    <x v="14"/>
    <x v="17"/>
    <x v="13"/>
    <x v="49"/>
    <x v="1"/>
    <n v="0"/>
  </r>
  <r>
    <x v="0"/>
    <x v="14"/>
    <x v="17"/>
    <x v="13"/>
    <x v="50"/>
    <x v="1"/>
    <n v="0"/>
  </r>
  <r>
    <x v="0"/>
    <x v="14"/>
    <x v="17"/>
    <x v="13"/>
    <x v="51"/>
    <x v="1"/>
    <n v="0"/>
  </r>
  <r>
    <x v="0"/>
    <x v="14"/>
    <x v="17"/>
    <x v="13"/>
    <x v="52"/>
    <x v="1"/>
    <n v="0"/>
  </r>
  <r>
    <x v="0"/>
    <x v="14"/>
    <x v="17"/>
    <x v="13"/>
    <x v="53"/>
    <x v="1"/>
    <n v="0"/>
  </r>
  <r>
    <x v="0"/>
    <x v="14"/>
    <x v="17"/>
    <x v="13"/>
    <x v="54"/>
    <x v="1"/>
    <n v="0"/>
  </r>
  <r>
    <x v="0"/>
    <x v="14"/>
    <x v="17"/>
    <x v="13"/>
    <x v="55"/>
    <x v="1"/>
    <n v="0"/>
  </r>
  <r>
    <x v="0"/>
    <x v="14"/>
    <x v="17"/>
    <x v="14"/>
    <x v="46"/>
    <x v="1"/>
    <n v="9.3295428460000007"/>
  </r>
  <r>
    <x v="0"/>
    <x v="14"/>
    <x v="17"/>
    <x v="14"/>
    <x v="47"/>
    <x v="1"/>
    <n v="9.3295428460000007"/>
  </r>
  <r>
    <x v="0"/>
    <x v="14"/>
    <x v="17"/>
    <x v="14"/>
    <x v="48"/>
    <x v="1"/>
    <n v="9.3295428460000007"/>
  </r>
  <r>
    <x v="0"/>
    <x v="14"/>
    <x v="17"/>
    <x v="14"/>
    <x v="49"/>
    <x v="1"/>
    <n v="0"/>
  </r>
  <r>
    <x v="0"/>
    <x v="14"/>
    <x v="17"/>
    <x v="14"/>
    <x v="50"/>
    <x v="1"/>
    <n v="0"/>
  </r>
  <r>
    <x v="0"/>
    <x v="14"/>
    <x v="17"/>
    <x v="14"/>
    <x v="51"/>
    <x v="1"/>
    <n v="0"/>
  </r>
  <r>
    <x v="0"/>
    <x v="14"/>
    <x v="17"/>
    <x v="14"/>
    <x v="52"/>
    <x v="1"/>
    <n v="0"/>
  </r>
  <r>
    <x v="0"/>
    <x v="14"/>
    <x v="17"/>
    <x v="14"/>
    <x v="53"/>
    <x v="1"/>
    <n v="0"/>
  </r>
  <r>
    <x v="0"/>
    <x v="14"/>
    <x v="17"/>
    <x v="14"/>
    <x v="54"/>
    <x v="1"/>
    <n v="0"/>
  </r>
  <r>
    <x v="0"/>
    <x v="14"/>
    <x v="17"/>
    <x v="14"/>
    <x v="55"/>
    <x v="1"/>
    <n v="0"/>
  </r>
  <r>
    <x v="0"/>
    <x v="14"/>
    <x v="17"/>
    <x v="15"/>
    <x v="46"/>
    <x v="1"/>
    <n v="10.837611241999999"/>
  </r>
  <r>
    <x v="0"/>
    <x v="14"/>
    <x v="17"/>
    <x v="15"/>
    <x v="47"/>
    <x v="1"/>
    <n v="10.837611241999999"/>
  </r>
  <r>
    <x v="0"/>
    <x v="14"/>
    <x v="17"/>
    <x v="15"/>
    <x v="48"/>
    <x v="1"/>
    <n v="10.837611241999999"/>
  </r>
  <r>
    <x v="0"/>
    <x v="14"/>
    <x v="17"/>
    <x v="15"/>
    <x v="49"/>
    <x v="1"/>
    <n v="0"/>
  </r>
  <r>
    <x v="0"/>
    <x v="14"/>
    <x v="17"/>
    <x v="15"/>
    <x v="50"/>
    <x v="1"/>
    <n v="0"/>
  </r>
  <r>
    <x v="0"/>
    <x v="14"/>
    <x v="17"/>
    <x v="15"/>
    <x v="51"/>
    <x v="1"/>
    <n v="0"/>
  </r>
  <r>
    <x v="0"/>
    <x v="14"/>
    <x v="17"/>
    <x v="15"/>
    <x v="52"/>
    <x v="1"/>
    <n v="0"/>
  </r>
  <r>
    <x v="0"/>
    <x v="14"/>
    <x v="17"/>
    <x v="15"/>
    <x v="53"/>
    <x v="1"/>
    <n v="0"/>
  </r>
  <r>
    <x v="0"/>
    <x v="14"/>
    <x v="17"/>
    <x v="15"/>
    <x v="54"/>
    <x v="1"/>
    <n v="0"/>
  </r>
  <r>
    <x v="0"/>
    <x v="14"/>
    <x v="17"/>
    <x v="15"/>
    <x v="55"/>
    <x v="1"/>
    <n v="0"/>
  </r>
  <r>
    <x v="0"/>
    <x v="14"/>
    <x v="17"/>
    <x v="16"/>
    <x v="46"/>
    <x v="1"/>
    <n v="7.023996243"/>
  </r>
  <r>
    <x v="0"/>
    <x v="14"/>
    <x v="17"/>
    <x v="16"/>
    <x v="47"/>
    <x v="1"/>
    <n v="7.023996243"/>
  </r>
  <r>
    <x v="0"/>
    <x v="14"/>
    <x v="17"/>
    <x v="16"/>
    <x v="48"/>
    <x v="1"/>
    <n v="7.023996243"/>
  </r>
  <r>
    <x v="0"/>
    <x v="14"/>
    <x v="17"/>
    <x v="16"/>
    <x v="49"/>
    <x v="1"/>
    <n v="0"/>
  </r>
  <r>
    <x v="0"/>
    <x v="14"/>
    <x v="17"/>
    <x v="16"/>
    <x v="50"/>
    <x v="1"/>
    <n v="0"/>
  </r>
  <r>
    <x v="0"/>
    <x v="14"/>
    <x v="17"/>
    <x v="16"/>
    <x v="51"/>
    <x v="1"/>
    <n v="0"/>
  </r>
  <r>
    <x v="0"/>
    <x v="14"/>
    <x v="17"/>
    <x v="16"/>
    <x v="52"/>
    <x v="1"/>
    <n v="0"/>
  </r>
  <r>
    <x v="0"/>
    <x v="14"/>
    <x v="17"/>
    <x v="16"/>
    <x v="53"/>
    <x v="1"/>
    <n v="0"/>
  </r>
  <r>
    <x v="0"/>
    <x v="14"/>
    <x v="17"/>
    <x v="16"/>
    <x v="54"/>
    <x v="1"/>
    <n v="0"/>
  </r>
  <r>
    <x v="0"/>
    <x v="14"/>
    <x v="17"/>
    <x v="16"/>
    <x v="55"/>
    <x v="1"/>
    <n v="0"/>
  </r>
  <r>
    <x v="0"/>
    <x v="14"/>
    <x v="17"/>
    <x v="17"/>
    <x v="46"/>
    <x v="1"/>
    <n v="16.680824349000002"/>
  </r>
  <r>
    <x v="0"/>
    <x v="14"/>
    <x v="17"/>
    <x v="17"/>
    <x v="47"/>
    <x v="1"/>
    <n v="16.680824349000002"/>
  </r>
  <r>
    <x v="0"/>
    <x v="14"/>
    <x v="17"/>
    <x v="17"/>
    <x v="48"/>
    <x v="1"/>
    <n v="16.680824349000002"/>
  </r>
  <r>
    <x v="0"/>
    <x v="14"/>
    <x v="17"/>
    <x v="17"/>
    <x v="49"/>
    <x v="1"/>
    <n v="0"/>
  </r>
  <r>
    <x v="0"/>
    <x v="14"/>
    <x v="17"/>
    <x v="17"/>
    <x v="50"/>
    <x v="1"/>
    <n v="0"/>
  </r>
  <r>
    <x v="0"/>
    <x v="14"/>
    <x v="17"/>
    <x v="17"/>
    <x v="51"/>
    <x v="1"/>
    <n v="0"/>
  </r>
  <r>
    <x v="0"/>
    <x v="14"/>
    <x v="17"/>
    <x v="17"/>
    <x v="52"/>
    <x v="1"/>
    <n v="0"/>
  </r>
  <r>
    <x v="0"/>
    <x v="14"/>
    <x v="17"/>
    <x v="17"/>
    <x v="53"/>
    <x v="1"/>
    <n v="0"/>
  </r>
  <r>
    <x v="0"/>
    <x v="14"/>
    <x v="17"/>
    <x v="17"/>
    <x v="54"/>
    <x v="1"/>
    <n v="0"/>
  </r>
  <r>
    <x v="0"/>
    <x v="14"/>
    <x v="17"/>
    <x v="17"/>
    <x v="55"/>
    <x v="1"/>
    <n v="0"/>
  </r>
  <r>
    <x v="0"/>
    <x v="14"/>
    <x v="17"/>
    <x v="18"/>
    <x v="46"/>
    <x v="1"/>
    <n v="13.064808722"/>
  </r>
  <r>
    <x v="0"/>
    <x v="14"/>
    <x v="17"/>
    <x v="18"/>
    <x v="47"/>
    <x v="1"/>
    <n v="13.064808722"/>
  </r>
  <r>
    <x v="0"/>
    <x v="14"/>
    <x v="17"/>
    <x v="18"/>
    <x v="48"/>
    <x v="1"/>
    <n v="13.064808722"/>
  </r>
  <r>
    <x v="0"/>
    <x v="14"/>
    <x v="17"/>
    <x v="18"/>
    <x v="49"/>
    <x v="1"/>
    <n v="0"/>
  </r>
  <r>
    <x v="0"/>
    <x v="14"/>
    <x v="17"/>
    <x v="18"/>
    <x v="50"/>
    <x v="1"/>
    <n v="0"/>
  </r>
  <r>
    <x v="0"/>
    <x v="14"/>
    <x v="17"/>
    <x v="18"/>
    <x v="51"/>
    <x v="1"/>
    <n v="0"/>
  </r>
  <r>
    <x v="0"/>
    <x v="14"/>
    <x v="17"/>
    <x v="18"/>
    <x v="52"/>
    <x v="1"/>
    <n v="0"/>
  </r>
  <r>
    <x v="0"/>
    <x v="14"/>
    <x v="17"/>
    <x v="18"/>
    <x v="53"/>
    <x v="1"/>
    <n v="0"/>
  </r>
  <r>
    <x v="0"/>
    <x v="14"/>
    <x v="17"/>
    <x v="18"/>
    <x v="54"/>
    <x v="1"/>
    <n v="0"/>
  </r>
  <r>
    <x v="0"/>
    <x v="14"/>
    <x v="17"/>
    <x v="18"/>
    <x v="55"/>
    <x v="1"/>
    <n v="0"/>
  </r>
  <r>
    <x v="0"/>
    <x v="14"/>
    <x v="17"/>
    <x v="19"/>
    <x v="46"/>
    <x v="1"/>
    <n v="17.182618839"/>
  </r>
  <r>
    <x v="0"/>
    <x v="14"/>
    <x v="17"/>
    <x v="19"/>
    <x v="47"/>
    <x v="1"/>
    <n v="17.182618839"/>
  </r>
  <r>
    <x v="0"/>
    <x v="14"/>
    <x v="17"/>
    <x v="19"/>
    <x v="48"/>
    <x v="1"/>
    <n v="17.182618839"/>
  </r>
  <r>
    <x v="0"/>
    <x v="14"/>
    <x v="17"/>
    <x v="19"/>
    <x v="49"/>
    <x v="1"/>
    <n v="0"/>
  </r>
  <r>
    <x v="0"/>
    <x v="14"/>
    <x v="17"/>
    <x v="19"/>
    <x v="50"/>
    <x v="1"/>
    <n v="0"/>
  </r>
  <r>
    <x v="0"/>
    <x v="14"/>
    <x v="17"/>
    <x v="19"/>
    <x v="51"/>
    <x v="1"/>
    <n v="0"/>
  </r>
  <r>
    <x v="0"/>
    <x v="14"/>
    <x v="17"/>
    <x v="19"/>
    <x v="52"/>
    <x v="1"/>
    <n v="0"/>
  </r>
  <r>
    <x v="0"/>
    <x v="14"/>
    <x v="17"/>
    <x v="19"/>
    <x v="53"/>
    <x v="1"/>
    <n v="0"/>
  </r>
  <r>
    <x v="0"/>
    <x v="14"/>
    <x v="17"/>
    <x v="19"/>
    <x v="54"/>
    <x v="1"/>
    <n v="0"/>
  </r>
  <r>
    <x v="0"/>
    <x v="14"/>
    <x v="17"/>
    <x v="19"/>
    <x v="55"/>
    <x v="1"/>
    <n v="0"/>
  </r>
  <r>
    <x v="0"/>
    <x v="14"/>
    <x v="17"/>
    <x v="20"/>
    <x v="46"/>
    <x v="1"/>
    <n v="2.2283007029999999"/>
  </r>
  <r>
    <x v="0"/>
    <x v="14"/>
    <x v="17"/>
    <x v="20"/>
    <x v="47"/>
    <x v="1"/>
    <n v="2.2283007029999999"/>
  </r>
  <r>
    <x v="0"/>
    <x v="14"/>
    <x v="17"/>
    <x v="20"/>
    <x v="48"/>
    <x v="1"/>
    <n v="2.2283007029999999"/>
  </r>
  <r>
    <x v="0"/>
    <x v="14"/>
    <x v="17"/>
    <x v="20"/>
    <x v="49"/>
    <x v="1"/>
    <n v="0"/>
  </r>
  <r>
    <x v="0"/>
    <x v="14"/>
    <x v="17"/>
    <x v="20"/>
    <x v="50"/>
    <x v="1"/>
    <n v="0"/>
  </r>
  <r>
    <x v="0"/>
    <x v="14"/>
    <x v="17"/>
    <x v="20"/>
    <x v="51"/>
    <x v="1"/>
    <n v="0"/>
  </r>
  <r>
    <x v="0"/>
    <x v="14"/>
    <x v="17"/>
    <x v="20"/>
    <x v="52"/>
    <x v="1"/>
    <n v="0"/>
  </r>
  <r>
    <x v="0"/>
    <x v="14"/>
    <x v="17"/>
    <x v="20"/>
    <x v="53"/>
    <x v="1"/>
    <n v="0"/>
  </r>
  <r>
    <x v="0"/>
    <x v="14"/>
    <x v="17"/>
    <x v="20"/>
    <x v="54"/>
    <x v="1"/>
    <n v="0"/>
  </r>
  <r>
    <x v="0"/>
    <x v="14"/>
    <x v="17"/>
    <x v="20"/>
    <x v="55"/>
    <x v="1"/>
    <n v="0"/>
  </r>
  <r>
    <x v="0"/>
    <x v="14"/>
    <x v="17"/>
    <x v="21"/>
    <x v="46"/>
    <x v="1"/>
    <n v="1.0521659969999999"/>
  </r>
  <r>
    <x v="0"/>
    <x v="14"/>
    <x v="17"/>
    <x v="21"/>
    <x v="47"/>
    <x v="1"/>
    <n v="1.0521659969999999"/>
  </r>
  <r>
    <x v="0"/>
    <x v="14"/>
    <x v="17"/>
    <x v="21"/>
    <x v="48"/>
    <x v="1"/>
    <n v="1.0521659969999999"/>
  </r>
  <r>
    <x v="0"/>
    <x v="14"/>
    <x v="17"/>
    <x v="21"/>
    <x v="49"/>
    <x v="1"/>
    <n v="0"/>
  </r>
  <r>
    <x v="0"/>
    <x v="14"/>
    <x v="17"/>
    <x v="21"/>
    <x v="50"/>
    <x v="1"/>
    <n v="0"/>
  </r>
  <r>
    <x v="0"/>
    <x v="14"/>
    <x v="17"/>
    <x v="21"/>
    <x v="51"/>
    <x v="1"/>
    <n v="0"/>
  </r>
  <r>
    <x v="0"/>
    <x v="14"/>
    <x v="17"/>
    <x v="21"/>
    <x v="52"/>
    <x v="1"/>
    <n v="0"/>
  </r>
  <r>
    <x v="0"/>
    <x v="14"/>
    <x v="17"/>
    <x v="21"/>
    <x v="53"/>
    <x v="1"/>
    <n v="0"/>
  </r>
  <r>
    <x v="0"/>
    <x v="14"/>
    <x v="17"/>
    <x v="21"/>
    <x v="54"/>
    <x v="1"/>
    <n v="0"/>
  </r>
  <r>
    <x v="0"/>
    <x v="14"/>
    <x v="17"/>
    <x v="21"/>
    <x v="55"/>
    <x v="1"/>
    <n v="0"/>
  </r>
  <r>
    <x v="0"/>
    <x v="14"/>
    <x v="17"/>
    <x v="22"/>
    <x v="46"/>
    <x v="1"/>
    <n v="0.94410634900000001"/>
  </r>
  <r>
    <x v="0"/>
    <x v="14"/>
    <x v="17"/>
    <x v="22"/>
    <x v="47"/>
    <x v="1"/>
    <n v="0.94410634900000001"/>
  </r>
  <r>
    <x v="0"/>
    <x v="14"/>
    <x v="17"/>
    <x v="22"/>
    <x v="48"/>
    <x v="1"/>
    <n v="0.94410634900000001"/>
  </r>
  <r>
    <x v="0"/>
    <x v="14"/>
    <x v="17"/>
    <x v="22"/>
    <x v="49"/>
    <x v="1"/>
    <n v="0"/>
  </r>
  <r>
    <x v="0"/>
    <x v="14"/>
    <x v="17"/>
    <x v="22"/>
    <x v="50"/>
    <x v="1"/>
    <n v="0"/>
  </r>
  <r>
    <x v="0"/>
    <x v="14"/>
    <x v="17"/>
    <x v="22"/>
    <x v="51"/>
    <x v="1"/>
    <n v="0"/>
  </r>
  <r>
    <x v="0"/>
    <x v="14"/>
    <x v="17"/>
    <x v="22"/>
    <x v="52"/>
    <x v="1"/>
    <n v="0"/>
  </r>
  <r>
    <x v="0"/>
    <x v="14"/>
    <x v="17"/>
    <x v="22"/>
    <x v="53"/>
    <x v="1"/>
    <n v="0"/>
  </r>
  <r>
    <x v="0"/>
    <x v="14"/>
    <x v="17"/>
    <x v="22"/>
    <x v="54"/>
    <x v="1"/>
    <n v="0"/>
  </r>
  <r>
    <x v="0"/>
    <x v="14"/>
    <x v="17"/>
    <x v="22"/>
    <x v="55"/>
    <x v="1"/>
    <n v="0"/>
  </r>
  <r>
    <x v="0"/>
    <x v="14"/>
    <x v="17"/>
    <x v="23"/>
    <x v="46"/>
    <x v="1"/>
    <n v="0.45995631300000001"/>
  </r>
  <r>
    <x v="0"/>
    <x v="14"/>
    <x v="17"/>
    <x v="23"/>
    <x v="47"/>
    <x v="1"/>
    <n v="0.45995631300000001"/>
  </r>
  <r>
    <x v="0"/>
    <x v="14"/>
    <x v="17"/>
    <x v="23"/>
    <x v="48"/>
    <x v="1"/>
    <n v="0.45995631300000001"/>
  </r>
  <r>
    <x v="0"/>
    <x v="14"/>
    <x v="17"/>
    <x v="23"/>
    <x v="49"/>
    <x v="1"/>
    <n v="0"/>
  </r>
  <r>
    <x v="0"/>
    <x v="14"/>
    <x v="17"/>
    <x v="23"/>
    <x v="50"/>
    <x v="1"/>
    <n v="0"/>
  </r>
  <r>
    <x v="0"/>
    <x v="14"/>
    <x v="17"/>
    <x v="23"/>
    <x v="51"/>
    <x v="1"/>
    <n v="0"/>
  </r>
  <r>
    <x v="0"/>
    <x v="14"/>
    <x v="17"/>
    <x v="23"/>
    <x v="52"/>
    <x v="1"/>
    <n v="0"/>
  </r>
  <r>
    <x v="0"/>
    <x v="14"/>
    <x v="17"/>
    <x v="23"/>
    <x v="53"/>
    <x v="1"/>
    <n v="0"/>
  </r>
  <r>
    <x v="0"/>
    <x v="14"/>
    <x v="17"/>
    <x v="23"/>
    <x v="54"/>
    <x v="1"/>
    <n v="0"/>
  </r>
  <r>
    <x v="0"/>
    <x v="14"/>
    <x v="17"/>
    <x v="23"/>
    <x v="55"/>
    <x v="1"/>
    <n v="0"/>
  </r>
  <r>
    <x v="0"/>
    <x v="14"/>
    <x v="17"/>
    <x v="24"/>
    <x v="46"/>
    <x v="1"/>
    <n v="18.617986052999999"/>
  </r>
  <r>
    <x v="0"/>
    <x v="14"/>
    <x v="17"/>
    <x v="24"/>
    <x v="47"/>
    <x v="1"/>
    <n v="18.617986052999999"/>
  </r>
  <r>
    <x v="0"/>
    <x v="14"/>
    <x v="17"/>
    <x v="24"/>
    <x v="48"/>
    <x v="1"/>
    <n v="18.617986052999999"/>
  </r>
  <r>
    <x v="0"/>
    <x v="14"/>
    <x v="17"/>
    <x v="24"/>
    <x v="49"/>
    <x v="1"/>
    <n v="0"/>
  </r>
  <r>
    <x v="0"/>
    <x v="14"/>
    <x v="17"/>
    <x v="24"/>
    <x v="50"/>
    <x v="1"/>
    <n v="0"/>
  </r>
  <r>
    <x v="0"/>
    <x v="14"/>
    <x v="17"/>
    <x v="24"/>
    <x v="51"/>
    <x v="1"/>
    <n v="0"/>
  </r>
  <r>
    <x v="0"/>
    <x v="14"/>
    <x v="17"/>
    <x v="24"/>
    <x v="52"/>
    <x v="1"/>
    <n v="0"/>
  </r>
  <r>
    <x v="0"/>
    <x v="14"/>
    <x v="17"/>
    <x v="24"/>
    <x v="53"/>
    <x v="1"/>
    <n v="0"/>
  </r>
  <r>
    <x v="0"/>
    <x v="14"/>
    <x v="17"/>
    <x v="24"/>
    <x v="54"/>
    <x v="1"/>
    <n v="0"/>
  </r>
  <r>
    <x v="0"/>
    <x v="14"/>
    <x v="17"/>
    <x v="24"/>
    <x v="55"/>
    <x v="1"/>
    <n v="0"/>
  </r>
  <r>
    <x v="0"/>
    <x v="14"/>
    <x v="17"/>
    <x v="25"/>
    <x v="46"/>
    <x v="1"/>
    <n v="0.85179173600000002"/>
  </r>
  <r>
    <x v="0"/>
    <x v="14"/>
    <x v="17"/>
    <x v="25"/>
    <x v="47"/>
    <x v="1"/>
    <n v="0.85179173600000002"/>
  </r>
  <r>
    <x v="0"/>
    <x v="14"/>
    <x v="17"/>
    <x v="25"/>
    <x v="48"/>
    <x v="1"/>
    <n v="0.85179173600000002"/>
  </r>
  <r>
    <x v="0"/>
    <x v="14"/>
    <x v="17"/>
    <x v="25"/>
    <x v="49"/>
    <x v="1"/>
    <n v="0"/>
  </r>
  <r>
    <x v="0"/>
    <x v="14"/>
    <x v="17"/>
    <x v="25"/>
    <x v="50"/>
    <x v="1"/>
    <n v="0"/>
  </r>
  <r>
    <x v="0"/>
    <x v="14"/>
    <x v="17"/>
    <x v="25"/>
    <x v="51"/>
    <x v="1"/>
    <n v="0"/>
  </r>
  <r>
    <x v="0"/>
    <x v="14"/>
    <x v="17"/>
    <x v="25"/>
    <x v="52"/>
    <x v="1"/>
    <n v="0"/>
  </r>
  <r>
    <x v="0"/>
    <x v="14"/>
    <x v="17"/>
    <x v="25"/>
    <x v="53"/>
    <x v="1"/>
    <n v="0"/>
  </r>
  <r>
    <x v="0"/>
    <x v="14"/>
    <x v="17"/>
    <x v="25"/>
    <x v="54"/>
    <x v="1"/>
    <n v="0"/>
  </r>
  <r>
    <x v="0"/>
    <x v="14"/>
    <x v="17"/>
    <x v="25"/>
    <x v="55"/>
    <x v="1"/>
    <n v="0"/>
  </r>
  <r>
    <x v="0"/>
    <x v="14"/>
    <x v="17"/>
    <x v="26"/>
    <x v="46"/>
    <x v="1"/>
    <n v="0.58964245400000004"/>
  </r>
  <r>
    <x v="0"/>
    <x v="14"/>
    <x v="17"/>
    <x v="26"/>
    <x v="47"/>
    <x v="1"/>
    <n v="0.58964245400000004"/>
  </r>
  <r>
    <x v="0"/>
    <x v="14"/>
    <x v="17"/>
    <x v="26"/>
    <x v="48"/>
    <x v="1"/>
    <n v="0.58964245400000004"/>
  </r>
  <r>
    <x v="0"/>
    <x v="14"/>
    <x v="17"/>
    <x v="26"/>
    <x v="49"/>
    <x v="1"/>
    <n v="0"/>
  </r>
  <r>
    <x v="0"/>
    <x v="14"/>
    <x v="17"/>
    <x v="26"/>
    <x v="50"/>
    <x v="1"/>
    <n v="0"/>
  </r>
  <r>
    <x v="0"/>
    <x v="14"/>
    <x v="17"/>
    <x v="26"/>
    <x v="51"/>
    <x v="1"/>
    <n v="0"/>
  </r>
  <r>
    <x v="0"/>
    <x v="14"/>
    <x v="17"/>
    <x v="26"/>
    <x v="52"/>
    <x v="1"/>
    <n v="0"/>
  </r>
  <r>
    <x v="0"/>
    <x v="14"/>
    <x v="17"/>
    <x v="26"/>
    <x v="53"/>
    <x v="1"/>
    <n v="0"/>
  </r>
  <r>
    <x v="0"/>
    <x v="14"/>
    <x v="17"/>
    <x v="26"/>
    <x v="54"/>
    <x v="1"/>
    <n v="0"/>
  </r>
  <r>
    <x v="0"/>
    <x v="14"/>
    <x v="17"/>
    <x v="26"/>
    <x v="55"/>
    <x v="1"/>
    <n v="0"/>
  </r>
  <r>
    <x v="0"/>
    <x v="14"/>
    <x v="17"/>
    <x v="27"/>
    <x v="46"/>
    <x v="1"/>
    <n v="29.004073103"/>
  </r>
  <r>
    <x v="0"/>
    <x v="14"/>
    <x v="17"/>
    <x v="27"/>
    <x v="47"/>
    <x v="1"/>
    <n v="29.004073103"/>
  </r>
  <r>
    <x v="0"/>
    <x v="14"/>
    <x v="17"/>
    <x v="27"/>
    <x v="48"/>
    <x v="1"/>
    <n v="29.004073103"/>
  </r>
  <r>
    <x v="0"/>
    <x v="14"/>
    <x v="17"/>
    <x v="27"/>
    <x v="49"/>
    <x v="1"/>
    <n v="0"/>
  </r>
  <r>
    <x v="0"/>
    <x v="14"/>
    <x v="17"/>
    <x v="27"/>
    <x v="50"/>
    <x v="1"/>
    <n v="0"/>
  </r>
  <r>
    <x v="0"/>
    <x v="14"/>
    <x v="17"/>
    <x v="27"/>
    <x v="51"/>
    <x v="1"/>
    <n v="0"/>
  </r>
  <r>
    <x v="0"/>
    <x v="14"/>
    <x v="17"/>
    <x v="27"/>
    <x v="52"/>
    <x v="1"/>
    <n v="0"/>
  </r>
  <r>
    <x v="0"/>
    <x v="14"/>
    <x v="17"/>
    <x v="27"/>
    <x v="53"/>
    <x v="1"/>
    <n v="0"/>
  </r>
  <r>
    <x v="0"/>
    <x v="14"/>
    <x v="17"/>
    <x v="27"/>
    <x v="54"/>
    <x v="1"/>
    <n v="0"/>
  </r>
  <r>
    <x v="0"/>
    <x v="14"/>
    <x v="17"/>
    <x v="27"/>
    <x v="55"/>
    <x v="1"/>
    <n v="0"/>
  </r>
  <r>
    <x v="0"/>
    <x v="14"/>
    <x v="17"/>
    <x v="28"/>
    <x v="46"/>
    <x v="1"/>
    <n v="28.978028811000001"/>
  </r>
  <r>
    <x v="0"/>
    <x v="14"/>
    <x v="17"/>
    <x v="28"/>
    <x v="47"/>
    <x v="1"/>
    <n v="28.978028811000001"/>
  </r>
  <r>
    <x v="0"/>
    <x v="14"/>
    <x v="17"/>
    <x v="28"/>
    <x v="48"/>
    <x v="1"/>
    <n v="28.978028811000001"/>
  </r>
  <r>
    <x v="0"/>
    <x v="14"/>
    <x v="17"/>
    <x v="28"/>
    <x v="49"/>
    <x v="1"/>
    <n v="0"/>
  </r>
  <r>
    <x v="0"/>
    <x v="14"/>
    <x v="17"/>
    <x v="28"/>
    <x v="50"/>
    <x v="1"/>
    <n v="0"/>
  </r>
  <r>
    <x v="0"/>
    <x v="14"/>
    <x v="17"/>
    <x v="28"/>
    <x v="51"/>
    <x v="1"/>
    <n v="0"/>
  </r>
  <r>
    <x v="0"/>
    <x v="14"/>
    <x v="17"/>
    <x v="28"/>
    <x v="52"/>
    <x v="1"/>
    <n v="0"/>
  </r>
  <r>
    <x v="0"/>
    <x v="14"/>
    <x v="17"/>
    <x v="28"/>
    <x v="53"/>
    <x v="1"/>
    <n v="0"/>
  </r>
  <r>
    <x v="0"/>
    <x v="14"/>
    <x v="17"/>
    <x v="28"/>
    <x v="54"/>
    <x v="1"/>
    <n v="0"/>
  </r>
  <r>
    <x v="0"/>
    <x v="14"/>
    <x v="17"/>
    <x v="28"/>
    <x v="55"/>
    <x v="1"/>
    <n v="0"/>
  </r>
  <r>
    <x v="0"/>
    <x v="14"/>
    <x v="17"/>
    <x v="29"/>
    <x v="46"/>
    <x v="1"/>
    <n v="28.405194071"/>
  </r>
  <r>
    <x v="0"/>
    <x v="14"/>
    <x v="17"/>
    <x v="29"/>
    <x v="47"/>
    <x v="1"/>
    <n v="28.405194071"/>
  </r>
  <r>
    <x v="0"/>
    <x v="14"/>
    <x v="17"/>
    <x v="29"/>
    <x v="48"/>
    <x v="1"/>
    <n v="28.405194071"/>
  </r>
  <r>
    <x v="0"/>
    <x v="14"/>
    <x v="17"/>
    <x v="29"/>
    <x v="49"/>
    <x v="1"/>
    <n v="0"/>
  </r>
  <r>
    <x v="0"/>
    <x v="14"/>
    <x v="17"/>
    <x v="29"/>
    <x v="50"/>
    <x v="1"/>
    <n v="0"/>
  </r>
  <r>
    <x v="0"/>
    <x v="14"/>
    <x v="17"/>
    <x v="29"/>
    <x v="51"/>
    <x v="1"/>
    <n v="0"/>
  </r>
  <r>
    <x v="0"/>
    <x v="14"/>
    <x v="17"/>
    <x v="29"/>
    <x v="52"/>
    <x v="1"/>
    <n v="0"/>
  </r>
  <r>
    <x v="0"/>
    <x v="14"/>
    <x v="17"/>
    <x v="29"/>
    <x v="53"/>
    <x v="1"/>
    <n v="0"/>
  </r>
  <r>
    <x v="0"/>
    <x v="14"/>
    <x v="17"/>
    <x v="29"/>
    <x v="54"/>
    <x v="1"/>
    <n v="0"/>
  </r>
  <r>
    <x v="0"/>
    <x v="14"/>
    <x v="17"/>
    <x v="29"/>
    <x v="55"/>
    <x v="1"/>
    <n v="0"/>
  </r>
  <r>
    <x v="0"/>
    <x v="14"/>
    <x v="17"/>
    <x v="30"/>
    <x v="46"/>
    <x v="1"/>
    <n v="11.106758756"/>
  </r>
  <r>
    <x v="0"/>
    <x v="14"/>
    <x v="17"/>
    <x v="30"/>
    <x v="47"/>
    <x v="1"/>
    <n v="11.106758756"/>
  </r>
  <r>
    <x v="0"/>
    <x v="14"/>
    <x v="17"/>
    <x v="30"/>
    <x v="48"/>
    <x v="1"/>
    <n v="11.106758756"/>
  </r>
  <r>
    <x v="0"/>
    <x v="14"/>
    <x v="17"/>
    <x v="30"/>
    <x v="49"/>
    <x v="1"/>
    <n v="0"/>
  </r>
  <r>
    <x v="0"/>
    <x v="14"/>
    <x v="17"/>
    <x v="30"/>
    <x v="50"/>
    <x v="1"/>
    <n v="0"/>
  </r>
  <r>
    <x v="0"/>
    <x v="14"/>
    <x v="17"/>
    <x v="30"/>
    <x v="51"/>
    <x v="1"/>
    <n v="0"/>
  </r>
  <r>
    <x v="0"/>
    <x v="14"/>
    <x v="17"/>
    <x v="30"/>
    <x v="52"/>
    <x v="1"/>
    <n v="0"/>
  </r>
  <r>
    <x v="0"/>
    <x v="14"/>
    <x v="17"/>
    <x v="30"/>
    <x v="53"/>
    <x v="1"/>
    <n v="0"/>
  </r>
  <r>
    <x v="0"/>
    <x v="14"/>
    <x v="17"/>
    <x v="30"/>
    <x v="54"/>
    <x v="1"/>
    <n v="0"/>
  </r>
  <r>
    <x v="0"/>
    <x v="14"/>
    <x v="17"/>
    <x v="30"/>
    <x v="55"/>
    <x v="1"/>
    <n v="0"/>
  </r>
  <r>
    <x v="0"/>
    <x v="14"/>
    <x v="17"/>
    <x v="31"/>
    <x v="46"/>
    <x v="1"/>
    <n v="8.0857846930000008"/>
  </r>
  <r>
    <x v="0"/>
    <x v="14"/>
    <x v="17"/>
    <x v="31"/>
    <x v="47"/>
    <x v="1"/>
    <n v="8.0857846930000008"/>
  </r>
  <r>
    <x v="0"/>
    <x v="14"/>
    <x v="17"/>
    <x v="31"/>
    <x v="48"/>
    <x v="1"/>
    <n v="8.0857846930000008"/>
  </r>
  <r>
    <x v="0"/>
    <x v="14"/>
    <x v="17"/>
    <x v="31"/>
    <x v="49"/>
    <x v="1"/>
    <n v="0"/>
  </r>
  <r>
    <x v="0"/>
    <x v="14"/>
    <x v="17"/>
    <x v="31"/>
    <x v="50"/>
    <x v="1"/>
    <n v="0"/>
  </r>
  <r>
    <x v="0"/>
    <x v="14"/>
    <x v="17"/>
    <x v="31"/>
    <x v="51"/>
    <x v="1"/>
    <n v="0"/>
  </r>
  <r>
    <x v="0"/>
    <x v="14"/>
    <x v="17"/>
    <x v="31"/>
    <x v="52"/>
    <x v="1"/>
    <n v="0"/>
  </r>
  <r>
    <x v="0"/>
    <x v="14"/>
    <x v="17"/>
    <x v="31"/>
    <x v="53"/>
    <x v="1"/>
    <n v="0"/>
  </r>
  <r>
    <x v="0"/>
    <x v="14"/>
    <x v="17"/>
    <x v="31"/>
    <x v="54"/>
    <x v="1"/>
    <n v="0"/>
  </r>
  <r>
    <x v="0"/>
    <x v="14"/>
    <x v="17"/>
    <x v="31"/>
    <x v="55"/>
    <x v="1"/>
    <n v="0"/>
  </r>
  <r>
    <x v="0"/>
    <x v="14"/>
    <x v="17"/>
    <x v="32"/>
    <x v="46"/>
    <x v="1"/>
    <n v="26.864273121"/>
  </r>
  <r>
    <x v="0"/>
    <x v="14"/>
    <x v="17"/>
    <x v="32"/>
    <x v="47"/>
    <x v="1"/>
    <n v="26.864273121"/>
  </r>
  <r>
    <x v="0"/>
    <x v="14"/>
    <x v="17"/>
    <x v="32"/>
    <x v="48"/>
    <x v="1"/>
    <n v="26.864273121"/>
  </r>
  <r>
    <x v="0"/>
    <x v="14"/>
    <x v="17"/>
    <x v="32"/>
    <x v="49"/>
    <x v="1"/>
    <n v="0"/>
  </r>
  <r>
    <x v="0"/>
    <x v="14"/>
    <x v="17"/>
    <x v="32"/>
    <x v="50"/>
    <x v="1"/>
    <n v="0"/>
  </r>
  <r>
    <x v="0"/>
    <x v="14"/>
    <x v="17"/>
    <x v="32"/>
    <x v="51"/>
    <x v="1"/>
    <n v="0"/>
  </r>
  <r>
    <x v="0"/>
    <x v="14"/>
    <x v="17"/>
    <x v="32"/>
    <x v="52"/>
    <x v="1"/>
    <n v="0"/>
  </r>
  <r>
    <x v="0"/>
    <x v="14"/>
    <x v="17"/>
    <x v="32"/>
    <x v="53"/>
    <x v="1"/>
    <n v="0"/>
  </r>
  <r>
    <x v="0"/>
    <x v="14"/>
    <x v="17"/>
    <x v="32"/>
    <x v="54"/>
    <x v="1"/>
    <n v="0"/>
  </r>
  <r>
    <x v="0"/>
    <x v="14"/>
    <x v="17"/>
    <x v="32"/>
    <x v="55"/>
    <x v="1"/>
    <n v="0"/>
  </r>
  <r>
    <x v="0"/>
    <x v="14"/>
    <x v="17"/>
    <x v="33"/>
    <x v="46"/>
    <x v="1"/>
    <n v="14.297632612999999"/>
  </r>
  <r>
    <x v="0"/>
    <x v="14"/>
    <x v="17"/>
    <x v="33"/>
    <x v="47"/>
    <x v="1"/>
    <n v="14.297632612999999"/>
  </r>
  <r>
    <x v="0"/>
    <x v="14"/>
    <x v="17"/>
    <x v="33"/>
    <x v="48"/>
    <x v="1"/>
    <n v="14.297632612999999"/>
  </r>
  <r>
    <x v="0"/>
    <x v="14"/>
    <x v="17"/>
    <x v="33"/>
    <x v="49"/>
    <x v="1"/>
    <n v="0"/>
  </r>
  <r>
    <x v="0"/>
    <x v="14"/>
    <x v="17"/>
    <x v="33"/>
    <x v="50"/>
    <x v="1"/>
    <n v="0"/>
  </r>
  <r>
    <x v="0"/>
    <x v="14"/>
    <x v="17"/>
    <x v="33"/>
    <x v="51"/>
    <x v="1"/>
    <n v="0"/>
  </r>
  <r>
    <x v="0"/>
    <x v="14"/>
    <x v="17"/>
    <x v="33"/>
    <x v="52"/>
    <x v="1"/>
    <n v="0"/>
  </r>
  <r>
    <x v="0"/>
    <x v="14"/>
    <x v="17"/>
    <x v="33"/>
    <x v="53"/>
    <x v="1"/>
    <n v="0"/>
  </r>
  <r>
    <x v="0"/>
    <x v="14"/>
    <x v="17"/>
    <x v="33"/>
    <x v="54"/>
    <x v="1"/>
    <n v="0"/>
  </r>
  <r>
    <x v="0"/>
    <x v="14"/>
    <x v="17"/>
    <x v="33"/>
    <x v="55"/>
    <x v="1"/>
    <n v="0"/>
  </r>
  <r>
    <x v="0"/>
    <x v="14"/>
    <x v="17"/>
    <x v="34"/>
    <x v="46"/>
    <x v="1"/>
    <n v="17.978902389000002"/>
  </r>
  <r>
    <x v="0"/>
    <x v="14"/>
    <x v="17"/>
    <x v="34"/>
    <x v="47"/>
    <x v="1"/>
    <n v="17.978902389000002"/>
  </r>
  <r>
    <x v="0"/>
    <x v="14"/>
    <x v="17"/>
    <x v="34"/>
    <x v="48"/>
    <x v="1"/>
    <n v="17.978902389000002"/>
  </r>
  <r>
    <x v="0"/>
    <x v="14"/>
    <x v="17"/>
    <x v="34"/>
    <x v="49"/>
    <x v="1"/>
    <n v="0"/>
  </r>
  <r>
    <x v="0"/>
    <x v="14"/>
    <x v="17"/>
    <x v="34"/>
    <x v="50"/>
    <x v="1"/>
    <n v="0"/>
  </r>
  <r>
    <x v="0"/>
    <x v="14"/>
    <x v="17"/>
    <x v="34"/>
    <x v="51"/>
    <x v="1"/>
    <n v="0"/>
  </r>
  <r>
    <x v="0"/>
    <x v="14"/>
    <x v="17"/>
    <x v="34"/>
    <x v="52"/>
    <x v="1"/>
    <n v="0"/>
  </r>
  <r>
    <x v="0"/>
    <x v="14"/>
    <x v="17"/>
    <x v="34"/>
    <x v="53"/>
    <x v="1"/>
    <n v="0"/>
  </r>
  <r>
    <x v="0"/>
    <x v="14"/>
    <x v="17"/>
    <x v="34"/>
    <x v="54"/>
    <x v="1"/>
    <n v="0"/>
  </r>
  <r>
    <x v="0"/>
    <x v="14"/>
    <x v="17"/>
    <x v="34"/>
    <x v="55"/>
    <x v="1"/>
    <n v="0"/>
  </r>
  <r>
    <x v="0"/>
    <x v="14"/>
    <x v="17"/>
    <x v="35"/>
    <x v="46"/>
    <x v="1"/>
    <n v="15.217967347"/>
  </r>
  <r>
    <x v="0"/>
    <x v="14"/>
    <x v="17"/>
    <x v="35"/>
    <x v="47"/>
    <x v="1"/>
    <n v="15.217967347"/>
  </r>
  <r>
    <x v="0"/>
    <x v="14"/>
    <x v="17"/>
    <x v="35"/>
    <x v="48"/>
    <x v="1"/>
    <n v="15.217967347"/>
  </r>
  <r>
    <x v="0"/>
    <x v="14"/>
    <x v="17"/>
    <x v="35"/>
    <x v="49"/>
    <x v="1"/>
    <n v="0"/>
  </r>
  <r>
    <x v="0"/>
    <x v="14"/>
    <x v="17"/>
    <x v="35"/>
    <x v="50"/>
    <x v="1"/>
    <n v="0"/>
  </r>
  <r>
    <x v="0"/>
    <x v="14"/>
    <x v="17"/>
    <x v="35"/>
    <x v="51"/>
    <x v="1"/>
    <n v="0"/>
  </r>
  <r>
    <x v="0"/>
    <x v="14"/>
    <x v="17"/>
    <x v="35"/>
    <x v="52"/>
    <x v="1"/>
    <n v="0"/>
  </r>
  <r>
    <x v="0"/>
    <x v="14"/>
    <x v="17"/>
    <x v="35"/>
    <x v="53"/>
    <x v="1"/>
    <n v="0"/>
  </r>
  <r>
    <x v="0"/>
    <x v="14"/>
    <x v="17"/>
    <x v="35"/>
    <x v="54"/>
    <x v="1"/>
    <n v="0"/>
  </r>
  <r>
    <x v="0"/>
    <x v="14"/>
    <x v="17"/>
    <x v="35"/>
    <x v="55"/>
    <x v="1"/>
    <n v="0"/>
  </r>
  <r>
    <x v="0"/>
    <x v="14"/>
    <x v="17"/>
    <x v="36"/>
    <x v="46"/>
    <x v="1"/>
    <n v="5.76867135"/>
  </r>
  <r>
    <x v="0"/>
    <x v="14"/>
    <x v="17"/>
    <x v="36"/>
    <x v="47"/>
    <x v="1"/>
    <n v="5.76867135"/>
  </r>
  <r>
    <x v="0"/>
    <x v="14"/>
    <x v="17"/>
    <x v="36"/>
    <x v="48"/>
    <x v="1"/>
    <n v="5.76867135"/>
  </r>
  <r>
    <x v="0"/>
    <x v="14"/>
    <x v="17"/>
    <x v="36"/>
    <x v="49"/>
    <x v="1"/>
    <n v="0"/>
  </r>
  <r>
    <x v="0"/>
    <x v="14"/>
    <x v="17"/>
    <x v="36"/>
    <x v="50"/>
    <x v="1"/>
    <n v="0"/>
  </r>
  <r>
    <x v="0"/>
    <x v="14"/>
    <x v="17"/>
    <x v="36"/>
    <x v="51"/>
    <x v="1"/>
    <n v="0"/>
  </r>
  <r>
    <x v="0"/>
    <x v="14"/>
    <x v="17"/>
    <x v="36"/>
    <x v="52"/>
    <x v="1"/>
    <n v="0"/>
  </r>
  <r>
    <x v="0"/>
    <x v="14"/>
    <x v="17"/>
    <x v="36"/>
    <x v="53"/>
    <x v="1"/>
    <n v="0"/>
  </r>
  <r>
    <x v="0"/>
    <x v="14"/>
    <x v="17"/>
    <x v="36"/>
    <x v="54"/>
    <x v="1"/>
    <n v="0"/>
  </r>
  <r>
    <x v="0"/>
    <x v="14"/>
    <x v="17"/>
    <x v="36"/>
    <x v="55"/>
    <x v="1"/>
    <n v="0"/>
  </r>
  <r>
    <x v="0"/>
    <x v="14"/>
    <x v="17"/>
    <x v="37"/>
    <x v="46"/>
    <x v="1"/>
    <n v="7.0413804640000004"/>
  </r>
  <r>
    <x v="0"/>
    <x v="14"/>
    <x v="17"/>
    <x v="37"/>
    <x v="47"/>
    <x v="1"/>
    <n v="7.0413804640000004"/>
  </r>
  <r>
    <x v="0"/>
    <x v="14"/>
    <x v="17"/>
    <x v="37"/>
    <x v="48"/>
    <x v="1"/>
    <n v="7.0413804640000004"/>
  </r>
  <r>
    <x v="0"/>
    <x v="14"/>
    <x v="17"/>
    <x v="37"/>
    <x v="49"/>
    <x v="1"/>
    <n v="0"/>
  </r>
  <r>
    <x v="0"/>
    <x v="14"/>
    <x v="17"/>
    <x v="37"/>
    <x v="50"/>
    <x v="1"/>
    <n v="0"/>
  </r>
  <r>
    <x v="0"/>
    <x v="14"/>
    <x v="17"/>
    <x v="37"/>
    <x v="51"/>
    <x v="1"/>
    <n v="0"/>
  </r>
  <r>
    <x v="0"/>
    <x v="14"/>
    <x v="17"/>
    <x v="37"/>
    <x v="52"/>
    <x v="1"/>
    <n v="0"/>
  </r>
  <r>
    <x v="0"/>
    <x v="14"/>
    <x v="17"/>
    <x v="37"/>
    <x v="53"/>
    <x v="1"/>
    <n v="0"/>
  </r>
  <r>
    <x v="0"/>
    <x v="14"/>
    <x v="17"/>
    <x v="37"/>
    <x v="54"/>
    <x v="1"/>
    <n v="0"/>
  </r>
  <r>
    <x v="0"/>
    <x v="14"/>
    <x v="17"/>
    <x v="37"/>
    <x v="55"/>
    <x v="1"/>
    <n v="0"/>
  </r>
  <r>
    <x v="0"/>
    <x v="14"/>
    <x v="17"/>
    <x v="38"/>
    <x v="46"/>
    <x v="1"/>
    <n v="32.117035395999999"/>
  </r>
  <r>
    <x v="0"/>
    <x v="14"/>
    <x v="17"/>
    <x v="38"/>
    <x v="47"/>
    <x v="1"/>
    <n v="32.117035395999999"/>
  </r>
  <r>
    <x v="0"/>
    <x v="14"/>
    <x v="17"/>
    <x v="38"/>
    <x v="48"/>
    <x v="1"/>
    <n v="32.117035395999999"/>
  </r>
  <r>
    <x v="0"/>
    <x v="14"/>
    <x v="17"/>
    <x v="38"/>
    <x v="49"/>
    <x v="1"/>
    <n v="0"/>
  </r>
  <r>
    <x v="0"/>
    <x v="14"/>
    <x v="17"/>
    <x v="38"/>
    <x v="50"/>
    <x v="1"/>
    <n v="0"/>
  </r>
  <r>
    <x v="0"/>
    <x v="14"/>
    <x v="17"/>
    <x v="38"/>
    <x v="51"/>
    <x v="1"/>
    <n v="0"/>
  </r>
  <r>
    <x v="0"/>
    <x v="14"/>
    <x v="17"/>
    <x v="38"/>
    <x v="52"/>
    <x v="1"/>
    <n v="0"/>
  </r>
  <r>
    <x v="0"/>
    <x v="14"/>
    <x v="17"/>
    <x v="38"/>
    <x v="53"/>
    <x v="1"/>
    <n v="0"/>
  </r>
  <r>
    <x v="0"/>
    <x v="14"/>
    <x v="17"/>
    <x v="38"/>
    <x v="54"/>
    <x v="1"/>
    <n v="0"/>
  </r>
  <r>
    <x v="0"/>
    <x v="14"/>
    <x v="17"/>
    <x v="38"/>
    <x v="55"/>
    <x v="1"/>
    <n v="0"/>
  </r>
  <r>
    <x v="0"/>
    <x v="14"/>
    <x v="17"/>
    <x v="39"/>
    <x v="46"/>
    <x v="1"/>
    <n v="13.41859925"/>
  </r>
  <r>
    <x v="0"/>
    <x v="14"/>
    <x v="17"/>
    <x v="39"/>
    <x v="47"/>
    <x v="1"/>
    <n v="13.41859925"/>
  </r>
  <r>
    <x v="0"/>
    <x v="14"/>
    <x v="17"/>
    <x v="39"/>
    <x v="48"/>
    <x v="1"/>
    <n v="13.41859925"/>
  </r>
  <r>
    <x v="0"/>
    <x v="14"/>
    <x v="17"/>
    <x v="39"/>
    <x v="49"/>
    <x v="1"/>
    <n v="0"/>
  </r>
  <r>
    <x v="0"/>
    <x v="14"/>
    <x v="17"/>
    <x v="39"/>
    <x v="50"/>
    <x v="1"/>
    <n v="0"/>
  </r>
  <r>
    <x v="0"/>
    <x v="14"/>
    <x v="17"/>
    <x v="39"/>
    <x v="51"/>
    <x v="1"/>
    <n v="0"/>
  </r>
  <r>
    <x v="0"/>
    <x v="14"/>
    <x v="17"/>
    <x v="39"/>
    <x v="52"/>
    <x v="1"/>
    <n v="0"/>
  </r>
  <r>
    <x v="0"/>
    <x v="14"/>
    <x v="17"/>
    <x v="39"/>
    <x v="53"/>
    <x v="1"/>
    <n v="0"/>
  </r>
  <r>
    <x v="0"/>
    <x v="14"/>
    <x v="17"/>
    <x v="39"/>
    <x v="54"/>
    <x v="1"/>
    <n v="0"/>
  </r>
  <r>
    <x v="0"/>
    <x v="14"/>
    <x v="17"/>
    <x v="39"/>
    <x v="55"/>
    <x v="1"/>
    <n v="0"/>
  </r>
  <r>
    <x v="0"/>
    <x v="14"/>
    <x v="17"/>
    <x v="40"/>
    <x v="46"/>
    <x v="1"/>
    <n v="3.9731117610000002"/>
  </r>
  <r>
    <x v="0"/>
    <x v="14"/>
    <x v="17"/>
    <x v="40"/>
    <x v="47"/>
    <x v="1"/>
    <n v="3.9731117610000002"/>
  </r>
  <r>
    <x v="0"/>
    <x v="14"/>
    <x v="17"/>
    <x v="40"/>
    <x v="48"/>
    <x v="1"/>
    <n v="3.9731117610000002"/>
  </r>
  <r>
    <x v="0"/>
    <x v="14"/>
    <x v="17"/>
    <x v="40"/>
    <x v="49"/>
    <x v="1"/>
    <n v="0"/>
  </r>
  <r>
    <x v="0"/>
    <x v="14"/>
    <x v="17"/>
    <x v="40"/>
    <x v="50"/>
    <x v="1"/>
    <n v="0"/>
  </r>
  <r>
    <x v="0"/>
    <x v="14"/>
    <x v="17"/>
    <x v="40"/>
    <x v="51"/>
    <x v="1"/>
    <n v="0"/>
  </r>
  <r>
    <x v="0"/>
    <x v="14"/>
    <x v="17"/>
    <x v="40"/>
    <x v="52"/>
    <x v="1"/>
    <n v="0"/>
  </r>
  <r>
    <x v="0"/>
    <x v="14"/>
    <x v="17"/>
    <x v="40"/>
    <x v="53"/>
    <x v="1"/>
    <n v="0"/>
  </r>
  <r>
    <x v="0"/>
    <x v="14"/>
    <x v="17"/>
    <x v="40"/>
    <x v="54"/>
    <x v="1"/>
    <n v="0"/>
  </r>
  <r>
    <x v="0"/>
    <x v="14"/>
    <x v="17"/>
    <x v="40"/>
    <x v="55"/>
    <x v="1"/>
    <n v="0"/>
  </r>
  <r>
    <x v="0"/>
    <x v="14"/>
    <x v="17"/>
    <x v="41"/>
    <x v="46"/>
    <x v="1"/>
    <n v="64.986947956999998"/>
  </r>
  <r>
    <x v="0"/>
    <x v="14"/>
    <x v="17"/>
    <x v="41"/>
    <x v="47"/>
    <x v="1"/>
    <n v="64.986947956999998"/>
  </r>
  <r>
    <x v="0"/>
    <x v="14"/>
    <x v="17"/>
    <x v="41"/>
    <x v="48"/>
    <x v="1"/>
    <n v="64.986947956999998"/>
  </r>
  <r>
    <x v="0"/>
    <x v="14"/>
    <x v="17"/>
    <x v="41"/>
    <x v="49"/>
    <x v="1"/>
    <n v="0"/>
  </r>
  <r>
    <x v="0"/>
    <x v="14"/>
    <x v="17"/>
    <x v="41"/>
    <x v="50"/>
    <x v="1"/>
    <n v="0"/>
  </r>
  <r>
    <x v="0"/>
    <x v="14"/>
    <x v="17"/>
    <x v="41"/>
    <x v="51"/>
    <x v="1"/>
    <n v="0"/>
  </r>
  <r>
    <x v="0"/>
    <x v="14"/>
    <x v="17"/>
    <x v="41"/>
    <x v="52"/>
    <x v="1"/>
    <n v="0"/>
  </r>
  <r>
    <x v="0"/>
    <x v="14"/>
    <x v="17"/>
    <x v="41"/>
    <x v="53"/>
    <x v="1"/>
    <n v="0"/>
  </r>
  <r>
    <x v="0"/>
    <x v="14"/>
    <x v="17"/>
    <x v="41"/>
    <x v="54"/>
    <x v="1"/>
    <n v="0"/>
  </r>
  <r>
    <x v="0"/>
    <x v="14"/>
    <x v="17"/>
    <x v="41"/>
    <x v="55"/>
    <x v="1"/>
    <n v="0"/>
  </r>
  <r>
    <x v="0"/>
    <x v="14"/>
    <x v="18"/>
    <x v="42"/>
    <x v="46"/>
    <x v="1"/>
    <n v="26.678801396000001"/>
  </r>
  <r>
    <x v="0"/>
    <x v="14"/>
    <x v="18"/>
    <x v="42"/>
    <x v="47"/>
    <x v="1"/>
    <n v="26.678801396000001"/>
  </r>
  <r>
    <x v="0"/>
    <x v="14"/>
    <x v="18"/>
    <x v="42"/>
    <x v="48"/>
    <x v="1"/>
    <n v="26.678801396000001"/>
  </r>
  <r>
    <x v="0"/>
    <x v="14"/>
    <x v="18"/>
    <x v="42"/>
    <x v="49"/>
    <x v="1"/>
    <n v="0"/>
  </r>
  <r>
    <x v="0"/>
    <x v="14"/>
    <x v="18"/>
    <x v="42"/>
    <x v="50"/>
    <x v="1"/>
    <n v="0"/>
  </r>
  <r>
    <x v="0"/>
    <x v="14"/>
    <x v="18"/>
    <x v="42"/>
    <x v="51"/>
    <x v="1"/>
    <n v="0"/>
  </r>
  <r>
    <x v="0"/>
    <x v="14"/>
    <x v="18"/>
    <x v="42"/>
    <x v="52"/>
    <x v="1"/>
    <n v="0"/>
  </r>
  <r>
    <x v="0"/>
    <x v="14"/>
    <x v="18"/>
    <x v="42"/>
    <x v="53"/>
    <x v="1"/>
    <n v="0"/>
  </r>
  <r>
    <x v="0"/>
    <x v="14"/>
    <x v="18"/>
    <x v="42"/>
    <x v="54"/>
    <x v="1"/>
    <n v="0"/>
  </r>
  <r>
    <x v="0"/>
    <x v="14"/>
    <x v="18"/>
    <x v="42"/>
    <x v="55"/>
    <x v="1"/>
    <n v="0"/>
  </r>
  <r>
    <x v="0"/>
    <x v="14"/>
    <x v="18"/>
    <x v="43"/>
    <x v="46"/>
    <x v="1"/>
    <n v="53.740361915999998"/>
  </r>
  <r>
    <x v="0"/>
    <x v="14"/>
    <x v="18"/>
    <x v="43"/>
    <x v="47"/>
    <x v="1"/>
    <n v="53.740361915999998"/>
  </r>
  <r>
    <x v="0"/>
    <x v="14"/>
    <x v="18"/>
    <x v="43"/>
    <x v="48"/>
    <x v="1"/>
    <n v="53.740361915999998"/>
  </r>
  <r>
    <x v="0"/>
    <x v="14"/>
    <x v="18"/>
    <x v="43"/>
    <x v="49"/>
    <x v="1"/>
    <n v="0"/>
  </r>
  <r>
    <x v="0"/>
    <x v="14"/>
    <x v="18"/>
    <x v="43"/>
    <x v="50"/>
    <x v="1"/>
    <n v="0"/>
  </r>
  <r>
    <x v="0"/>
    <x v="14"/>
    <x v="18"/>
    <x v="43"/>
    <x v="51"/>
    <x v="1"/>
    <n v="0"/>
  </r>
  <r>
    <x v="0"/>
    <x v="14"/>
    <x v="18"/>
    <x v="43"/>
    <x v="52"/>
    <x v="1"/>
    <n v="0"/>
  </r>
  <r>
    <x v="0"/>
    <x v="14"/>
    <x v="18"/>
    <x v="43"/>
    <x v="53"/>
    <x v="1"/>
    <n v="0"/>
  </r>
  <r>
    <x v="0"/>
    <x v="14"/>
    <x v="18"/>
    <x v="43"/>
    <x v="54"/>
    <x v="1"/>
    <n v="0"/>
  </r>
  <r>
    <x v="0"/>
    <x v="14"/>
    <x v="18"/>
    <x v="43"/>
    <x v="55"/>
    <x v="1"/>
    <n v="0"/>
  </r>
  <r>
    <x v="0"/>
    <x v="14"/>
    <x v="19"/>
    <x v="44"/>
    <x v="46"/>
    <x v="5"/>
    <n v="802.1662536"/>
  </r>
  <r>
    <x v="0"/>
    <x v="14"/>
    <x v="19"/>
    <x v="44"/>
    <x v="47"/>
    <x v="5"/>
    <n v="802.1662536"/>
  </r>
  <r>
    <x v="0"/>
    <x v="14"/>
    <x v="19"/>
    <x v="44"/>
    <x v="48"/>
    <x v="5"/>
    <n v="802.1662536"/>
  </r>
  <r>
    <x v="0"/>
    <x v="14"/>
    <x v="19"/>
    <x v="44"/>
    <x v="49"/>
    <x v="5"/>
    <n v="0"/>
  </r>
  <r>
    <x v="0"/>
    <x v="14"/>
    <x v="19"/>
    <x v="44"/>
    <x v="50"/>
    <x v="5"/>
    <n v="0"/>
  </r>
  <r>
    <x v="0"/>
    <x v="14"/>
    <x v="19"/>
    <x v="44"/>
    <x v="51"/>
    <x v="5"/>
    <n v="0"/>
  </r>
  <r>
    <x v="0"/>
    <x v="14"/>
    <x v="19"/>
    <x v="44"/>
    <x v="52"/>
    <x v="5"/>
    <n v="0"/>
  </r>
  <r>
    <x v="0"/>
    <x v="14"/>
    <x v="19"/>
    <x v="44"/>
    <x v="53"/>
    <x v="5"/>
    <n v="0"/>
  </r>
  <r>
    <x v="0"/>
    <x v="14"/>
    <x v="19"/>
    <x v="44"/>
    <x v="54"/>
    <x v="5"/>
    <n v="0"/>
  </r>
  <r>
    <x v="0"/>
    <x v="14"/>
    <x v="19"/>
    <x v="44"/>
    <x v="55"/>
    <x v="5"/>
    <n v="0"/>
  </r>
  <r>
    <x v="0"/>
    <x v="14"/>
    <x v="20"/>
    <x v="44"/>
    <x v="0"/>
    <x v="6"/>
    <n v="318.47087879600002"/>
  </r>
  <r>
    <x v="0"/>
    <x v="14"/>
    <x v="21"/>
    <x v="44"/>
    <x v="0"/>
    <x v="6"/>
    <n v="4571.9376438429999"/>
  </r>
  <r>
    <x v="0"/>
    <x v="14"/>
    <x v="22"/>
    <x v="44"/>
    <x v="0"/>
    <x v="5"/>
    <n v="6.9657748000000005E-2"/>
  </r>
  <r>
    <x v="0"/>
    <x v="14"/>
    <x v="23"/>
    <x v="44"/>
    <x v="0"/>
    <x v="5"/>
    <n v="907.97459601000003"/>
  </r>
  <r>
    <x v="0"/>
    <x v="14"/>
    <x v="24"/>
    <x v="44"/>
    <x v="0"/>
    <x v="6"/>
    <n v="1607.430951153"/>
  </r>
  <r>
    <x v="0"/>
    <x v="14"/>
    <x v="25"/>
    <x v="45"/>
    <x v="0"/>
    <x v="6"/>
    <n v="2165.3595882230002"/>
  </r>
  <r>
    <x v="0"/>
    <x v="14"/>
    <x v="26"/>
    <x v="44"/>
    <x v="0"/>
    <x v="6"/>
    <n v="1311.0974811630001"/>
  </r>
  <r>
    <x v="0"/>
    <x v="14"/>
    <x v="27"/>
    <x v="44"/>
    <x v="0"/>
    <x v="6"/>
    <n v="849.18545449700002"/>
  </r>
  <r>
    <x v="0"/>
    <x v="14"/>
    <x v="28"/>
    <x v="44"/>
    <x v="0"/>
    <x v="6"/>
    <n v="1361.1358311930001"/>
  </r>
  <r>
    <x v="0"/>
    <x v="14"/>
    <x v="29"/>
    <x v="44"/>
    <x v="0"/>
    <x v="6"/>
    <n v="6.0292625280000003"/>
  </r>
  <r>
    <x v="0"/>
    <x v="14"/>
    <x v="30"/>
    <x v="44"/>
    <x v="0"/>
    <x v="6"/>
    <n v="287.55789600999998"/>
  </r>
  <r>
    <x v="0"/>
    <x v="14"/>
    <x v="31"/>
    <x v="44"/>
    <x v="0"/>
    <x v="6"/>
    <n v="13705.340762334999"/>
  </r>
  <r>
    <x v="0"/>
    <x v="14"/>
    <x v="32"/>
    <x v="44"/>
    <x v="0"/>
    <x v="5"/>
    <n v="2.0981448E-2"/>
  </r>
  <r>
    <x v="0"/>
    <x v="14"/>
    <x v="33"/>
    <x v="44"/>
    <x v="0"/>
    <x v="5"/>
    <n v="1.9432999999999998E-5"/>
  </r>
  <r>
    <x v="0"/>
    <x v="14"/>
    <x v="34"/>
    <x v="44"/>
    <x v="0"/>
    <x v="5"/>
    <n v="1"/>
  </r>
  <r>
    <x v="0"/>
    <x v="14"/>
    <x v="35"/>
    <x v="44"/>
    <x v="0"/>
    <x v="5"/>
    <n v="1.075"/>
  </r>
  <r>
    <x v="0"/>
    <x v="14"/>
    <x v="36"/>
    <x v="44"/>
    <x v="0"/>
    <x v="5"/>
    <n v="2.9406495000000001E-2"/>
  </r>
  <r>
    <x v="0"/>
    <x v="14"/>
    <x v="37"/>
    <x v="45"/>
    <x v="0"/>
    <x v="6"/>
    <n v="0"/>
  </r>
  <r>
    <x v="0"/>
    <x v="14"/>
    <x v="38"/>
    <x v="45"/>
    <x v="0"/>
    <x v="6"/>
    <n v="0"/>
  </r>
  <r>
    <x v="0"/>
    <x v="14"/>
    <x v="39"/>
    <x v="45"/>
    <x v="0"/>
    <x v="6"/>
    <n v="1"/>
  </r>
  <r>
    <x v="0"/>
    <x v="14"/>
    <x v="40"/>
    <x v="45"/>
    <x v="0"/>
    <x v="6"/>
    <n v="213.375468872"/>
  </r>
  <r>
    <x v="0"/>
    <x v="14"/>
    <x v="41"/>
    <x v="45"/>
    <x v="0"/>
    <x v="6"/>
    <n v="198.06766323400001"/>
  </r>
  <r>
    <x v="0"/>
    <x v="14"/>
    <x v="42"/>
    <x v="45"/>
    <x v="0"/>
    <x v="6"/>
    <n v="15.307805638"/>
  </r>
  <r>
    <x v="0"/>
    <x v="14"/>
    <x v="43"/>
    <x v="45"/>
    <x v="0"/>
    <x v="6"/>
    <n v="293.35566010000002"/>
  </r>
  <r>
    <x v="0"/>
    <x v="14"/>
    <x v="44"/>
    <x v="45"/>
    <x v="0"/>
    <x v="6"/>
    <n v="0"/>
  </r>
  <r>
    <x v="0"/>
    <x v="14"/>
    <x v="45"/>
    <x v="44"/>
    <x v="0"/>
    <x v="5"/>
    <n v="5.2181729000000003E-2"/>
  </r>
  <r>
    <x v="0"/>
    <x v="14"/>
    <x v="46"/>
    <x v="45"/>
    <x v="0"/>
    <x v="5"/>
    <n v="4.5459881659999999"/>
  </r>
  <r>
    <x v="0"/>
    <x v="14"/>
    <x v="47"/>
    <x v="46"/>
    <x v="0"/>
    <x v="6"/>
    <n v="0.43064149800000001"/>
  </r>
  <r>
    <x v="0"/>
    <x v="14"/>
    <x v="48"/>
    <x v="47"/>
    <x v="0"/>
    <x v="6"/>
    <n v="0"/>
  </r>
  <r>
    <x v="0"/>
    <x v="14"/>
    <x v="49"/>
    <x v="47"/>
    <x v="0"/>
    <x v="6"/>
    <n v="0"/>
  </r>
  <r>
    <x v="0"/>
    <x v="14"/>
    <x v="50"/>
    <x v="48"/>
    <x v="0"/>
    <x v="7"/>
    <n v="148.30040158599999"/>
  </r>
  <r>
    <x v="0"/>
    <x v="14"/>
    <x v="50"/>
    <x v="49"/>
    <x v="0"/>
    <x v="7"/>
    <n v="138.826852925"/>
  </r>
  <r>
    <x v="0"/>
    <x v="14"/>
    <x v="51"/>
    <x v="42"/>
    <x v="0"/>
    <x v="4"/>
    <n v="70.144318634000001"/>
  </r>
  <r>
    <x v="0"/>
    <x v="14"/>
    <x v="51"/>
    <x v="43"/>
    <x v="0"/>
    <x v="4"/>
    <n v="233.80200453800001"/>
  </r>
  <r>
    <x v="0"/>
    <x v="14"/>
    <x v="52"/>
    <x v="42"/>
    <x v="0"/>
    <x v="4"/>
    <n v="37.651694906000003"/>
  </r>
  <r>
    <x v="0"/>
    <x v="14"/>
    <x v="52"/>
    <x v="43"/>
    <x v="0"/>
    <x v="4"/>
    <n v="70.469592712999997"/>
  </r>
  <r>
    <x v="0"/>
    <x v="14"/>
    <x v="53"/>
    <x v="42"/>
    <x v="0"/>
    <x v="4"/>
    <n v="10.972893509"/>
  </r>
  <r>
    <x v="0"/>
    <x v="14"/>
    <x v="53"/>
    <x v="43"/>
    <x v="0"/>
    <x v="4"/>
    <n v="16.729230796"/>
  </r>
  <r>
    <x v="0"/>
    <x v="14"/>
    <x v="54"/>
    <x v="42"/>
    <x v="56"/>
    <x v="4"/>
    <n v="27.156865479"/>
  </r>
  <r>
    <x v="0"/>
    <x v="14"/>
    <x v="54"/>
    <x v="43"/>
    <x v="56"/>
    <x v="4"/>
    <n v="155.27135115799999"/>
  </r>
  <r>
    <x v="0"/>
    <x v="14"/>
    <x v="55"/>
    <x v="42"/>
    <x v="0"/>
    <x v="4"/>
    <n v="6.3968012000000005E-2"/>
  </r>
  <r>
    <x v="0"/>
    <x v="14"/>
    <x v="55"/>
    <x v="43"/>
    <x v="0"/>
    <x v="4"/>
    <n v="5.9208499999999997E-2"/>
  </r>
  <r>
    <x v="0"/>
    <x v="14"/>
    <x v="56"/>
    <x v="42"/>
    <x v="0"/>
    <x v="4"/>
    <n v="8.1555008999999998E-2"/>
  </r>
  <r>
    <x v="0"/>
    <x v="14"/>
    <x v="56"/>
    <x v="43"/>
    <x v="0"/>
    <x v="4"/>
    <n v="7.8759047999999998E-2"/>
  </r>
  <r>
    <x v="0"/>
    <x v="14"/>
    <x v="57"/>
    <x v="42"/>
    <x v="0"/>
    <x v="4"/>
    <n v="4.1609795999999998E-2"/>
  </r>
  <r>
    <x v="0"/>
    <x v="14"/>
    <x v="57"/>
    <x v="43"/>
    <x v="0"/>
    <x v="4"/>
    <n v="3.9219068000000003E-2"/>
  </r>
  <r>
    <x v="0"/>
    <x v="14"/>
    <x v="58"/>
    <x v="44"/>
    <x v="57"/>
    <x v="5"/>
    <n v="4.1318906000000002E-2"/>
  </r>
  <r>
    <x v="0"/>
    <x v="14"/>
    <x v="59"/>
    <x v="44"/>
    <x v="57"/>
    <x v="6"/>
    <n v="704.06799999999998"/>
  </r>
  <r>
    <x v="0"/>
    <x v="14"/>
    <x v="60"/>
    <x v="0"/>
    <x v="57"/>
    <x v="8"/>
    <n v="227.31821389500001"/>
  </r>
  <r>
    <x v="0"/>
    <x v="14"/>
    <x v="60"/>
    <x v="1"/>
    <x v="57"/>
    <x v="8"/>
    <n v="27.151542998"/>
  </r>
  <r>
    <x v="0"/>
    <x v="14"/>
    <x v="60"/>
    <x v="2"/>
    <x v="57"/>
    <x v="8"/>
    <n v="91.553157976999998"/>
  </r>
  <r>
    <x v="0"/>
    <x v="14"/>
    <x v="60"/>
    <x v="3"/>
    <x v="57"/>
    <x v="8"/>
    <n v="63.017562179000002"/>
  </r>
  <r>
    <x v="0"/>
    <x v="14"/>
    <x v="60"/>
    <x v="4"/>
    <x v="57"/>
    <x v="8"/>
    <n v="4.6981362720000002"/>
  </r>
  <r>
    <x v="0"/>
    <x v="14"/>
    <x v="60"/>
    <x v="5"/>
    <x v="57"/>
    <x v="8"/>
    <n v="93.330608886999997"/>
  </r>
  <r>
    <x v="0"/>
    <x v="14"/>
    <x v="60"/>
    <x v="6"/>
    <x v="57"/>
    <x v="8"/>
    <n v="14.611796353000001"/>
  </r>
  <r>
    <x v="0"/>
    <x v="14"/>
    <x v="60"/>
    <x v="7"/>
    <x v="57"/>
    <x v="8"/>
    <n v="23.346805848999999"/>
  </r>
  <r>
    <x v="0"/>
    <x v="14"/>
    <x v="60"/>
    <x v="8"/>
    <x v="57"/>
    <x v="8"/>
    <n v="6.3170686460000001"/>
  </r>
  <r>
    <x v="0"/>
    <x v="14"/>
    <x v="60"/>
    <x v="9"/>
    <x v="57"/>
    <x v="8"/>
    <n v="23.608245632999999"/>
  </r>
  <r>
    <x v="0"/>
    <x v="14"/>
    <x v="60"/>
    <x v="10"/>
    <x v="57"/>
    <x v="8"/>
    <n v="21.720458863000001"/>
  </r>
  <r>
    <x v="0"/>
    <x v="14"/>
    <x v="60"/>
    <x v="11"/>
    <x v="57"/>
    <x v="8"/>
    <n v="126.280750837"/>
  </r>
  <r>
    <x v="0"/>
    <x v="14"/>
    <x v="60"/>
    <x v="12"/>
    <x v="57"/>
    <x v="8"/>
    <n v="4.6262419069999998"/>
  </r>
  <r>
    <x v="0"/>
    <x v="14"/>
    <x v="60"/>
    <x v="13"/>
    <x v="57"/>
    <x v="8"/>
    <n v="46.773936388000003"/>
  </r>
  <r>
    <x v="0"/>
    <x v="14"/>
    <x v="60"/>
    <x v="14"/>
    <x v="57"/>
    <x v="8"/>
    <n v="6.163596783"/>
  </r>
  <r>
    <x v="0"/>
    <x v="14"/>
    <x v="60"/>
    <x v="15"/>
    <x v="57"/>
    <x v="8"/>
    <n v="41.776533528999998"/>
  </r>
  <r>
    <x v="0"/>
    <x v="14"/>
    <x v="60"/>
    <x v="16"/>
    <x v="57"/>
    <x v="8"/>
    <n v="35.723479595000001"/>
  </r>
  <r>
    <x v="0"/>
    <x v="14"/>
    <x v="60"/>
    <x v="17"/>
    <x v="57"/>
    <x v="8"/>
    <n v="58.674740092"/>
  </r>
  <r>
    <x v="0"/>
    <x v="14"/>
    <x v="60"/>
    <x v="18"/>
    <x v="57"/>
    <x v="8"/>
    <n v="31.431354779999999"/>
  </r>
  <r>
    <x v="0"/>
    <x v="14"/>
    <x v="60"/>
    <x v="19"/>
    <x v="57"/>
    <x v="8"/>
    <n v="194.94433572200001"/>
  </r>
  <r>
    <x v="0"/>
    <x v="14"/>
    <x v="60"/>
    <x v="20"/>
    <x v="57"/>
    <x v="8"/>
    <n v="29.707106442000001"/>
  </r>
  <r>
    <x v="0"/>
    <x v="14"/>
    <x v="60"/>
    <x v="21"/>
    <x v="57"/>
    <x v="8"/>
    <n v="0.55639503899999998"/>
  </r>
  <r>
    <x v="0"/>
    <x v="14"/>
    <x v="60"/>
    <x v="22"/>
    <x v="57"/>
    <x v="8"/>
    <n v="1.198226284"/>
  </r>
  <r>
    <x v="0"/>
    <x v="14"/>
    <x v="60"/>
    <x v="23"/>
    <x v="57"/>
    <x v="8"/>
    <n v="0"/>
  </r>
  <r>
    <x v="0"/>
    <x v="14"/>
    <x v="60"/>
    <x v="24"/>
    <x v="57"/>
    <x v="8"/>
    <n v="0.18441937"/>
  </r>
  <r>
    <x v="0"/>
    <x v="14"/>
    <x v="60"/>
    <x v="25"/>
    <x v="57"/>
    <x v="8"/>
    <n v="4.2500000000000001E-7"/>
  </r>
  <r>
    <x v="0"/>
    <x v="14"/>
    <x v="60"/>
    <x v="26"/>
    <x v="57"/>
    <x v="8"/>
    <n v="0"/>
  </r>
  <r>
    <x v="0"/>
    <x v="14"/>
    <x v="60"/>
    <x v="27"/>
    <x v="57"/>
    <x v="8"/>
    <n v="2.806071143"/>
  </r>
  <r>
    <x v="0"/>
    <x v="14"/>
    <x v="60"/>
    <x v="28"/>
    <x v="57"/>
    <x v="8"/>
    <n v="0"/>
  </r>
  <r>
    <x v="0"/>
    <x v="14"/>
    <x v="60"/>
    <x v="29"/>
    <x v="57"/>
    <x v="8"/>
    <n v="38.621501338000002"/>
  </r>
  <r>
    <x v="0"/>
    <x v="14"/>
    <x v="60"/>
    <x v="30"/>
    <x v="57"/>
    <x v="8"/>
    <n v="26.152515719"/>
  </r>
  <r>
    <x v="0"/>
    <x v="14"/>
    <x v="60"/>
    <x v="31"/>
    <x v="57"/>
    <x v="8"/>
    <n v="5.6527886970000001"/>
  </r>
  <r>
    <x v="0"/>
    <x v="14"/>
    <x v="60"/>
    <x v="32"/>
    <x v="57"/>
    <x v="8"/>
    <n v="3.401272498"/>
  </r>
  <r>
    <x v="0"/>
    <x v="14"/>
    <x v="60"/>
    <x v="33"/>
    <x v="57"/>
    <x v="8"/>
    <n v="0"/>
  </r>
  <r>
    <x v="0"/>
    <x v="14"/>
    <x v="60"/>
    <x v="34"/>
    <x v="57"/>
    <x v="8"/>
    <n v="39.669167659999999"/>
  </r>
  <r>
    <x v="0"/>
    <x v="14"/>
    <x v="60"/>
    <x v="35"/>
    <x v="57"/>
    <x v="8"/>
    <n v="4.2482415019999999"/>
  </r>
  <r>
    <x v="0"/>
    <x v="14"/>
    <x v="60"/>
    <x v="36"/>
    <x v="57"/>
    <x v="8"/>
    <n v="9.7234124479999995"/>
  </r>
  <r>
    <x v="0"/>
    <x v="14"/>
    <x v="60"/>
    <x v="37"/>
    <x v="57"/>
    <x v="8"/>
    <n v="2.4197885559999999"/>
  </r>
  <r>
    <x v="0"/>
    <x v="14"/>
    <x v="60"/>
    <x v="38"/>
    <x v="57"/>
    <x v="8"/>
    <n v="13.221827128999999"/>
  </r>
  <r>
    <x v="0"/>
    <x v="14"/>
    <x v="60"/>
    <x v="39"/>
    <x v="57"/>
    <x v="8"/>
    <n v="4.0728773829999998"/>
  </r>
  <r>
    <x v="0"/>
    <x v="14"/>
    <x v="60"/>
    <x v="40"/>
    <x v="57"/>
    <x v="8"/>
    <n v="26.944137122000001"/>
  </r>
  <r>
    <x v="0"/>
    <x v="14"/>
    <x v="60"/>
    <x v="41"/>
    <x v="57"/>
    <x v="8"/>
    <n v="9.4875152539999998"/>
  </r>
  <r>
    <x v="0"/>
    <x v="14"/>
    <x v="61"/>
    <x v="0"/>
    <x v="57"/>
    <x v="8"/>
    <n v="1.4939468039999999"/>
  </r>
  <r>
    <x v="0"/>
    <x v="14"/>
    <x v="61"/>
    <x v="1"/>
    <x v="57"/>
    <x v="8"/>
    <n v="0.51973889600000001"/>
  </r>
  <r>
    <x v="0"/>
    <x v="14"/>
    <x v="61"/>
    <x v="2"/>
    <x v="57"/>
    <x v="8"/>
    <n v="3.256883363"/>
  </r>
  <r>
    <x v="0"/>
    <x v="14"/>
    <x v="61"/>
    <x v="3"/>
    <x v="57"/>
    <x v="8"/>
    <n v="0.46938615099999997"/>
  </r>
  <r>
    <x v="0"/>
    <x v="14"/>
    <x v="61"/>
    <x v="4"/>
    <x v="57"/>
    <x v="8"/>
    <n v="0.865467612"/>
  </r>
  <r>
    <x v="0"/>
    <x v="14"/>
    <x v="61"/>
    <x v="5"/>
    <x v="57"/>
    <x v="8"/>
    <n v="9.7284216269999995"/>
  </r>
  <r>
    <x v="0"/>
    <x v="14"/>
    <x v="61"/>
    <x v="6"/>
    <x v="57"/>
    <x v="8"/>
    <n v="18.949677887"/>
  </r>
  <r>
    <x v="0"/>
    <x v="14"/>
    <x v="61"/>
    <x v="7"/>
    <x v="57"/>
    <x v="8"/>
    <n v="38.300308915000002"/>
  </r>
  <r>
    <x v="0"/>
    <x v="14"/>
    <x v="61"/>
    <x v="8"/>
    <x v="57"/>
    <x v="8"/>
    <n v="14.568149481000001"/>
  </r>
  <r>
    <x v="0"/>
    <x v="14"/>
    <x v="61"/>
    <x v="9"/>
    <x v="57"/>
    <x v="8"/>
    <n v="34.356465303999997"/>
  </r>
  <r>
    <x v="0"/>
    <x v="14"/>
    <x v="61"/>
    <x v="10"/>
    <x v="57"/>
    <x v="8"/>
    <n v="13.41551308"/>
  </r>
  <r>
    <x v="0"/>
    <x v="14"/>
    <x v="61"/>
    <x v="11"/>
    <x v="57"/>
    <x v="8"/>
    <n v="73.424225594999996"/>
  </r>
  <r>
    <x v="0"/>
    <x v="14"/>
    <x v="61"/>
    <x v="12"/>
    <x v="57"/>
    <x v="8"/>
    <n v="16.109081361000001"/>
  </r>
  <r>
    <x v="0"/>
    <x v="14"/>
    <x v="61"/>
    <x v="13"/>
    <x v="57"/>
    <x v="8"/>
    <n v="41.162102742999998"/>
  </r>
  <r>
    <x v="0"/>
    <x v="14"/>
    <x v="61"/>
    <x v="14"/>
    <x v="57"/>
    <x v="8"/>
    <n v="30.734309887999999"/>
  </r>
  <r>
    <x v="0"/>
    <x v="14"/>
    <x v="61"/>
    <x v="15"/>
    <x v="57"/>
    <x v="8"/>
    <n v="41.295134941000001"/>
  </r>
  <r>
    <x v="0"/>
    <x v="14"/>
    <x v="61"/>
    <x v="16"/>
    <x v="57"/>
    <x v="8"/>
    <n v="19.306038311999998"/>
  </r>
  <r>
    <x v="0"/>
    <x v="14"/>
    <x v="61"/>
    <x v="17"/>
    <x v="57"/>
    <x v="8"/>
    <n v="32.593538658999996"/>
  </r>
  <r>
    <x v="0"/>
    <x v="14"/>
    <x v="61"/>
    <x v="18"/>
    <x v="57"/>
    <x v="8"/>
    <n v="73.921621152"/>
  </r>
  <r>
    <x v="0"/>
    <x v="14"/>
    <x v="61"/>
    <x v="19"/>
    <x v="57"/>
    <x v="8"/>
    <n v="169.83318305700001"/>
  </r>
  <r>
    <x v="0"/>
    <x v="14"/>
    <x v="61"/>
    <x v="20"/>
    <x v="57"/>
    <x v="8"/>
    <n v="12.763687152999999"/>
  </r>
  <r>
    <x v="0"/>
    <x v="14"/>
    <x v="61"/>
    <x v="21"/>
    <x v="57"/>
    <x v="8"/>
    <n v="2.716004877"/>
  </r>
  <r>
    <x v="0"/>
    <x v="14"/>
    <x v="61"/>
    <x v="22"/>
    <x v="57"/>
    <x v="8"/>
    <n v="6.0597948629999996"/>
  </r>
  <r>
    <x v="0"/>
    <x v="14"/>
    <x v="61"/>
    <x v="23"/>
    <x v="57"/>
    <x v="8"/>
    <n v="0"/>
  </r>
  <r>
    <x v="0"/>
    <x v="14"/>
    <x v="61"/>
    <x v="24"/>
    <x v="57"/>
    <x v="8"/>
    <n v="0.71513829399999995"/>
  </r>
  <r>
    <x v="0"/>
    <x v="14"/>
    <x v="61"/>
    <x v="25"/>
    <x v="57"/>
    <x v="8"/>
    <n v="0"/>
  </r>
  <r>
    <x v="0"/>
    <x v="14"/>
    <x v="61"/>
    <x v="26"/>
    <x v="57"/>
    <x v="8"/>
    <n v="0"/>
  </r>
  <r>
    <x v="0"/>
    <x v="14"/>
    <x v="61"/>
    <x v="27"/>
    <x v="57"/>
    <x v="8"/>
    <n v="3.0940109069999999"/>
  </r>
  <r>
    <x v="0"/>
    <x v="14"/>
    <x v="61"/>
    <x v="28"/>
    <x v="57"/>
    <x v="8"/>
    <n v="98.816184512999996"/>
  </r>
  <r>
    <x v="0"/>
    <x v="14"/>
    <x v="61"/>
    <x v="29"/>
    <x v="57"/>
    <x v="8"/>
    <n v="41.860863735999999"/>
  </r>
  <r>
    <x v="0"/>
    <x v="14"/>
    <x v="61"/>
    <x v="30"/>
    <x v="57"/>
    <x v="8"/>
    <n v="1.630058062"/>
  </r>
  <r>
    <x v="0"/>
    <x v="14"/>
    <x v="61"/>
    <x v="31"/>
    <x v="57"/>
    <x v="8"/>
    <n v="10.71151412"/>
  </r>
  <r>
    <x v="0"/>
    <x v="14"/>
    <x v="61"/>
    <x v="32"/>
    <x v="57"/>
    <x v="8"/>
    <n v="4.7687501750000001"/>
  </r>
  <r>
    <x v="0"/>
    <x v="14"/>
    <x v="61"/>
    <x v="33"/>
    <x v="57"/>
    <x v="8"/>
    <n v="0"/>
  </r>
  <r>
    <x v="0"/>
    <x v="14"/>
    <x v="61"/>
    <x v="34"/>
    <x v="57"/>
    <x v="8"/>
    <n v="27.151476589000001"/>
  </r>
  <r>
    <x v="0"/>
    <x v="14"/>
    <x v="61"/>
    <x v="35"/>
    <x v="57"/>
    <x v="8"/>
    <n v="0.16995943099999999"/>
  </r>
  <r>
    <x v="0"/>
    <x v="14"/>
    <x v="61"/>
    <x v="36"/>
    <x v="57"/>
    <x v="8"/>
    <n v="0.68369083500000005"/>
  </r>
  <r>
    <x v="0"/>
    <x v="14"/>
    <x v="61"/>
    <x v="37"/>
    <x v="57"/>
    <x v="8"/>
    <n v="0.41911626000000002"/>
  </r>
  <r>
    <x v="0"/>
    <x v="14"/>
    <x v="61"/>
    <x v="38"/>
    <x v="57"/>
    <x v="8"/>
    <n v="0.12430247699999999"/>
  </r>
  <r>
    <x v="0"/>
    <x v="14"/>
    <x v="61"/>
    <x v="39"/>
    <x v="57"/>
    <x v="8"/>
    <n v="0.14981530100000001"/>
  </r>
  <r>
    <x v="0"/>
    <x v="14"/>
    <x v="61"/>
    <x v="40"/>
    <x v="57"/>
    <x v="8"/>
    <n v="2.8119085959999999"/>
  </r>
  <r>
    <x v="0"/>
    <x v="14"/>
    <x v="61"/>
    <x v="41"/>
    <x v="57"/>
    <x v="8"/>
    <n v="0.23598348"/>
  </r>
  <r>
    <x v="0"/>
    <x v="14"/>
    <x v="62"/>
    <x v="0"/>
    <x v="57"/>
    <x v="9"/>
    <n v="4.1318906000000002E-2"/>
  </r>
  <r>
    <x v="0"/>
    <x v="14"/>
    <x v="62"/>
    <x v="1"/>
    <x v="57"/>
    <x v="9"/>
    <n v="4.1318906000000002E-2"/>
  </r>
  <r>
    <x v="0"/>
    <x v="14"/>
    <x v="62"/>
    <x v="2"/>
    <x v="57"/>
    <x v="9"/>
    <n v="4.1318906000000002E-2"/>
  </r>
  <r>
    <x v="0"/>
    <x v="14"/>
    <x v="62"/>
    <x v="3"/>
    <x v="57"/>
    <x v="9"/>
    <n v="4.1318906000000002E-2"/>
  </r>
  <r>
    <x v="0"/>
    <x v="14"/>
    <x v="62"/>
    <x v="4"/>
    <x v="57"/>
    <x v="9"/>
    <n v="4.1318906000000002E-2"/>
  </r>
  <r>
    <x v="0"/>
    <x v="14"/>
    <x v="62"/>
    <x v="5"/>
    <x v="57"/>
    <x v="9"/>
    <n v="4.1318906000000002E-2"/>
  </r>
  <r>
    <x v="0"/>
    <x v="14"/>
    <x v="62"/>
    <x v="6"/>
    <x v="57"/>
    <x v="9"/>
    <n v="4.1318906000000002E-2"/>
  </r>
  <r>
    <x v="0"/>
    <x v="14"/>
    <x v="62"/>
    <x v="7"/>
    <x v="57"/>
    <x v="9"/>
    <n v="4.1318906000000002E-2"/>
  </r>
  <r>
    <x v="0"/>
    <x v="14"/>
    <x v="62"/>
    <x v="8"/>
    <x v="57"/>
    <x v="9"/>
    <n v="4.1318906000000002E-2"/>
  </r>
  <r>
    <x v="0"/>
    <x v="14"/>
    <x v="62"/>
    <x v="9"/>
    <x v="57"/>
    <x v="9"/>
    <n v="4.1318906000000002E-2"/>
  </r>
  <r>
    <x v="0"/>
    <x v="14"/>
    <x v="62"/>
    <x v="10"/>
    <x v="57"/>
    <x v="9"/>
    <n v="4.1318906000000002E-2"/>
  </r>
  <r>
    <x v="0"/>
    <x v="14"/>
    <x v="62"/>
    <x v="11"/>
    <x v="57"/>
    <x v="9"/>
    <n v="4.1318906000000002E-2"/>
  </r>
  <r>
    <x v="0"/>
    <x v="14"/>
    <x v="62"/>
    <x v="12"/>
    <x v="57"/>
    <x v="9"/>
    <n v="4.1318906000000002E-2"/>
  </r>
  <r>
    <x v="0"/>
    <x v="14"/>
    <x v="62"/>
    <x v="13"/>
    <x v="57"/>
    <x v="9"/>
    <n v="4.1318906000000002E-2"/>
  </r>
  <r>
    <x v="0"/>
    <x v="14"/>
    <x v="62"/>
    <x v="14"/>
    <x v="57"/>
    <x v="9"/>
    <n v="4.1318906000000002E-2"/>
  </r>
  <r>
    <x v="0"/>
    <x v="14"/>
    <x v="62"/>
    <x v="15"/>
    <x v="57"/>
    <x v="9"/>
    <n v="4.1318906000000002E-2"/>
  </r>
  <r>
    <x v="0"/>
    <x v="14"/>
    <x v="62"/>
    <x v="16"/>
    <x v="57"/>
    <x v="9"/>
    <n v="4.1318906000000002E-2"/>
  </r>
  <r>
    <x v="0"/>
    <x v="14"/>
    <x v="62"/>
    <x v="17"/>
    <x v="57"/>
    <x v="9"/>
    <n v="4.1318906000000002E-2"/>
  </r>
  <r>
    <x v="0"/>
    <x v="14"/>
    <x v="62"/>
    <x v="18"/>
    <x v="57"/>
    <x v="9"/>
    <n v="4.1318906000000002E-2"/>
  </r>
  <r>
    <x v="0"/>
    <x v="14"/>
    <x v="62"/>
    <x v="19"/>
    <x v="57"/>
    <x v="9"/>
    <n v="4.1318906000000002E-2"/>
  </r>
  <r>
    <x v="0"/>
    <x v="14"/>
    <x v="62"/>
    <x v="20"/>
    <x v="57"/>
    <x v="9"/>
    <n v="4.1318906000000002E-2"/>
  </r>
  <r>
    <x v="0"/>
    <x v="14"/>
    <x v="62"/>
    <x v="21"/>
    <x v="57"/>
    <x v="9"/>
    <n v="4.1318906000000002E-2"/>
  </r>
  <r>
    <x v="0"/>
    <x v="14"/>
    <x v="62"/>
    <x v="22"/>
    <x v="57"/>
    <x v="9"/>
    <n v="4.1318906000000002E-2"/>
  </r>
  <r>
    <x v="0"/>
    <x v="14"/>
    <x v="62"/>
    <x v="23"/>
    <x v="57"/>
    <x v="9"/>
    <n v="1"/>
  </r>
  <r>
    <x v="0"/>
    <x v="14"/>
    <x v="62"/>
    <x v="24"/>
    <x v="57"/>
    <x v="9"/>
    <n v="4.1318906000000002E-2"/>
  </r>
  <r>
    <x v="0"/>
    <x v="14"/>
    <x v="62"/>
    <x v="25"/>
    <x v="57"/>
    <x v="9"/>
    <n v="4.1318906000000002E-2"/>
  </r>
  <r>
    <x v="0"/>
    <x v="14"/>
    <x v="62"/>
    <x v="26"/>
    <x v="57"/>
    <x v="9"/>
    <n v="1"/>
  </r>
  <r>
    <x v="0"/>
    <x v="14"/>
    <x v="62"/>
    <x v="27"/>
    <x v="57"/>
    <x v="9"/>
    <n v="4.1318906000000002E-2"/>
  </r>
  <r>
    <x v="0"/>
    <x v="14"/>
    <x v="62"/>
    <x v="28"/>
    <x v="57"/>
    <x v="9"/>
    <n v="1"/>
  </r>
  <r>
    <x v="0"/>
    <x v="14"/>
    <x v="62"/>
    <x v="29"/>
    <x v="57"/>
    <x v="9"/>
    <n v="4.1318906000000002E-2"/>
  </r>
  <r>
    <x v="0"/>
    <x v="14"/>
    <x v="62"/>
    <x v="30"/>
    <x v="57"/>
    <x v="9"/>
    <n v="4.1318906000000002E-2"/>
  </r>
  <r>
    <x v="0"/>
    <x v="14"/>
    <x v="62"/>
    <x v="31"/>
    <x v="57"/>
    <x v="9"/>
    <n v="4.1318906000000002E-2"/>
  </r>
  <r>
    <x v="0"/>
    <x v="14"/>
    <x v="62"/>
    <x v="32"/>
    <x v="57"/>
    <x v="9"/>
    <n v="4.1318906000000002E-2"/>
  </r>
  <r>
    <x v="0"/>
    <x v="14"/>
    <x v="62"/>
    <x v="33"/>
    <x v="57"/>
    <x v="9"/>
    <n v="1"/>
  </r>
  <r>
    <x v="0"/>
    <x v="14"/>
    <x v="62"/>
    <x v="34"/>
    <x v="57"/>
    <x v="9"/>
    <n v="4.1318906000000002E-2"/>
  </r>
  <r>
    <x v="0"/>
    <x v="14"/>
    <x v="62"/>
    <x v="35"/>
    <x v="57"/>
    <x v="9"/>
    <n v="4.1318906000000002E-2"/>
  </r>
  <r>
    <x v="0"/>
    <x v="14"/>
    <x v="62"/>
    <x v="36"/>
    <x v="57"/>
    <x v="9"/>
    <n v="4.1318906000000002E-2"/>
  </r>
  <r>
    <x v="0"/>
    <x v="14"/>
    <x v="62"/>
    <x v="37"/>
    <x v="57"/>
    <x v="9"/>
    <n v="4.1318906000000002E-2"/>
  </r>
  <r>
    <x v="0"/>
    <x v="14"/>
    <x v="62"/>
    <x v="38"/>
    <x v="57"/>
    <x v="9"/>
    <n v="4.1318906000000002E-2"/>
  </r>
  <r>
    <x v="0"/>
    <x v="14"/>
    <x v="62"/>
    <x v="39"/>
    <x v="57"/>
    <x v="9"/>
    <n v="4.1318906000000002E-2"/>
  </r>
  <r>
    <x v="0"/>
    <x v="14"/>
    <x v="62"/>
    <x v="40"/>
    <x v="57"/>
    <x v="9"/>
    <n v="4.1318906000000002E-2"/>
  </r>
  <r>
    <x v="0"/>
    <x v="14"/>
    <x v="62"/>
    <x v="41"/>
    <x v="57"/>
    <x v="9"/>
    <n v="4.1318906000000002E-2"/>
  </r>
  <r>
    <x v="0"/>
    <x v="14"/>
    <x v="63"/>
    <x v="0"/>
    <x v="57"/>
    <x v="9"/>
    <n v="5.1529266999999997E-2"/>
  </r>
  <r>
    <x v="0"/>
    <x v="14"/>
    <x v="63"/>
    <x v="1"/>
    <x v="57"/>
    <x v="9"/>
    <n v="3.3928220000000002E-2"/>
  </r>
  <r>
    <x v="0"/>
    <x v="14"/>
    <x v="63"/>
    <x v="2"/>
    <x v="57"/>
    <x v="9"/>
    <n v="2.9129787000000001E-2"/>
  </r>
  <r>
    <x v="0"/>
    <x v="14"/>
    <x v="63"/>
    <x v="3"/>
    <x v="57"/>
    <x v="9"/>
    <n v="3.2728071999999997E-2"/>
  </r>
  <r>
    <x v="0"/>
    <x v="14"/>
    <x v="63"/>
    <x v="4"/>
    <x v="57"/>
    <x v="9"/>
    <n v="3.0876911999999999E-2"/>
  </r>
  <r>
    <x v="0"/>
    <x v="14"/>
    <x v="63"/>
    <x v="5"/>
    <x v="57"/>
    <x v="9"/>
    <n v="3.3857030000000003E-2"/>
  </r>
  <r>
    <x v="0"/>
    <x v="14"/>
    <x v="63"/>
    <x v="6"/>
    <x v="57"/>
    <x v="9"/>
    <n v="3.2262638000000003E-2"/>
  </r>
  <r>
    <x v="0"/>
    <x v="14"/>
    <x v="63"/>
    <x v="7"/>
    <x v="57"/>
    <x v="9"/>
    <n v="3.3167480999999999E-2"/>
  </r>
  <r>
    <x v="0"/>
    <x v="14"/>
    <x v="63"/>
    <x v="8"/>
    <x v="57"/>
    <x v="9"/>
    <n v="3.1921916000000002E-2"/>
  </r>
  <r>
    <x v="0"/>
    <x v="14"/>
    <x v="63"/>
    <x v="9"/>
    <x v="57"/>
    <x v="9"/>
    <n v="2.8163207999999999E-2"/>
  </r>
  <r>
    <x v="0"/>
    <x v="14"/>
    <x v="63"/>
    <x v="10"/>
    <x v="57"/>
    <x v="9"/>
    <n v="2.2466779999999999E-2"/>
  </r>
  <r>
    <x v="0"/>
    <x v="14"/>
    <x v="63"/>
    <x v="11"/>
    <x v="57"/>
    <x v="9"/>
    <n v="2.6316830999999999E-2"/>
  </r>
  <r>
    <x v="0"/>
    <x v="14"/>
    <x v="63"/>
    <x v="12"/>
    <x v="57"/>
    <x v="9"/>
    <n v="2.8174878E-2"/>
  </r>
  <r>
    <x v="0"/>
    <x v="14"/>
    <x v="63"/>
    <x v="13"/>
    <x v="57"/>
    <x v="9"/>
    <n v="2.4133788E-2"/>
  </r>
  <r>
    <x v="0"/>
    <x v="14"/>
    <x v="63"/>
    <x v="14"/>
    <x v="57"/>
    <x v="9"/>
    <n v="2.5908725000000001E-2"/>
  </r>
  <r>
    <x v="0"/>
    <x v="14"/>
    <x v="63"/>
    <x v="15"/>
    <x v="57"/>
    <x v="9"/>
    <n v="2.9003270000000001E-2"/>
  </r>
  <r>
    <x v="0"/>
    <x v="14"/>
    <x v="63"/>
    <x v="16"/>
    <x v="57"/>
    <x v="9"/>
    <n v="2.9905299999999999E-2"/>
  </r>
  <r>
    <x v="0"/>
    <x v="14"/>
    <x v="63"/>
    <x v="17"/>
    <x v="57"/>
    <x v="9"/>
    <n v="2.8965382000000001E-2"/>
  </r>
  <r>
    <x v="0"/>
    <x v="14"/>
    <x v="63"/>
    <x v="18"/>
    <x v="57"/>
    <x v="9"/>
    <n v="2.6398404E-2"/>
  </r>
  <r>
    <x v="0"/>
    <x v="14"/>
    <x v="63"/>
    <x v="19"/>
    <x v="57"/>
    <x v="9"/>
    <n v="3.1142630000000001E-2"/>
  </r>
  <r>
    <x v="0"/>
    <x v="14"/>
    <x v="63"/>
    <x v="20"/>
    <x v="57"/>
    <x v="9"/>
    <n v="3.0578147E-2"/>
  </r>
  <r>
    <x v="0"/>
    <x v="14"/>
    <x v="63"/>
    <x v="21"/>
    <x v="57"/>
    <x v="9"/>
    <n v="2.8290844999999998E-2"/>
  </r>
  <r>
    <x v="0"/>
    <x v="14"/>
    <x v="63"/>
    <x v="22"/>
    <x v="57"/>
    <x v="9"/>
    <n v="1.5463325E-2"/>
  </r>
  <r>
    <x v="0"/>
    <x v="14"/>
    <x v="63"/>
    <x v="23"/>
    <x v="57"/>
    <x v="9"/>
    <n v="1"/>
  </r>
  <r>
    <x v="0"/>
    <x v="14"/>
    <x v="63"/>
    <x v="24"/>
    <x v="57"/>
    <x v="9"/>
    <n v="2.4398166999999998E-2"/>
  </r>
  <r>
    <x v="0"/>
    <x v="14"/>
    <x v="63"/>
    <x v="25"/>
    <x v="57"/>
    <x v="9"/>
    <n v="1"/>
  </r>
  <r>
    <x v="0"/>
    <x v="14"/>
    <x v="63"/>
    <x v="26"/>
    <x v="57"/>
    <x v="9"/>
    <n v="1"/>
  </r>
  <r>
    <x v="0"/>
    <x v="14"/>
    <x v="63"/>
    <x v="27"/>
    <x v="57"/>
    <x v="9"/>
    <n v="3.2347437E-2"/>
  </r>
  <r>
    <x v="0"/>
    <x v="14"/>
    <x v="63"/>
    <x v="28"/>
    <x v="57"/>
    <x v="9"/>
    <n v="3.3452864999999998E-2"/>
  </r>
  <r>
    <x v="0"/>
    <x v="14"/>
    <x v="63"/>
    <x v="29"/>
    <x v="57"/>
    <x v="9"/>
    <n v="2.8643756999999999E-2"/>
  </r>
  <r>
    <x v="0"/>
    <x v="14"/>
    <x v="63"/>
    <x v="30"/>
    <x v="57"/>
    <x v="9"/>
    <n v="4.0007022000000003E-2"/>
  </r>
  <r>
    <x v="0"/>
    <x v="14"/>
    <x v="63"/>
    <x v="31"/>
    <x v="57"/>
    <x v="9"/>
    <n v="2.6644747999999999E-2"/>
  </r>
  <r>
    <x v="0"/>
    <x v="14"/>
    <x v="63"/>
    <x v="32"/>
    <x v="57"/>
    <x v="9"/>
    <n v="2.8158328999999999E-2"/>
  </r>
  <r>
    <x v="0"/>
    <x v="14"/>
    <x v="63"/>
    <x v="33"/>
    <x v="57"/>
    <x v="9"/>
    <n v="1"/>
  </r>
  <r>
    <x v="0"/>
    <x v="14"/>
    <x v="63"/>
    <x v="34"/>
    <x v="57"/>
    <x v="9"/>
    <n v="2.9278785000000002E-2"/>
  </r>
  <r>
    <x v="0"/>
    <x v="14"/>
    <x v="63"/>
    <x v="35"/>
    <x v="57"/>
    <x v="9"/>
    <n v="2.9479253E-2"/>
  </r>
  <r>
    <x v="0"/>
    <x v="14"/>
    <x v="63"/>
    <x v="36"/>
    <x v="57"/>
    <x v="9"/>
    <n v="3.0699285E-2"/>
  </r>
  <r>
    <x v="0"/>
    <x v="14"/>
    <x v="63"/>
    <x v="37"/>
    <x v="57"/>
    <x v="9"/>
    <n v="3.9401523000000001E-2"/>
  </r>
  <r>
    <x v="0"/>
    <x v="14"/>
    <x v="63"/>
    <x v="38"/>
    <x v="57"/>
    <x v="9"/>
    <n v="4.9580091E-2"/>
  </r>
  <r>
    <x v="0"/>
    <x v="14"/>
    <x v="63"/>
    <x v="39"/>
    <x v="57"/>
    <x v="9"/>
    <n v="3.7448736000000003E-2"/>
  </r>
  <r>
    <x v="0"/>
    <x v="14"/>
    <x v="63"/>
    <x v="40"/>
    <x v="57"/>
    <x v="9"/>
    <n v="3.6342948999999999E-2"/>
  </r>
  <r>
    <x v="0"/>
    <x v="14"/>
    <x v="63"/>
    <x v="41"/>
    <x v="57"/>
    <x v="9"/>
    <n v="4.0785519999999999E-2"/>
  </r>
  <r>
    <x v="0"/>
    <x v="14"/>
    <x v="64"/>
    <x v="0"/>
    <x v="57"/>
    <x v="10"/>
    <n v="0"/>
  </r>
  <r>
    <x v="0"/>
    <x v="14"/>
    <x v="64"/>
    <x v="1"/>
    <x v="57"/>
    <x v="10"/>
    <n v="0"/>
  </r>
  <r>
    <x v="0"/>
    <x v="14"/>
    <x v="64"/>
    <x v="2"/>
    <x v="57"/>
    <x v="10"/>
    <n v="0"/>
  </r>
  <r>
    <x v="0"/>
    <x v="14"/>
    <x v="64"/>
    <x v="3"/>
    <x v="57"/>
    <x v="10"/>
    <n v="0"/>
  </r>
  <r>
    <x v="0"/>
    <x v="14"/>
    <x v="64"/>
    <x v="4"/>
    <x v="57"/>
    <x v="10"/>
    <n v="0"/>
  </r>
  <r>
    <x v="0"/>
    <x v="14"/>
    <x v="64"/>
    <x v="5"/>
    <x v="57"/>
    <x v="10"/>
    <n v="0"/>
  </r>
  <r>
    <x v="0"/>
    <x v="14"/>
    <x v="64"/>
    <x v="6"/>
    <x v="57"/>
    <x v="10"/>
    <n v="0"/>
  </r>
  <r>
    <x v="0"/>
    <x v="14"/>
    <x v="64"/>
    <x v="7"/>
    <x v="57"/>
    <x v="10"/>
    <n v="0"/>
  </r>
  <r>
    <x v="0"/>
    <x v="14"/>
    <x v="64"/>
    <x v="8"/>
    <x v="57"/>
    <x v="10"/>
    <n v="0"/>
  </r>
  <r>
    <x v="0"/>
    <x v="14"/>
    <x v="64"/>
    <x v="9"/>
    <x v="57"/>
    <x v="10"/>
    <n v="0"/>
  </r>
  <r>
    <x v="0"/>
    <x v="14"/>
    <x v="64"/>
    <x v="10"/>
    <x v="57"/>
    <x v="10"/>
    <n v="0"/>
  </r>
  <r>
    <x v="0"/>
    <x v="14"/>
    <x v="64"/>
    <x v="11"/>
    <x v="57"/>
    <x v="10"/>
    <n v="0"/>
  </r>
  <r>
    <x v="0"/>
    <x v="14"/>
    <x v="64"/>
    <x v="12"/>
    <x v="57"/>
    <x v="10"/>
    <n v="0"/>
  </r>
  <r>
    <x v="0"/>
    <x v="14"/>
    <x v="64"/>
    <x v="13"/>
    <x v="57"/>
    <x v="10"/>
    <n v="0"/>
  </r>
  <r>
    <x v="0"/>
    <x v="14"/>
    <x v="64"/>
    <x v="14"/>
    <x v="57"/>
    <x v="10"/>
    <n v="0"/>
  </r>
  <r>
    <x v="0"/>
    <x v="14"/>
    <x v="64"/>
    <x v="15"/>
    <x v="57"/>
    <x v="10"/>
    <n v="0"/>
  </r>
  <r>
    <x v="0"/>
    <x v="14"/>
    <x v="64"/>
    <x v="16"/>
    <x v="57"/>
    <x v="10"/>
    <n v="0"/>
  </r>
  <r>
    <x v="0"/>
    <x v="14"/>
    <x v="64"/>
    <x v="17"/>
    <x v="57"/>
    <x v="10"/>
    <n v="0"/>
  </r>
  <r>
    <x v="0"/>
    <x v="14"/>
    <x v="64"/>
    <x v="18"/>
    <x v="57"/>
    <x v="10"/>
    <n v="0"/>
  </r>
  <r>
    <x v="0"/>
    <x v="14"/>
    <x v="64"/>
    <x v="19"/>
    <x v="57"/>
    <x v="10"/>
    <n v="0"/>
  </r>
  <r>
    <x v="0"/>
    <x v="14"/>
    <x v="64"/>
    <x v="20"/>
    <x v="57"/>
    <x v="10"/>
    <n v="0"/>
  </r>
  <r>
    <x v="0"/>
    <x v="14"/>
    <x v="64"/>
    <x v="21"/>
    <x v="57"/>
    <x v="10"/>
    <n v="0"/>
  </r>
  <r>
    <x v="0"/>
    <x v="14"/>
    <x v="64"/>
    <x v="22"/>
    <x v="57"/>
    <x v="10"/>
    <n v="0"/>
  </r>
  <r>
    <x v="0"/>
    <x v="14"/>
    <x v="64"/>
    <x v="23"/>
    <x v="57"/>
    <x v="10"/>
    <n v="0"/>
  </r>
  <r>
    <x v="0"/>
    <x v="14"/>
    <x v="64"/>
    <x v="24"/>
    <x v="57"/>
    <x v="10"/>
    <n v="0"/>
  </r>
  <r>
    <x v="0"/>
    <x v="14"/>
    <x v="64"/>
    <x v="25"/>
    <x v="57"/>
    <x v="10"/>
    <n v="0"/>
  </r>
  <r>
    <x v="0"/>
    <x v="14"/>
    <x v="64"/>
    <x v="26"/>
    <x v="57"/>
    <x v="10"/>
    <n v="0"/>
  </r>
  <r>
    <x v="0"/>
    <x v="14"/>
    <x v="64"/>
    <x v="27"/>
    <x v="57"/>
    <x v="10"/>
    <n v="0"/>
  </r>
  <r>
    <x v="0"/>
    <x v="14"/>
    <x v="64"/>
    <x v="28"/>
    <x v="57"/>
    <x v="10"/>
    <n v="0"/>
  </r>
  <r>
    <x v="0"/>
    <x v="14"/>
    <x v="64"/>
    <x v="29"/>
    <x v="57"/>
    <x v="10"/>
    <n v="0"/>
  </r>
  <r>
    <x v="0"/>
    <x v="14"/>
    <x v="64"/>
    <x v="30"/>
    <x v="57"/>
    <x v="10"/>
    <n v="0"/>
  </r>
  <r>
    <x v="0"/>
    <x v="14"/>
    <x v="64"/>
    <x v="31"/>
    <x v="57"/>
    <x v="10"/>
    <n v="0"/>
  </r>
  <r>
    <x v="0"/>
    <x v="14"/>
    <x v="64"/>
    <x v="32"/>
    <x v="57"/>
    <x v="10"/>
    <n v="0"/>
  </r>
  <r>
    <x v="0"/>
    <x v="14"/>
    <x v="64"/>
    <x v="33"/>
    <x v="57"/>
    <x v="10"/>
    <n v="0"/>
  </r>
  <r>
    <x v="0"/>
    <x v="14"/>
    <x v="64"/>
    <x v="34"/>
    <x v="57"/>
    <x v="10"/>
    <n v="0"/>
  </r>
  <r>
    <x v="0"/>
    <x v="14"/>
    <x v="64"/>
    <x v="35"/>
    <x v="57"/>
    <x v="10"/>
    <n v="0"/>
  </r>
  <r>
    <x v="0"/>
    <x v="14"/>
    <x v="64"/>
    <x v="36"/>
    <x v="57"/>
    <x v="10"/>
    <n v="0"/>
  </r>
  <r>
    <x v="0"/>
    <x v="14"/>
    <x v="64"/>
    <x v="37"/>
    <x v="57"/>
    <x v="10"/>
    <n v="0"/>
  </r>
  <r>
    <x v="0"/>
    <x v="14"/>
    <x v="64"/>
    <x v="38"/>
    <x v="57"/>
    <x v="10"/>
    <n v="0"/>
  </r>
  <r>
    <x v="0"/>
    <x v="14"/>
    <x v="64"/>
    <x v="39"/>
    <x v="57"/>
    <x v="10"/>
    <n v="0"/>
  </r>
  <r>
    <x v="0"/>
    <x v="14"/>
    <x v="64"/>
    <x v="40"/>
    <x v="57"/>
    <x v="10"/>
    <n v="0"/>
  </r>
  <r>
    <x v="0"/>
    <x v="14"/>
    <x v="64"/>
    <x v="41"/>
    <x v="57"/>
    <x v="10"/>
    <n v="0"/>
  </r>
  <r>
    <x v="0"/>
    <x v="14"/>
    <x v="65"/>
    <x v="48"/>
    <x v="58"/>
    <x v="11"/>
    <n v="1937.354930021"/>
  </r>
  <r>
    <x v="0"/>
    <x v="14"/>
    <x v="65"/>
    <x v="49"/>
    <x v="58"/>
    <x v="11"/>
    <n v="1874.453917866"/>
  </r>
  <r>
    <x v="0"/>
    <x v="14"/>
    <x v="66"/>
    <x v="48"/>
    <x v="58"/>
    <x v="12"/>
    <n v="7.6547874000000002E-2"/>
  </r>
  <r>
    <x v="0"/>
    <x v="14"/>
    <x v="66"/>
    <x v="49"/>
    <x v="58"/>
    <x v="12"/>
    <n v="7.4062558000000001E-2"/>
  </r>
  <r>
    <x v="0"/>
    <x v="15"/>
    <x v="0"/>
    <x v="0"/>
    <x v="0"/>
    <x v="0"/>
    <n v="812.47867367699996"/>
  </r>
  <r>
    <x v="0"/>
    <x v="15"/>
    <x v="1"/>
    <x v="0"/>
    <x v="0"/>
    <x v="1"/>
    <n v="0.104908944"/>
  </r>
  <r>
    <x v="0"/>
    <x v="15"/>
    <x v="2"/>
    <x v="0"/>
    <x v="0"/>
    <x v="1"/>
    <n v="310.439101204"/>
  </r>
  <r>
    <x v="0"/>
    <x v="15"/>
    <x v="3"/>
    <x v="0"/>
    <x v="0"/>
    <x v="1"/>
    <n v="0.12737684199999999"/>
  </r>
  <r>
    <x v="0"/>
    <x v="15"/>
    <x v="0"/>
    <x v="1"/>
    <x v="0"/>
    <x v="0"/>
    <n v="259.24006173399999"/>
  </r>
  <r>
    <x v="0"/>
    <x v="15"/>
    <x v="1"/>
    <x v="1"/>
    <x v="0"/>
    <x v="1"/>
    <n v="5.8800687999999997E-2"/>
  </r>
  <r>
    <x v="0"/>
    <x v="15"/>
    <x v="2"/>
    <x v="1"/>
    <x v="0"/>
    <x v="1"/>
    <n v="157.991203859"/>
  </r>
  <r>
    <x v="0"/>
    <x v="15"/>
    <x v="3"/>
    <x v="1"/>
    <x v="0"/>
    <x v="1"/>
    <n v="7.4263841999999997E-2"/>
  </r>
  <r>
    <x v="0"/>
    <x v="15"/>
    <x v="0"/>
    <x v="2"/>
    <x v="0"/>
    <x v="0"/>
    <n v="307.54796380900001"/>
  </r>
  <r>
    <x v="0"/>
    <x v="15"/>
    <x v="1"/>
    <x v="2"/>
    <x v="0"/>
    <x v="1"/>
    <n v="3.7206758999999999E-2"/>
  </r>
  <r>
    <x v="0"/>
    <x v="15"/>
    <x v="2"/>
    <x v="2"/>
    <x v="0"/>
    <x v="1"/>
    <n v="176.279572094"/>
  </r>
  <r>
    <x v="0"/>
    <x v="15"/>
    <x v="3"/>
    <x v="2"/>
    <x v="0"/>
    <x v="1"/>
    <n v="2.5387691E-2"/>
  </r>
  <r>
    <x v="0"/>
    <x v="15"/>
    <x v="0"/>
    <x v="3"/>
    <x v="0"/>
    <x v="0"/>
    <n v="143.04494785099999"/>
  </r>
  <r>
    <x v="0"/>
    <x v="15"/>
    <x v="1"/>
    <x v="3"/>
    <x v="0"/>
    <x v="1"/>
    <n v="4.8500926E-2"/>
  </r>
  <r>
    <x v="0"/>
    <x v="15"/>
    <x v="2"/>
    <x v="3"/>
    <x v="0"/>
    <x v="1"/>
    <n v="97.427046430000004"/>
  </r>
  <r>
    <x v="0"/>
    <x v="15"/>
    <x v="3"/>
    <x v="3"/>
    <x v="0"/>
    <x v="1"/>
    <n v="5.5849105000000003E-2"/>
  </r>
  <r>
    <x v="0"/>
    <x v="15"/>
    <x v="0"/>
    <x v="4"/>
    <x v="0"/>
    <x v="0"/>
    <n v="69.026265284999994"/>
  </r>
  <r>
    <x v="0"/>
    <x v="15"/>
    <x v="1"/>
    <x v="4"/>
    <x v="0"/>
    <x v="1"/>
    <n v="5.2578710000000001E-2"/>
  </r>
  <r>
    <x v="0"/>
    <x v="15"/>
    <x v="2"/>
    <x v="4"/>
    <x v="0"/>
    <x v="1"/>
    <n v="46.444711300999998"/>
  </r>
  <r>
    <x v="0"/>
    <x v="15"/>
    <x v="3"/>
    <x v="4"/>
    <x v="0"/>
    <x v="1"/>
    <n v="6.5527230000000006E-2"/>
  </r>
  <r>
    <x v="0"/>
    <x v="15"/>
    <x v="0"/>
    <x v="5"/>
    <x v="0"/>
    <x v="0"/>
    <n v="697.97964744399997"/>
  </r>
  <r>
    <x v="0"/>
    <x v="15"/>
    <x v="1"/>
    <x v="5"/>
    <x v="0"/>
    <x v="1"/>
    <n v="7.1793653999999998E-2"/>
  </r>
  <r>
    <x v="0"/>
    <x v="15"/>
    <x v="2"/>
    <x v="5"/>
    <x v="0"/>
    <x v="1"/>
    <n v="583.21498437900004"/>
  </r>
  <r>
    <x v="0"/>
    <x v="15"/>
    <x v="3"/>
    <x v="5"/>
    <x v="0"/>
    <x v="1"/>
    <n v="4.4968044999999998E-2"/>
  </r>
  <r>
    <x v="0"/>
    <x v="15"/>
    <x v="0"/>
    <x v="6"/>
    <x v="0"/>
    <x v="0"/>
    <n v="231.67976400800001"/>
  </r>
  <r>
    <x v="0"/>
    <x v="15"/>
    <x v="1"/>
    <x v="6"/>
    <x v="0"/>
    <x v="1"/>
    <n v="6.5543038999999997E-2"/>
  </r>
  <r>
    <x v="0"/>
    <x v="15"/>
    <x v="2"/>
    <x v="6"/>
    <x v="0"/>
    <x v="1"/>
    <n v="193.91921346000001"/>
  </r>
  <r>
    <x v="0"/>
    <x v="15"/>
    <x v="3"/>
    <x v="6"/>
    <x v="0"/>
    <x v="1"/>
    <n v="6.0902771000000001E-2"/>
  </r>
  <r>
    <x v="0"/>
    <x v="15"/>
    <x v="0"/>
    <x v="7"/>
    <x v="0"/>
    <x v="0"/>
    <n v="152.28689936500001"/>
  </r>
  <r>
    <x v="0"/>
    <x v="15"/>
    <x v="1"/>
    <x v="7"/>
    <x v="0"/>
    <x v="1"/>
    <n v="6.3306115999999996E-2"/>
  </r>
  <r>
    <x v="0"/>
    <x v="15"/>
    <x v="2"/>
    <x v="7"/>
    <x v="0"/>
    <x v="1"/>
    <n v="123.86796637400001"/>
  </r>
  <r>
    <x v="0"/>
    <x v="15"/>
    <x v="3"/>
    <x v="7"/>
    <x v="0"/>
    <x v="1"/>
    <n v="7.1958876000000005E-2"/>
  </r>
  <r>
    <x v="0"/>
    <x v="15"/>
    <x v="0"/>
    <x v="8"/>
    <x v="0"/>
    <x v="0"/>
    <n v="103.090759064"/>
  </r>
  <r>
    <x v="0"/>
    <x v="15"/>
    <x v="1"/>
    <x v="8"/>
    <x v="0"/>
    <x v="1"/>
    <n v="6.0009754999999998E-2"/>
  </r>
  <r>
    <x v="0"/>
    <x v="15"/>
    <x v="2"/>
    <x v="8"/>
    <x v="0"/>
    <x v="1"/>
    <n v="84.177633435000004"/>
  </r>
  <r>
    <x v="0"/>
    <x v="15"/>
    <x v="3"/>
    <x v="8"/>
    <x v="0"/>
    <x v="1"/>
    <n v="5.8338062000000003E-2"/>
  </r>
  <r>
    <x v="0"/>
    <x v="15"/>
    <x v="0"/>
    <x v="9"/>
    <x v="0"/>
    <x v="0"/>
    <n v="281.31285153599998"/>
  </r>
  <r>
    <x v="0"/>
    <x v="15"/>
    <x v="1"/>
    <x v="9"/>
    <x v="0"/>
    <x v="1"/>
    <n v="5.3712888E-2"/>
  </r>
  <r>
    <x v="0"/>
    <x v="15"/>
    <x v="2"/>
    <x v="9"/>
    <x v="0"/>
    <x v="1"/>
    <n v="225.26384585100001"/>
  </r>
  <r>
    <x v="0"/>
    <x v="15"/>
    <x v="3"/>
    <x v="9"/>
    <x v="0"/>
    <x v="1"/>
    <n v="6.2679747999999993E-2"/>
  </r>
  <r>
    <x v="0"/>
    <x v="15"/>
    <x v="0"/>
    <x v="10"/>
    <x v="0"/>
    <x v="0"/>
    <n v="416.81707751800002"/>
  </r>
  <r>
    <x v="0"/>
    <x v="15"/>
    <x v="1"/>
    <x v="10"/>
    <x v="0"/>
    <x v="1"/>
    <n v="3.8334443000000003E-2"/>
  </r>
  <r>
    <x v="0"/>
    <x v="15"/>
    <x v="2"/>
    <x v="10"/>
    <x v="0"/>
    <x v="1"/>
    <n v="381.8216941"/>
  </r>
  <r>
    <x v="0"/>
    <x v="15"/>
    <x v="3"/>
    <x v="10"/>
    <x v="0"/>
    <x v="1"/>
    <n v="4.4765306999999997E-2"/>
  </r>
  <r>
    <x v="0"/>
    <x v="15"/>
    <x v="0"/>
    <x v="11"/>
    <x v="0"/>
    <x v="0"/>
    <n v="1105.85319164"/>
  </r>
  <r>
    <x v="0"/>
    <x v="15"/>
    <x v="1"/>
    <x v="11"/>
    <x v="0"/>
    <x v="1"/>
    <n v="4.7577069E-2"/>
  </r>
  <r>
    <x v="0"/>
    <x v="15"/>
    <x v="2"/>
    <x v="11"/>
    <x v="0"/>
    <x v="1"/>
    <n v="929.21021749399995"/>
  </r>
  <r>
    <x v="0"/>
    <x v="15"/>
    <x v="3"/>
    <x v="11"/>
    <x v="0"/>
    <x v="1"/>
    <n v="4.0773388000000001E-2"/>
  </r>
  <r>
    <x v="0"/>
    <x v="15"/>
    <x v="0"/>
    <x v="12"/>
    <x v="0"/>
    <x v="0"/>
    <n v="271.17648689100002"/>
  </r>
  <r>
    <x v="0"/>
    <x v="15"/>
    <x v="1"/>
    <x v="12"/>
    <x v="0"/>
    <x v="1"/>
    <n v="4.8225442E-2"/>
  </r>
  <r>
    <x v="0"/>
    <x v="15"/>
    <x v="2"/>
    <x v="12"/>
    <x v="0"/>
    <x v="1"/>
    <n v="217.250484247"/>
  </r>
  <r>
    <x v="0"/>
    <x v="15"/>
    <x v="3"/>
    <x v="12"/>
    <x v="0"/>
    <x v="1"/>
    <n v="5.3542355999999999E-2"/>
  </r>
  <r>
    <x v="0"/>
    <x v="15"/>
    <x v="0"/>
    <x v="13"/>
    <x v="0"/>
    <x v="0"/>
    <n v="782.07250150200002"/>
  </r>
  <r>
    <x v="0"/>
    <x v="15"/>
    <x v="1"/>
    <x v="13"/>
    <x v="0"/>
    <x v="1"/>
    <n v="3.9491918000000001E-2"/>
  </r>
  <r>
    <x v="0"/>
    <x v="15"/>
    <x v="2"/>
    <x v="13"/>
    <x v="0"/>
    <x v="1"/>
    <n v="663.72073408599999"/>
  </r>
  <r>
    <x v="0"/>
    <x v="15"/>
    <x v="3"/>
    <x v="13"/>
    <x v="0"/>
    <x v="1"/>
    <n v="3.5280126000000002E-2"/>
  </r>
  <r>
    <x v="0"/>
    <x v="15"/>
    <x v="0"/>
    <x v="14"/>
    <x v="0"/>
    <x v="0"/>
    <n v="216.72650971499999"/>
  </r>
  <r>
    <x v="0"/>
    <x v="15"/>
    <x v="1"/>
    <x v="14"/>
    <x v="0"/>
    <x v="1"/>
    <n v="4.5111964999999997E-2"/>
  </r>
  <r>
    <x v="0"/>
    <x v="15"/>
    <x v="2"/>
    <x v="14"/>
    <x v="0"/>
    <x v="1"/>
    <n v="180.884706593"/>
  </r>
  <r>
    <x v="0"/>
    <x v="15"/>
    <x v="3"/>
    <x v="14"/>
    <x v="0"/>
    <x v="1"/>
    <n v="5.7048202999999999E-2"/>
  </r>
  <r>
    <x v="0"/>
    <x v="15"/>
    <x v="0"/>
    <x v="15"/>
    <x v="0"/>
    <x v="0"/>
    <n v="234.72716016000001"/>
  </r>
  <r>
    <x v="0"/>
    <x v="15"/>
    <x v="1"/>
    <x v="15"/>
    <x v="0"/>
    <x v="1"/>
    <n v="4.8452176E-2"/>
  </r>
  <r>
    <x v="0"/>
    <x v="15"/>
    <x v="2"/>
    <x v="15"/>
    <x v="0"/>
    <x v="1"/>
    <n v="193.92881733900001"/>
  </r>
  <r>
    <x v="0"/>
    <x v="15"/>
    <x v="3"/>
    <x v="15"/>
    <x v="0"/>
    <x v="1"/>
    <n v="6.2226727000000003E-2"/>
  </r>
  <r>
    <x v="0"/>
    <x v="15"/>
    <x v="0"/>
    <x v="16"/>
    <x v="0"/>
    <x v="0"/>
    <n v="149.94282914199999"/>
  </r>
  <r>
    <x v="0"/>
    <x v="15"/>
    <x v="1"/>
    <x v="16"/>
    <x v="0"/>
    <x v="1"/>
    <n v="4.9093326E-2"/>
  </r>
  <r>
    <x v="0"/>
    <x v="15"/>
    <x v="2"/>
    <x v="16"/>
    <x v="0"/>
    <x v="1"/>
    <n v="122.531930235"/>
  </r>
  <r>
    <x v="0"/>
    <x v="15"/>
    <x v="3"/>
    <x v="16"/>
    <x v="0"/>
    <x v="1"/>
    <n v="6.1450888000000002E-2"/>
  </r>
  <r>
    <x v="0"/>
    <x v="15"/>
    <x v="0"/>
    <x v="17"/>
    <x v="0"/>
    <x v="0"/>
    <n v="352.61338659299997"/>
  </r>
  <r>
    <x v="0"/>
    <x v="15"/>
    <x v="1"/>
    <x v="17"/>
    <x v="0"/>
    <x v="1"/>
    <n v="4.9593133999999997E-2"/>
  </r>
  <r>
    <x v="0"/>
    <x v="15"/>
    <x v="2"/>
    <x v="17"/>
    <x v="0"/>
    <x v="1"/>
    <n v="294.89847577"/>
  </r>
  <r>
    <x v="0"/>
    <x v="15"/>
    <x v="3"/>
    <x v="17"/>
    <x v="0"/>
    <x v="1"/>
    <n v="5.9513402E-2"/>
  </r>
  <r>
    <x v="0"/>
    <x v="15"/>
    <x v="0"/>
    <x v="18"/>
    <x v="0"/>
    <x v="0"/>
    <n v="304.573573168"/>
  </r>
  <r>
    <x v="0"/>
    <x v="15"/>
    <x v="1"/>
    <x v="18"/>
    <x v="0"/>
    <x v="1"/>
    <n v="4.5059385E-2"/>
  </r>
  <r>
    <x v="0"/>
    <x v="15"/>
    <x v="2"/>
    <x v="18"/>
    <x v="0"/>
    <x v="1"/>
    <n v="261.31796425300001"/>
  </r>
  <r>
    <x v="0"/>
    <x v="15"/>
    <x v="3"/>
    <x v="18"/>
    <x v="0"/>
    <x v="1"/>
    <n v="4.9173414999999998E-2"/>
  </r>
  <r>
    <x v="0"/>
    <x v="15"/>
    <x v="0"/>
    <x v="19"/>
    <x v="0"/>
    <x v="0"/>
    <n v="366.59475448299997"/>
  </r>
  <r>
    <x v="0"/>
    <x v="15"/>
    <x v="1"/>
    <x v="19"/>
    <x v="0"/>
    <x v="1"/>
    <n v="4.9746037999999999E-2"/>
  </r>
  <r>
    <x v="0"/>
    <x v="15"/>
    <x v="2"/>
    <x v="19"/>
    <x v="0"/>
    <x v="1"/>
    <n v="310.73915600800001"/>
  </r>
  <r>
    <x v="0"/>
    <x v="15"/>
    <x v="3"/>
    <x v="19"/>
    <x v="0"/>
    <x v="1"/>
    <n v="6.7227263999999995E-2"/>
  </r>
  <r>
    <x v="0"/>
    <x v="15"/>
    <x v="0"/>
    <x v="20"/>
    <x v="0"/>
    <x v="0"/>
    <n v="49.350509453000001"/>
  </r>
  <r>
    <x v="0"/>
    <x v="15"/>
    <x v="1"/>
    <x v="20"/>
    <x v="0"/>
    <x v="1"/>
    <n v="4.8226336000000002E-2"/>
  </r>
  <r>
    <x v="0"/>
    <x v="15"/>
    <x v="2"/>
    <x v="20"/>
    <x v="0"/>
    <x v="1"/>
    <n v="39.566658132000001"/>
  </r>
  <r>
    <x v="0"/>
    <x v="15"/>
    <x v="3"/>
    <x v="20"/>
    <x v="0"/>
    <x v="1"/>
    <n v="5.5722132000000001E-2"/>
  </r>
  <r>
    <x v="0"/>
    <x v="15"/>
    <x v="0"/>
    <x v="21"/>
    <x v="0"/>
    <x v="0"/>
    <n v="20.246486879999999"/>
  </r>
  <r>
    <x v="0"/>
    <x v="15"/>
    <x v="1"/>
    <x v="21"/>
    <x v="0"/>
    <x v="1"/>
    <n v="5.4904188999999999E-2"/>
  </r>
  <r>
    <x v="0"/>
    <x v="15"/>
    <x v="2"/>
    <x v="21"/>
    <x v="0"/>
    <x v="1"/>
    <n v="16.582369527000001"/>
  </r>
  <r>
    <x v="0"/>
    <x v="15"/>
    <x v="3"/>
    <x v="21"/>
    <x v="0"/>
    <x v="1"/>
    <n v="6.4222250999999994E-2"/>
  </r>
  <r>
    <x v="0"/>
    <x v="15"/>
    <x v="0"/>
    <x v="22"/>
    <x v="0"/>
    <x v="0"/>
    <n v="88.421672396000005"/>
  </r>
  <r>
    <x v="0"/>
    <x v="15"/>
    <x v="1"/>
    <x v="22"/>
    <x v="0"/>
    <x v="1"/>
    <n v="1.1213414E-2"/>
  </r>
  <r>
    <x v="0"/>
    <x v="15"/>
    <x v="2"/>
    <x v="22"/>
    <x v="0"/>
    <x v="1"/>
    <n v="21.249245803000001"/>
  </r>
  <r>
    <x v="0"/>
    <x v="15"/>
    <x v="3"/>
    <x v="22"/>
    <x v="0"/>
    <x v="1"/>
    <n v="2.2306470000000001E-3"/>
  </r>
  <r>
    <x v="0"/>
    <x v="15"/>
    <x v="0"/>
    <x v="23"/>
    <x v="0"/>
    <x v="0"/>
    <n v="8.7495380130000004"/>
  </r>
  <r>
    <x v="0"/>
    <x v="15"/>
    <x v="1"/>
    <x v="23"/>
    <x v="0"/>
    <x v="1"/>
    <n v="5.5375762000000002E-2"/>
  </r>
  <r>
    <x v="0"/>
    <x v="15"/>
    <x v="2"/>
    <x v="23"/>
    <x v="0"/>
    <x v="1"/>
    <n v="7.2153406169999998"/>
  </r>
  <r>
    <x v="0"/>
    <x v="15"/>
    <x v="3"/>
    <x v="23"/>
    <x v="0"/>
    <x v="1"/>
    <n v="9.9643280000000001E-2"/>
  </r>
  <r>
    <x v="0"/>
    <x v="15"/>
    <x v="0"/>
    <x v="24"/>
    <x v="0"/>
    <x v="0"/>
    <n v="462.03895280400002"/>
  </r>
  <r>
    <x v="0"/>
    <x v="15"/>
    <x v="1"/>
    <x v="24"/>
    <x v="0"/>
    <x v="1"/>
    <n v="4.2437808E-2"/>
  </r>
  <r>
    <x v="0"/>
    <x v="15"/>
    <x v="2"/>
    <x v="24"/>
    <x v="0"/>
    <x v="1"/>
    <n v="362.36570707099997"/>
  </r>
  <r>
    <x v="0"/>
    <x v="15"/>
    <x v="3"/>
    <x v="24"/>
    <x v="0"/>
    <x v="1"/>
    <n v="3.1682087999999997E-2"/>
  </r>
  <r>
    <x v="0"/>
    <x v="15"/>
    <x v="0"/>
    <x v="25"/>
    <x v="0"/>
    <x v="0"/>
    <n v="24.810742915999999"/>
  </r>
  <r>
    <x v="0"/>
    <x v="15"/>
    <x v="1"/>
    <x v="25"/>
    <x v="0"/>
    <x v="1"/>
    <n v="3.6364835999999998E-2"/>
  </r>
  <r>
    <x v="0"/>
    <x v="15"/>
    <x v="2"/>
    <x v="25"/>
    <x v="0"/>
    <x v="1"/>
    <n v="19.991499966999999"/>
  </r>
  <r>
    <x v="0"/>
    <x v="15"/>
    <x v="3"/>
    <x v="25"/>
    <x v="0"/>
    <x v="1"/>
    <n v="2.8536921E-2"/>
  </r>
  <r>
    <x v="0"/>
    <x v="15"/>
    <x v="0"/>
    <x v="26"/>
    <x v="0"/>
    <x v="0"/>
    <n v="11.77239413"/>
  </r>
  <r>
    <x v="0"/>
    <x v="15"/>
    <x v="1"/>
    <x v="26"/>
    <x v="0"/>
    <x v="1"/>
    <n v="5.3560544000000002E-2"/>
  </r>
  <r>
    <x v="0"/>
    <x v="15"/>
    <x v="2"/>
    <x v="26"/>
    <x v="0"/>
    <x v="1"/>
    <n v="6.9699011960000004"/>
  </r>
  <r>
    <x v="0"/>
    <x v="15"/>
    <x v="3"/>
    <x v="26"/>
    <x v="0"/>
    <x v="1"/>
    <n v="6.1744019999999997E-2"/>
  </r>
  <r>
    <x v="0"/>
    <x v="15"/>
    <x v="0"/>
    <x v="27"/>
    <x v="0"/>
    <x v="0"/>
    <n v="537.38882610799999"/>
  </r>
  <r>
    <x v="0"/>
    <x v="15"/>
    <x v="1"/>
    <x v="27"/>
    <x v="0"/>
    <x v="1"/>
    <n v="5.5419758E-2"/>
  </r>
  <r>
    <x v="0"/>
    <x v="15"/>
    <x v="2"/>
    <x v="27"/>
    <x v="0"/>
    <x v="1"/>
    <n v="414.555482176"/>
  </r>
  <r>
    <x v="0"/>
    <x v="15"/>
    <x v="3"/>
    <x v="27"/>
    <x v="0"/>
    <x v="1"/>
    <n v="8.4841354999999993E-2"/>
  </r>
  <r>
    <x v="0"/>
    <x v="15"/>
    <x v="0"/>
    <x v="28"/>
    <x v="0"/>
    <x v="0"/>
    <n v="683.99073291000002"/>
  </r>
  <r>
    <x v="0"/>
    <x v="15"/>
    <x v="1"/>
    <x v="28"/>
    <x v="0"/>
    <x v="1"/>
    <n v="4.4653762E-2"/>
  </r>
  <r>
    <x v="0"/>
    <x v="15"/>
    <x v="2"/>
    <x v="28"/>
    <x v="0"/>
    <x v="1"/>
    <n v="366.20879631100001"/>
  </r>
  <r>
    <x v="0"/>
    <x v="15"/>
    <x v="3"/>
    <x v="28"/>
    <x v="0"/>
    <x v="1"/>
    <n v="4.4673324E-2"/>
  </r>
  <r>
    <x v="0"/>
    <x v="15"/>
    <x v="0"/>
    <x v="29"/>
    <x v="0"/>
    <x v="0"/>
    <n v="616.70317136100005"/>
  </r>
  <r>
    <x v="0"/>
    <x v="15"/>
    <x v="1"/>
    <x v="29"/>
    <x v="0"/>
    <x v="1"/>
    <n v="4.8814035999999998E-2"/>
  </r>
  <r>
    <x v="0"/>
    <x v="15"/>
    <x v="2"/>
    <x v="29"/>
    <x v="0"/>
    <x v="1"/>
    <n v="395.82338219600001"/>
  </r>
  <r>
    <x v="0"/>
    <x v="15"/>
    <x v="3"/>
    <x v="29"/>
    <x v="0"/>
    <x v="1"/>
    <n v="5.2495579000000001E-2"/>
  </r>
  <r>
    <x v="0"/>
    <x v="15"/>
    <x v="0"/>
    <x v="30"/>
    <x v="0"/>
    <x v="0"/>
    <n v="157.339640613"/>
  </r>
  <r>
    <x v="0"/>
    <x v="15"/>
    <x v="1"/>
    <x v="30"/>
    <x v="0"/>
    <x v="1"/>
    <n v="7.6082736999999998E-2"/>
  </r>
  <r>
    <x v="0"/>
    <x v="15"/>
    <x v="2"/>
    <x v="30"/>
    <x v="0"/>
    <x v="1"/>
    <n v="98.824730826000007"/>
  </r>
  <r>
    <x v="0"/>
    <x v="15"/>
    <x v="3"/>
    <x v="30"/>
    <x v="0"/>
    <x v="1"/>
    <n v="8.9156544000000004E-2"/>
  </r>
  <r>
    <x v="0"/>
    <x v="15"/>
    <x v="0"/>
    <x v="31"/>
    <x v="0"/>
    <x v="0"/>
    <n v="223.88759485099999"/>
  </r>
  <r>
    <x v="0"/>
    <x v="15"/>
    <x v="1"/>
    <x v="31"/>
    <x v="0"/>
    <x v="1"/>
    <n v="3.8163550999999997E-2"/>
  </r>
  <r>
    <x v="0"/>
    <x v="15"/>
    <x v="2"/>
    <x v="31"/>
    <x v="0"/>
    <x v="1"/>
    <n v="123.105526641"/>
  </r>
  <r>
    <x v="0"/>
    <x v="15"/>
    <x v="3"/>
    <x v="31"/>
    <x v="0"/>
    <x v="1"/>
    <n v="2.9411753999999998E-2"/>
  </r>
  <r>
    <x v="0"/>
    <x v="15"/>
    <x v="0"/>
    <x v="32"/>
    <x v="0"/>
    <x v="0"/>
    <n v="716.61984214200004"/>
  </r>
  <r>
    <x v="0"/>
    <x v="15"/>
    <x v="1"/>
    <x v="32"/>
    <x v="0"/>
    <x v="1"/>
    <n v="3.9533031000000003E-2"/>
  </r>
  <r>
    <x v="0"/>
    <x v="15"/>
    <x v="2"/>
    <x v="32"/>
    <x v="0"/>
    <x v="1"/>
    <n v="337.06741978500003"/>
  </r>
  <r>
    <x v="0"/>
    <x v="15"/>
    <x v="3"/>
    <x v="32"/>
    <x v="0"/>
    <x v="1"/>
    <n v="3.2959969999999998E-2"/>
  </r>
  <r>
    <x v="0"/>
    <x v="15"/>
    <x v="0"/>
    <x v="33"/>
    <x v="0"/>
    <x v="0"/>
    <n v="645.31688597200002"/>
  </r>
  <r>
    <x v="0"/>
    <x v="15"/>
    <x v="1"/>
    <x v="33"/>
    <x v="0"/>
    <x v="1"/>
    <n v="2.3108582999999999E-2"/>
  </r>
  <r>
    <x v="0"/>
    <x v="15"/>
    <x v="2"/>
    <x v="33"/>
    <x v="0"/>
    <x v="1"/>
    <n v="248.63206514999999"/>
  </r>
  <r>
    <x v="0"/>
    <x v="15"/>
    <x v="3"/>
    <x v="33"/>
    <x v="0"/>
    <x v="1"/>
    <n v="1.0371261E-2"/>
  </r>
  <r>
    <x v="0"/>
    <x v="15"/>
    <x v="0"/>
    <x v="34"/>
    <x v="0"/>
    <x v="0"/>
    <n v="360.55454203800002"/>
  </r>
  <r>
    <x v="0"/>
    <x v="15"/>
    <x v="1"/>
    <x v="34"/>
    <x v="0"/>
    <x v="1"/>
    <n v="5.2834254999999997E-2"/>
  </r>
  <r>
    <x v="0"/>
    <x v="15"/>
    <x v="2"/>
    <x v="34"/>
    <x v="0"/>
    <x v="1"/>
    <n v="254.856037257"/>
  </r>
  <r>
    <x v="0"/>
    <x v="15"/>
    <x v="3"/>
    <x v="34"/>
    <x v="0"/>
    <x v="1"/>
    <n v="5.9942027000000002E-2"/>
  </r>
  <r>
    <x v="0"/>
    <x v="15"/>
    <x v="0"/>
    <x v="35"/>
    <x v="0"/>
    <x v="0"/>
    <n v="293.22036284500001"/>
  </r>
  <r>
    <x v="0"/>
    <x v="15"/>
    <x v="1"/>
    <x v="35"/>
    <x v="0"/>
    <x v="1"/>
    <n v="5.5158388000000003E-2"/>
  </r>
  <r>
    <x v="0"/>
    <x v="15"/>
    <x v="2"/>
    <x v="35"/>
    <x v="0"/>
    <x v="1"/>
    <n v="192.50961142400001"/>
  </r>
  <r>
    <x v="0"/>
    <x v="15"/>
    <x v="3"/>
    <x v="35"/>
    <x v="0"/>
    <x v="1"/>
    <n v="6.4654053000000003E-2"/>
  </r>
  <r>
    <x v="0"/>
    <x v="15"/>
    <x v="0"/>
    <x v="36"/>
    <x v="0"/>
    <x v="0"/>
    <n v="103.146157683"/>
  </r>
  <r>
    <x v="0"/>
    <x v="15"/>
    <x v="1"/>
    <x v="36"/>
    <x v="0"/>
    <x v="1"/>
    <n v="6.0211963E-2"/>
  </r>
  <r>
    <x v="0"/>
    <x v="15"/>
    <x v="2"/>
    <x v="36"/>
    <x v="0"/>
    <x v="1"/>
    <n v="60.930864589999999"/>
  </r>
  <r>
    <x v="0"/>
    <x v="15"/>
    <x v="3"/>
    <x v="36"/>
    <x v="0"/>
    <x v="1"/>
    <n v="6.7168690000000003E-2"/>
  </r>
  <r>
    <x v="0"/>
    <x v="15"/>
    <x v="0"/>
    <x v="37"/>
    <x v="0"/>
    <x v="0"/>
    <n v="111.72311672399999"/>
  </r>
  <r>
    <x v="0"/>
    <x v="15"/>
    <x v="1"/>
    <x v="37"/>
    <x v="0"/>
    <x v="1"/>
    <n v="6.7932057000000004E-2"/>
  </r>
  <r>
    <x v="0"/>
    <x v="15"/>
    <x v="2"/>
    <x v="37"/>
    <x v="0"/>
    <x v="1"/>
    <n v="58.717208122000002"/>
  </r>
  <r>
    <x v="0"/>
    <x v="15"/>
    <x v="3"/>
    <x v="37"/>
    <x v="0"/>
    <x v="1"/>
    <n v="8.9656613999999996E-2"/>
  </r>
  <r>
    <x v="0"/>
    <x v="15"/>
    <x v="0"/>
    <x v="38"/>
    <x v="0"/>
    <x v="0"/>
    <n v="365.33923395900001"/>
  </r>
  <r>
    <x v="0"/>
    <x v="15"/>
    <x v="1"/>
    <x v="38"/>
    <x v="0"/>
    <x v="1"/>
    <n v="9.5319778999999993E-2"/>
  </r>
  <r>
    <x v="0"/>
    <x v="15"/>
    <x v="2"/>
    <x v="38"/>
    <x v="0"/>
    <x v="1"/>
    <n v="98.666840492999995"/>
  </r>
  <r>
    <x v="0"/>
    <x v="15"/>
    <x v="3"/>
    <x v="38"/>
    <x v="0"/>
    <x v="1"/>
    <n v="0.11060084100000001"/>
  </r>
  <r>
    <x v="0"/>
    <x v="15"/>
    <x v="0"/>
    <x v="39"/>
    <x v="0"/>
    <x v="0"/>
    <n v="198.58555382399999"/>
  </r>
  <r>
    <x v="0"/>
    <x v="15"/>
    <x v="1"/>
    <x v="39"/>
    <x v="0"/>
    <x v="1"/>
    <n v="7.3855005000000001E-2"/>
  </r>
  <r>
    <x v="0"/>
    <x v="15"/>
    <x v="2"/>
    <x v="39"/>
    <x v="0"/>
    <x v="1"/>
    <n v="113.657338767"/>
  </r>
  <r>
    <x v="0"/>
    <x v="15"/>
    <x v="3"/>
    <x v="39"/>
    <x v="0"/>
    <x v="1"/>
    <n v="0.10744846199999999"/>
  </r>
  <r>
    <x v="0"/>
    <x v="15"/>
    <x v="0"/>
    <x v="40"/>
    <x v="0"/>
    <x v="0"/>
    <n v="71.302098490000006"/>
  </r>
  <r>
    <x v="0"/>
    <x v="15"/>
    <x v="1"/>
    <x v="40"/>
    <x v="0"/>
    <x v="1"/>
    <n v="6.0275736000000003E-2"/>
  </r>
  <r>
    <x v="0"/>
    <x v="15"/>
    <x v="2"/>
    <x v="40"/>
    <x v="0"/>
    <x v="1"/>
    <n v="38.214853458999997"/>
  </r>
  <r>
    <x v="0"/>
    <x v="15"/>
    <x v="3"/>
    <x v="40"/>
    <x v="0"/>
    <x v="1"/>
    <n v="6.6390494999999994E-2"/>
  </r>
  <r>
    <x v="0"/>
    <x v="15"/>
    <x v="0"/>
    <x v="41"/>
    <x v="0"/>
    <x v="0"/>
    <n v="788.37139607300003"/>
  </r>
  <r>
    <x v="0"/>
    <x v="15"/>
    <x v="1"/>
    <x v="41"/>
    <x v="0"/>
    <x v="1"/>
    <n v="8.8663819000000005E-2"/>
  </r>
  <r>
    <x v="0"/>
    <x v="15"/>
    <x v="2"/>
    <x v="41"/>
    <x v="0"/>
    <x v="1"/>
    <n v="317.25694484899998"/>
  </r>
  <r>
    <x v="0"/>
    <x v="15"/>
    <x v="3"/>
    <x v="41"/>
    <x v="0"/>
    <x v="1"/>
    <n v="0.111979116"/>
  </r>
  <r>
    <x v="0"/>
    <x v="15"/>
    <x v="4"/>
    <x v="0"/>
    <x v="1"/>
    <x v="0"/>
    <n v="274.54084432600001"/>
  </r>
  <r>
    <x v="0"/>
    <x v="15"/>
    <x v="5"/>
    <x v="0"/>
    <x v="1"/>
    <x v="1"/>
    <n v="2.0914999999999999E-5"/>
  </r>
  <r>
    <x v="0"/>
    <x v="15"/>
    <x v="6"/>
    <x v="0"/>
    <x v="1"/>
    <x v="1"/>
    <n v="0.57628298700000002"/>
  </r>
  <r>
    <x v="0"/>
    <x v="15"/>
    <x v="4"/>
    <x v="1"/>
    <x v="1"/>
    <x v="0"/>
    <n v="408.63221287300001"/>
  </r>
  <r>
    <x v="0"/>
    <x v="15"/>
    <x v="5"/>
    <x v="1"/>
    <x v="1"/>
    <x v="1"/>
    <n v="2.5996999999999999E-5"/>
  </r>
  <r>
    <x v="0"/>
    <x v="15"/>
    <x v="6"/>
    <x v="1"/>
    <x v="1"/>
    <x v="1"/>
    <n v="0.57628298700000002"/>
  </r>
  <r>
    <x v="0"/>
    <x v="15"/>
    <x v="4"/>
    <x v="2"/>
    <x v="1"/>
    <x v="0"/>
    <n v="642.67213953299995"/>
  </r>
  <r>
    <x v="0"/>
    <x v="15"/>
    <x v="5"/>
    <x v="2"/>
    <x v="1"/>
    <x v="1"/>
    <n v="6.7316000000000004E-5"/>
  </r>
  <r>
    <x v="0"/>
    <x v="15"/>
    <x v="6"/>
    <x v="2"/>
    <x v="1"/>
    <x v="1"/>
    <n v="0.57628298700000002"/>
  </r>
  <r>
    <x v="0"/>
    <x v="15"/>
    <x v="4"/>
    <x v="3"/>
    <x v="1"/>
    <x v="0"/>
    <n v="238.553768179"/>
  </r>
  <r>
    <x v="0"/>
    <x v="15"/>
    <x v="5"/>
    <x v="3"/>
    <x v="1"/>
    <x v="1"/>
    <n v="2.2857000000000002E-5"/>
  </r>
  <r>
    <x v="0"/>
    <x v="15"/>
    <x v="6"/>
    <x v="3"/>
    <x v="1"/>
    <x v="1"/>
    <n v="0.57628298700000002"/>
  </r>
  <r>
    <x v="0"/>
    <x v="15"/>
    <x v="4"/>
    <x v="4"/>
    <x v="1"/>
    <x v="0"/>
    <n v="106.637527632"/>
  </r>
  <r>
    <x v="0"/>
    <x v="15"/>
    <x v="5"/>
    <x v="4"/>
    <x v="1"/>
    <x v="1"/>
    <n v="2.2248000000000001E-5"/>
  </r>
  <r>
    <x v="0"/>
    <x v="15"/>
    <x v="6"/>
    <x v="4"/>
    <x v="1"/>
    <x v="1"/>
    <n v="0.57628298700000002"/>
  </r>
  <r>
    <x v="0"/>
    <x v="15"/>
    <x v="4"/>
    <x v="5"/>
    <x v="1"/>
    <x v="0"/>
    <n v="799.39161507400001"/>
  </r>
  <r>
    <x v="0"/>
    <x v="15"/>
    <x v="5"/>
    <x v="5"/>
    <x v="1"/>
    <x v="1"/>
    <n v="1.0677E-5"/>
  </r>
  <r>
    <x v="0"/>
    <x v="15"/>
    <x v="6"/>
    <x v="5"/>
    <x v="1"/>
    <x v="1"/>
    <n v="0.57628298700000002"/>
  </r>
  <r>
    <x v="0"/>
    <x v="15"/>
    <x v="4"/>
    <x v="6"/>
    <x v="1"/>
    <x v="0"/>
    <n v="242.428737732"/>
  </r>
  <r>
    <x v="0"/>
    <x v="15"/>
    <x v="5"/>
    <x v="6"/>
    <x v="1"/>
    <x v="1"/>
    <n v="8.0669999999999992E-6"/>
  </r>
  <r>
    <x v="0"/>
    <x v="15"/>
    <x v="6"/>
    <x v="6"/>
    <x v="1"/>
    <x v="1"/>
    <n v="0.57628298700000002"/>
  </r>
  <r>
    <x v="0"/>
    <x v="15"/>
    <x v="4"/>
    <x v="7"/>
    <x v="1"/>
    <x v="0"/>
    <n v="171.58540895300001"/>
  </r>
  <r>
    <x v="0"/>
    <x v="15"/>
    <x v="5"/>
    <x v="7"/>
    <x v="1"/>
    <x v="1"/>
    <n v="5.891E-6"/>
  </r>
  <r>
    <x v="0"/>
    <x v="15"/>
    <x v="6"/>
    <x v="7"/>
    <x v="1"/>
    <x v="1"/>
    <n v="0.57628298700000002"/>
  </r>
  <r>
    <x v="0"/>
    <x v="15"/>
    <x v="4"/>
    <x v="8"/>
    <x v="1"/>
    <x v="0"/>
    <n v="133.76187664299999"/>
  </r>
  <r>
    <x v="0"/>
    <x v="15"/>
    <x v="5"/>
    <x v="8"/>
    <x v="1"/>
    <x v="1"/>
    <n v="6.1260000000000003E-6"/>
  </r>
  <r>
    <x v="0"/>
    <x v="15"/>
    <x v="6"/>
    <x v="8"/>
    <x v="1"/>
    <x v="1"/>
    <n v="0.57628298700000002"/>
  </r>
  <r>
    <x v="0"/>
    <x v="15"/>
    <x v="4"/>
    <x v="9"/>
    <x v="1"/>
    <x v="0"/>
    <n v="291.41465559900001"/>
  </r>
  <r>
    <x v="0"/>
    <x v="15"/>
    <x v="5"/>
    <x v="9"/>
    <x v="1"/>
    <x v="1"/>
    <n v="1.7339000000000001E-5"/>
  </r>
  <r>
    <x v="0"/>
    <x v="15"/>
    <x v="6"/>
    <x v="9"/>
    <x v="1"/>
    <x v="1"/>
    <n v="0.57628298700000002"/>
  </r>
  <r>
    <x v="0"/>
    <x v="15"/>
    <x v="4"/>
    <x v="10"/>
    <x v="1"/>
    <x v="0"/>
    <n v="215.963320272"/>
  </r>
  <r>
    <x v="0"/>
    <x v="15"/>
    <x v="5"/>
    <x v="10"/>
    <x v="1"/>
    <x v="1"/>
    <n v="1.7476999999999999E-5"/>
  </r>
  <r>
    <x v="0"/>
    <x v="15"/>
    <x v="6"/>
    <x v="10"/>
    <x v="1"/>
    <x v="1"/>
    <n v="0.57628298700000002"/>
  </r>
  <r>
    <x v="0"/>
    <x v="15"/>
    <x v="4"/>
    <x v="11"/>
    <x v="1"/>
    <x v="0"/>
    <n v="1202.8070461340001"/>
  </r>
  <r>
    <x v="0"/>
    <x v="15"/>
    <x v="5"/>
    <x v="11"/>
    <x v="1"/>
    <x v="1"/>
    <n v="1.3227000000000001E-5"/>
  </r>
  <r>
    <x v="0"/>
    <x v="15"/>
    <x v="6"/>
    <x v="11"/>
    <x v="1"/>
    <x v="1"/>
    <n v="0.57628298700000002"/>
  </r>
  <r>
    <x v="0"/>
    <x v="15"/>
    <x v="4"/>
    <x v="12"/>
    <x v="1"/>
    <x v="0"/>
    <n v="393.83150547499997"/>
  </r>
  <r>
    <x v="0"/>
    <x v="15"/>
    <x v="5"/>
    <x v="12"/>
    <x v="1"/>
    <x v="1"/>
    <n v="6.5470000000000002E-6"/>
  </r>
  <r>
    <x v="0"/>
    <x v="15"/>
    <x v="6"/>
    <x v="12"/>
    <x v="1"/>
    <x v="1"/>
    <n v="0.57628298700000002"/>
  </r>
  <r>
    <x v="0"/>
    <x v="15"/>
    <x v="4"/>
    <x v="13"/>
    <x v="1"/>
    <x v="0"/>
    <n v="949.21116429300002"/>
  </r>
  <r>
    <x v="0"/>
    <x v="15"/>
    <x v="5"/>
    <x v="13"/>
    <x v="1"/>
    <x v="1"/>
    <n v="7.8560000000000007E-6"/>
  </r>
  <r>
    <x v="0"/>
    <x v="15"/>
    <x v="6"/>
    <x v="13"/>
    <x v="1"/>
    <x v="1"/>
    <n v="0.57628298700000002"/>
  </r>
  <r>
    <x v="0"/>
    <x v="15"/>
    <x v="4"/>
    <x v="14"/>
    <x v="1"/>
    <x v="0"/>
    <n v="235.09826158600001"/>
  </r>
  <r>
    <x v="0"/>
    <x v="15"/>
    <x v="5"/>
    <x v="14"/>
    <x v="1"/>
    <x v="1"/>
    <n v="8.7509999999999997E-6"/>
  </r>
  <r>
    <x v="0"/>
    <x v="15"/>
    <x v="6"/>
    <x v="14"/>
    <x v="1"/>
    <x v="1"/>
    <n v="0.57628298700000002"/>
  </r>
  <r>
    <x v="0"/>
    <x v="15"/>
    <x v="4"/>
    <x v="15"/>
    <x v="1"/>
    <x v="0"/>
    <n v="273.06847809099997"/>
  </r>
  <r>
    <x v="0"/>
    <x v="15"/>
    <x v="5"/>
    <x v="15"/>
    <x v="1"/>
    <x v="1"/>
    <n v="6.4239999999999998E-6"/>
  </r>
  <r>
    <x v="0"/>
    <x v="15"/>
    <x v="6"/>
    <x v="15"/>
    <x v="1"/>
    <x v="1"/>
    <n v="0.57628298700000002"/>
  </r>
  <r>
    <x v="0"/>
    <x v="15"/>
    <x v="4"/>
    <x v="16"/>
    <x v="1"/>
    <x v="0"/>
    <n v="197.99805508599999"/>
  </r>
  <r>
    <x v="0"/>
    <x v="15"/>
    <x v="5"/>
    <x v="16"/>
    <x v="1"/>
    <x v="1"/>
    <n v="4.904E-6"/>
  </r>
  <r>
    <x v="0"/>
    <x v="15"/>
    <x v="6"/>
    <x v="16"/>
    <x v="1"/>
    <x v="1"/>
    <n v="0.57628298700000002"/>
  </r>
  <r>
    <x v="0"/>
    <x v="15"/>
    <x v="4"/>
    <x v="17"/>
    <x v="1"/>
    <x v="0"/>
    <n v="403.67793321800002"/>
  </r>
  <r>
    <x v="0"/>
    <x v="15"/>
    <x v="5"/>
    <x v="17"/>
    <x v="1"/>
    <x v="1"/>
    <n v="6.0870000000000003E-6"/>
  </r>
  <r>
    <x v="0"/>
    <x v="15"/>
    <x v="6"/>
    <x v="17"/>
    <x v="1"/>
    <x v="1"/>
    <n v="0.57628298700000002"/>
  </r>
  <r>
    <x v="0"/>
    <x v="15"/>
    <x v="4"/>
    <x v="18"/>
    <x v="1"/>
    <x v="0"/>
    <n v="324.98062827500002"/>
  </r>
  <r>
    <x v="0"/>
    <x v="15"/>
    <x v="5"/>
    <x v="18"/>
    <x v="1"/>
    <x v="1"/>
    <n v="6.8600000000000004E-6"/>
  </r>
  <r>
    <x v="0"/>
    <x v="15"/>
    <x v="6"/>
    <x v="18"/>
    <x v="1"/>
    <x v="1"/>
    <n v="0.57628298700000002"/>
  </r>
  <r>
    <x v="0"/>
    <x v="15"/>
    <x v="4"/>
    <x v="19"/>
    <x v="1"/>
    <x v="0"/>
    <n v="346.17384027600002"/>
  </r>
  <r>
    <x v="0"/>
    <x v="15"/>
    <x v="5"/>
    <x v="19"/>
    <x v="1"/>
    <x v="1"/>
    <n v="6.8480000000000003E-6"/>
  </r>
  <r>
    <x v="0"/>
    <x v="15"/>
    <x v="6"/>
    <x v="19"/>
    <x v="1"/>
    <x v="1"/>
    <n v="0.57628298700000002"/>
  </r>
  <r>
    <x v="0"/>
    <x v="15"/>
    <x v="4"/>
    <x v="20"/>
    <x v="1"/>
    <x v="0"/>
    <n v="57.103755479"/>
  </r>
  <r>
    <x v="0"/>
    <x v="15"/>
    <x v="5"/>
    <x v="20"/>
    <x v="1"/>
    <x v="1"/>
    <n v="1.4769999999999999E-5"/>
  </r>
  <r>
    <x v="0"/>
    <x v="15"/>
    <x v="6"/>
    <x v="20"/>
    <x v="1"/>
    <x v="1"/>
    <n v="0.57628298700000002"/>
  </r>
  <r>
    <x v="0"/>
    <x v="15"/>
    <x v="4"/>
    <x v="21"/>
    <x v="1"/>
    <x v="0"/>
    <n v="20.181552109999998"/>
  </r>
  <r>
    <x v="0"/>
    <x v="15"/>
    <x v="5"/>
    <x v="21"/>
    <x v="1"/>
    <x v="1"/>
    <n v="1.2775999999999999E-5"/>
  </r>
  <r>
    <x v="0"/>
    <x v="15"/>
    <x v="6"/>
    <x v="21"/>
    <x v="1"/>
    <x v="1"/>
    <n v="0.57628298700000002"/>
  </r>
  <r>
    <x v="0"/>
    <x v="15"/>
    <x v="4"/>
    <x v="22"/>
    <x v="1"/>
    <x v="0"/>
    <n v="343.78552178400003"/>
  </r>
  <r>
    <x v="0"/>
    <x v="15"/>
    <x v="5"/>
    <x v="22"/>
    <x v="1"/>
    <x v="1"/>
    <n v="1.6178999999999999E-5"/>
  </r>
  <r>
    <x v="0"/>
    <x v="15"/>
    <x v="6"/>
    <x v="22"/>
    <x v="1"/>
    <x v="1"/>
    <n v="0.57628298700000002"/>
  </r>
  <r>
    <x v="0"/>
    <x v="15"/>
    <x v="4"/>
    <x v="23"/>
    <x v="1"/>
    <x v="0"/>
    <n v="3.984599416"/>
  </r>
  <r>
    <x v="0"/>
    <x v="15"/>
    <x v="5"/>
    <x v="23"/>
    <x v="1"/>
    <x v="1"/>
    <n v="1.9769999999999999E-5"/>
  </r>
  <r>
    <x v="0"/>
    <x v="15"/>
    <x v="6"/>
    <x v="23"/>
    <x v="1"/>
    <x v="1"/>
    <n v="0.57628298700000002"/>
  </r>
  <r>
    <x v="0"/>
    <x v="15"/>
    <x v="4"/>
    <x v="24"/>
    <x v="1"/>
    <x v="0"/>
    <n v="722.25419583600001"/>
  </r>
  <r>
    <x v="0"/>
    <x v="15"/>
    <x v="5"/>
    <x v="24"/>
    <x v="1"/>
    <x v="1"/>
    <n v="1.2689E-5"/>
  </r>
  <r>
    <x v="0"/>
    <x v="15"/>
    <x v="6"/>
    <x v="24"/>
    <x v="1"/>
    <x v="1"/>
    <n v="0.57628298700000002"/>
  </r>
  <r>
    <x v="0"/>
    <x v="15"/>
    <x v="4"/>
    <x v="25"/>
    <x v="1"/>
    <x v="0"/>
    <n v="38.766133940000003"/>
  </r>
  <r>
    <x v="0"/>
    <x v="15"/>
    <x v="5"/>
    <x v="25"/>
    <x v="1"/>
    <x v="1"/>
    <n v="8.7760000000000003E-6"/>
  </r>
  <r>
    <x v="0"/>
    <x v="15"/>
    <x v="6"/>
    <x v="25"/>
    <x v="1"/>
    <x v="1"/>
    <n v="0.57628298700000002"/>
  </r>
  <r>
    <x v="0"/>
    <x v="15"/>
    <x v="4"/>
    <x v="26"/>
    <x v="1"/>
    <x v="0"/>
    <n v="29.294784185000001"/>
  </r>
  <r>
    <x v="0"/>
    <x v="15"/>
    <x v="5"/>
    <x v="26"/>
    <x v="1"/>
    <x v="1"/>
    <n v="9.533E-6"/>
  </r>
  <r>
    <x v="0"/>
    <x v="15"/>
    <x v="6"/>
    <x v="26"/>
    <x v="1"/>
    <x v="1"/>
    <n v="0.57628298700000002"/>
  </r>
  <r>
    <x v="0"/>
    <x v="15"/>
    <x v="4"/>
    <x v="27"/>
    <x v="1"/>
    <x v="0"/>
    <n v="671.73208015299997"/>
  </r>
  <r>
    <x v="0"/>
    <x v="15"/>
    <x v="5"/>
    <x v="27"/>
    <x v="1"/>
    <x v="1"/>
    <n v="3.7919999999999999E-6"/>
  </r>
  <r>
    <x v="0"/>
    <x v="15"/>
    <x v="6"/>
    <x v="27"/>
    <x v="1"/>
    <x v="1"/>
    <n v="0.57628298700000002"/>
  </r>
  <r>
    <x v="0"/>
    <x v="15"/>
    <x v="4"/>
    <x v="28"/>
    <x v="1"/>
    <x v="0"/>
    <n v="2048.452996169"/>
  </r>
  <r>
    <x v="0"/>
    <x v="15"/>
    <x v="5"/>
    <x v="28"/>
    <x v="1"/>
    <x v="1"/>
    <n v="1.471E-5"/>
  </r>
  <r>
    <x v="0"/>
    <x v="15"/>
    <x v="6"/>
    <x v="28"/>
    <x v="1"/>
    <x v="1"/>
    <n v="0.57628298700000002"/>
  </r>
  <r>
    <x v="0"/>
    <x v="15"/>
    <x v="4"/>
    <x v="29"/>
    <x v="1"/>
    <x v="0"/>
    <n v="1280.436298157"/>
  </r>
  <r>
    <x v="0"/>
    <x v="15"/>
    <x v="5"/>
    <x v="29"/>
    <x v="1"/>
    <x v="1"/>
    <n v="1.7224E-5"/>
  </r>
  <r>
    <x v="0"/>
    <x v="15"/>
    <x v="6"/>
    <x v="29"/>
    <x v="1"/>
    <x v="1"/>
    <n v="0.57628298700000002"/>
  </r>
  <r>
    <x v="0"/>
    <x v="15"/>
    <x v="4"/>
    <x v="30"/>
    <x v="1"/>
    <x v="0"/>
    <n v="227.671350031"/>
  </r>
  <r>
    <x v="0"/>
    <x v="15"/>
    <x v="5"/>
    <x v="30"/>
    <x v="1"/>
    <x v="1"/>
    <n v="1.0584000000000001E-5"/>
  </r>
  <r>
    <x v="0"/>
    <x v="15"/>
    <x v="6"/>
    <x v="30"/>
    <x v="1"/>
    <x v="1"/>
    <n v="0.57628298700000002"/>
  </r>
  <r>
    <x v="0"/>
    <x v="15"/>
    <x v="4"/>
    <x v="31"/>
    <x v="1"/>
    <x v="0"/>
    <n v="764.10026278199996"/>
  </r>
  <r>
    <x v="0"/>
    <x v="15"/>
    <x v="5"/>
    <x v="31"/>
    <x v="1"/>
    <x v="1"/>
    <n v="1.0988000000000001E-5"/>
  </r>
  <r>
    <x v="0"/>
    <x v="15"/>
    <x v="6"/>
    <x v="31"/>
    <x v="1"/>
    <x v="1"/>
    <n v="0.57628298700000002"/>
  </r>
  <r>
    <x v="0"/>
    <x v="15"/>
    <x v="4"/>
    <x v="32"/>
    <x v="1"/>
    <x v="0"/>
    <n v="2434.843343684"/>
  </r>
  <r>
    <x v="0"/>
    <x v="15"/>
    <x v="5"/>
    <x v="32"/>
    <x v="1"/>
    <x v="1"/>
    <n v="2.0216000000000001E-5"/>
  </r>
  <r>
    <x v="0"/>
    <x v="15"/>
    <x v="6"/>
    <x v="32"/>
    <x v="1"/>
    <x v="1"/>
    <n v="0.57628298700000002"/>
  </r>
  <r>
    <x v="0"/>
    <x v="15"/>
    <x v="4"/>
    <x v="33"/>
    <x v="1"/>
    <x v="0"/>
    <n v="2568.523209509"/>
  </r>
  <r>
    <x v="0"/>
    <x v="15"/>
    <x v="5"/>
    <x v="33"/>
    <x v="1"/>
    <x v="1"/>
    <n v="1.8598999999999999E-5"/>
  </r>
  <r>
    <x v="0"/>
    <x v="15"/>
    <x v="6"/>
    <x v="33"/>
    <x v="1"/>
    <x v="1"/>
    <n v="0.57628298700000002"/>
  </r>
  <r>
    <x v="0"/>
    <x v="15"/>
    <x v="4"/>
    <x v="34"/>
    <x v="1"/>
    <x v="0"/>
    <n v="547.04357669499996"/>
  </r>
  <r>
    <x v="0"/>
    <x v="15"/>
    <x v="5"/>
    <x v="34"/>
    <x v="1"/>
    <x v="1"/>
    <n v="2.0017000000000002E-5"/>
  </r>
  <r>
    <x v="0"/>
    <x v="15"/>
    <x v="6"/>
    <x v="34"/>
    <x v="1"/>
    <x v="1"/>
    <n v="0.57628298700000002"/>
  </r>
  <r>
    <x v="0"/>
    <x v="15"/>
    <x v="4"/>
    <x v="35"/>
    <x v="1"/>
    <x v="0"/>
    <n v="464.777492413"/>
  </r>
  <r>
    <x v="0"/>
    <x v="15"/>
    <x v="5"/>
    <x v="35"/>
    <x v="1"/>
    <x v="1"/>
    <n v="2.5483999999999999E-5"/>
  </r>
  <r>
    <x v="0"/>
    <x v="15"/>
    <x v="6"/>
    <x v="35"/>
    <x v="1"/>
    <x v="1"/>
    <n v="0.57628298700000002"/>
  </r>
  <r>
    <x v="0"/>
    <x v="15"/>
    <x v="4"/>
    <x v="36"/>
    <x v="1"/>
    <x v="0"/>
    <n v="160.42186432700001"/>
  </r>
  <r>
    <x v="0"/>
    <x v="15"/>
    <x v="5"/>
    <x v="36"/>
    <x v="1"/>
    <x v="1"/>
    <n v="4.9193000000000001E-5"/>
  </r>
  <r>
    <x v="0"/>
    <x v="15"/>
    <x v="6"/>
    <x v="36"/>
    <x v="1"/>
    <x v="1"/>
    <n v="0.57628298700000002"/>
  </r>
  <r>
    <x v="0"/>
    <x v="15"/>
    <x v="4"/>
    <x v="37"/>
    <x v="1"/>
    <x v="0"/>
    <n v="199.206328423"/>
  </r>
  <r>
    <x v="0"/>
    <x v="15"/>
    <x v="5"/>
    <x v="37"/>
    <x v="1"/>
    <x v="1"/>
    <n v="1.1669E-5"/>
  </r>
  <r>
    <x v="0"/>
    <x v="15"/>
    <x v="6"/>
    <x v="37"/>
    <x v="1"/>
    <x v="1"/>
    <n v="0.57628298700000002"/>
  </r>
  <r>
    <x v="0"/>
    <x v="15"/>
    <x v="4"/>
    <x v="38"/>
    <x v="1"/>
    <x v="0"/>
    <n v="366.99266509900002"/>
  </r>
  <r>
    <x v="0"/>
    <x v="15"/>
    <x v="5"/>
    <x v="38"/>
    <x v="1"/>
    <x v="1"/>
    <n v="5.9194999999999998E-5"/>
  </r>
  <r>
    <x v="0"/>
    <x v="15"/>
    <x v="6"/>
    <x v="38"/>
    <x v="1"/>
    <x v="1"/>
    <n v="0.57628298700000002"/>
  </r>
  <r>
    <x v="0"/>
    <x v="15"/>
    <x v="4"/>
    <x v="39"/>
    <x v="1"/>
    <x v="0"/>
    <n v="169.30767694100001"/>
  </r>
  <r>
    <x v="0"/>
    <x v="15"/>
    <x v="5"/>
    <x v="39"/>
    <x v="1"/>
    <x v="1"/>
    <n v="2.1506999999999999E-5"/>
  </r>
  <r>
    <x v="0"/>
    <x v="15"/>
    <x v="6"/>
    <x v="39"/>
    <x v="1"/>
    <x v="1"/>
    <n v="0.57628298700000002"/>
  </r>
  <r>
    <x v="0"/>
    <x v="15"/>
    <x v="4"/>
    <x v="40"/>
    <x v="1"/>
    <x v="0"/>
    <n v="159.06327368000001"/>
  </r>
  <r>
    <x v="0"/>
    <x v="15"/>
    <x v="5"/>
    <x v="40"/>
    <x v="1"/>
    <x v="1"/>
    <n v="1.9826E-5"/>
  </r>
  <r>
    <x v="0"/>
    <x v="15"/>
    <x v="6"/>
    <x v="40"/>
    <x v="1"/>
    <x v="1"/>
    <n v="0.57628298700000002"/>
  </r>
  <r>
    <x v="0"/>
    <x v="15"/>
    <x v="4"/>
    <x v="41"/>
    <x v="1"/>
    <x v="0"/>
    <n v="523.831953849"/>
  </r>
  <r>
    <x v="0"/>
    <x v="15"/>
    <x v="5"/>
    <x v="41"/>
    <x v="1"/>
    <x v="1"/>
    <n v="1.11555E-4"/>
  </r>
  <r>
    <x v="0"/>
    <x v="15"/>
    <x v="6"/>
    <x v="41"/>
    <x v="1"/>
    <x v="1"/>
    <n v="0.57628298700000002"/>
  </r>
  <r>
    <x v="0"/>
    <x v="15"/>
    <x v="7"/>
    <x v="0"/>
    <x v="2"/>
    <x v="2"/>
    <n v="411.096800078"/>
  </r>
  <r>
    <x v="0"/>
    <x v="15"/>
    <x v="7"/>
    <x v="1"/>
    <x v="2"/>
    <x v="2"/>
    <n v="49.328186305000003"/>
  </r>
  <r>
    <x v="0"/>
    <x v="15"/>
    <x v="7"/>
    <x v="2"/>
    <x v="2"/>
    <x v="2"/>
    <n v="22.308206788"/>
  </r>
  <r>
    <x v="0"/>
    <x v="15"/>
    <x v="7"/>
    <x v="3"/>
    <x v="2"/>
    <x v="2"/>
    <n v="16.859951520999999"/>
  </r>
  <r>
    <x v="0"/>
    <x v="15"/>
    <x v="7"/>
    <x v="4"/>
    <x v="2"/>
    <x v="2"/>
    <n v="9.746981602"/>
  </r>
  <r>
    <x v="0"/>
    <x v="15"/>
    <x v="7"/>
    <x v="5"/>
    <x v="2"/>
    <x v="2"/>
    <n v="34.396460709999999"/>
  </r>
  <r>
    <x v="0"/>
    <x v="15"/>
    <x v="7"/>
    <x v="6"/>
    <x v="2"/>
    <x v="2"/>
    <n v="15.196633821000001"/>
  </r>
  <r>
    <x v="0"/>
    <x v="15"/>
    <x v="7"/>
    <x v="7"/>
    <x v="2"/>
    <x v="2"/>
    <n v="13.443119510000001"/>
  </r>
  <r>
    <x v="0"/>
    <x v="15"/>
    <x v="7"/>
    <x v="8"/>
    <x v="2"/>
    <x v="2"/>
    <n v="7.3019226709999998"/>
  </r>
  <r>
    <x v="0"/>
    <x v="15"/>
    <x v="7"/>
    <x v="9"/>
    <x v="2"/>
    <x v="2"/>
    <n v="23.179268591"/>
  </r>
  <r>
    <x v="0"/>
    <x v="15"/>
    <x v="7"/>
    <x v="10"/>
    <x v="2"/>
    <x v="2"/>
    <n v="10.434624175"/>
  </r>
  <r>
    <x v="0"/>
    <x v="15"/>
    <x v="7"/>
    <x v="11"/>
    <x v="2"/>
    <x v="2"/>
    <n v="48.114710866000003"/>
  </r>
  <r>
    <x v="0"/>
    <x v="15"/>
    <x v="7"/>
    <x v="12"/>
    <x v="2"/>
    <x v="2"/>
    <n v="19.157017364000001"/>
  </r>
  <r>
    <x v="0"/>
    <x v="15"/>
    <x v="7"/>
    <x v="13"/>
    <x v="2"/>
    <x v="2"/>
    <n v="28.021658548000001"/>
  </r>
  <r>
    <x v="0"/>
    <x v="15"/>
    <x v="7"/>
    <x v="14"/>
    <x v="2"/>
    <x v="2"/>
    <n v="13.537759839"/>
  </r>
  <r>
    <x v="0"/>
    <x v="15"/>
    <x v="7"/>
    <x v="15"/>
    <x v="2"/>
    <x v="2"/>
    <n v="16.767092686000002"/>
  </r>
  <r>
    <x v="0"/>
    <x v="15"/>
    <x v="7"/>
    <x v="16"/>
    <x v="2"/>
    <x v="2"/>
    <n v="11.130588179"/>
  </r>
  <r>
    <x v="0"/>
    <x v="15"/>
    <x v="7"/>
    <x v="17"/>
    <x v="2"/>
    <x v="2"/>
    <n v="22.717401555999999"/>
  </r>
  <r>
    <x v="0"/>
    <x v="15"/>
    <x v="7"/>
    <x v="18"/>
    <x v="2"/>
    <x v="2"/>
    <n v="14.147348264"/>
  </r>
  <r>
    <x v="0"/>
    <x v="15"/>
    <x v="7"/>
    <x v="19"/>
    <x v="2"/>
    <x v="2"/>
    <n v="24.737996620000001"/>
  </r>
  <r>
    <x v="0"/>
    <x v="15"/>
    <x v="7"/>
    <x v="20"/>
    <x v="2"/>
    <x v="2"/>
    <n v="3.6102431990000001"/>
  </r>
  <r>
    <x v="0"/>
    <x v="15"/>
    <x v="7"/>
    <x v="21"/>
    <x v="2"/>
    <x v="2"/>
    <n v="1.5518995769999999"/>
  </r>
  <r>
    <x v="0"/>
    <x v="15"/>
    <x v="7"/>
    <x v="22"/>
    <x v="2"/>
    <x v="2"/>
    <n v="1.035379286"/>
  </r>
  <r>
    <x v="0"/>
    <x v="15"/>
    <x v="7"/>
    <x v="23"/>
    <x v="2"/>
    <x v="2"/>
    <n v="0.992861718"/>
  </r>
  <r>
    <x v="0"/>
    <x v="15"/>
    <x v="7"/>
    <x v="24"/>
    <x v="2"/>
    <x v="2"/>
    <n v="21.231739162"/>
  </r>
  <r>
    <x v="0"/>
    <x v="15"/>
    <x v="7"/>
    <x v="25"/>
    <x v="2"/>
    <x v="2"/>
    <n v="0.92770295400000002"/>
  </r>
  <r>
    <x v="0"/>
    <x v="15"/>
    <x v="7"/>
    <x v="26"/>
    <x v="2"/>
    <x v="2"/>
    <n v="1.958391083"/>
  </r>
  <r>
    <x v="0"/>
    <x v="15"/>
    <x v="7"/>
    <x v="27"/>
    <x v="2"/>
    <x v="2"/>
    <n v="68.122517627999997"/>
  </r>
  <r>
    <x v="0"/>
    <x v="15"/>
    <x v="7"/>
    <x v="28"/>
    <x v="2"/>
    <x v="2"/>
    <n v="94.592308255999995"/>
  </r>
  <r>
    <x v="0"/>
    <x v="15"/>
    <x v="7"/>
    <x v="29"/>
    <x v="2"/>
    <x v="2"/>
    <n v="76.900695342999995"/>
  </r>
  <r>
    <x v="0"/>
    <x v="15"/>
    <x v="7"/>
    <x v="30"/>
    <x v="2"/>
    <x v="2"/>
    <n v="34.031788147"/>
  </r>
  <r>
    <x v="0"/>
    <x v="15"/>
    <x v="7"/>
    <x v="31"/>
    <x v="2"/>
    <x v="2"/>
    <n v="19.971564533999999"/>
  </r>
  <r>
    <x v="0"/>
    <x v="15"/>
    <x v="7"/>
    <x v="32"/>
    <x v="2"/>
    <x v="2"/>
    <n v="83.929993508999999"/>
  </r>
  <r>
    <x v="0"/>
    <x v="15"/>
    <x v="7"/>
    <x v="33"/>
    <x v="2"/>
    <x v="2"/>
    <n v="28.202935054000001"/>
  </r>
  <r>
    <x v="0"/>
    <x v="15"/>
    <x v="7"/>
    <x v="34"/>
    <x v="2"/>
    <x v="2"/>
    <n v="41.851131705"/>
  </r>
  <r>
    <x v="0"/>
    <x v="15"/>
    <x v="7"/>
    <x v="35"/>
    <x v="2"/>
    <x v="2"/>
    <n v="42.900667269000003"/>
  </r>
  <r>
    <x v="0"/>
    <x v="15"/>
    <x v="7"/>
    <x v="36"/>
    <x v="2"/>
    <x v="2"/>
    <n v="18.640177781999999"/>
  </r>
  <r>
    <x v="0"/>
    <x v="15"/>
    <x v="7"/>
    <x v="37"/>
    <x v="2"/>
    <x v="2"/>
    <n v="30.993278615000001"/>
  </r>
  <r>
    <x v="0"/>
    <x v="15"/>
    <x v="7"/>
    <x v="38"/>
    <x v="2"/>
    <x v="2"/>
    <n v="190.68789362699999"/>
  </r>
  <r>
    <x v="0"/>
    <x v="15"/>
    <x v="7"/>
    <x v="39"/>
    <x v="2"/>
    <x v="2"/>
    <n v="59.090612282000002"/>
  </r>
  <r>
    <x v="0"/>
    <x v="15"/>
    <x v="7"/>
    <x v="40"/>
    <x v="2"/>
    <x v="2"/>
    <n v="14.465906493"/>
  </r>
  <r>
    <x v="0"/>
    <x v="15"/>
    <x v="7"/>
    <x v="41"/>
    <x v="2"/>
    <x v="2"/>
    <n v="340.76651078399999"/>
  </r>
  <r>
    <x v="0"/>
    <x v="15"/>
    <x v="8"/>
    <x v="0"/>
    <x v="2"/>
    <x v="3"/>
    <n v="7.8878103000000005E-2"/>
  </r>
  <r>
    <x v="0"/>
    <x v="15"/>
    <x v="8"/>
    <x v="1"/>
    <x v="2"/>
    <x v="3"/>
    <n v="7.8878103000000005E-2"/>
  </r>
  <r>
    <x v="0"/>
    <x v="15"/>
    <x v="8"/>
    <x v="2"/>
    <x v="2"/>
    <x v="3"/>
    <n v="7.8878103000000005E-2"/>
  </r>
  <r>
    <x v="0"/>
    <x v="15"/>
    <x v="8"/>
    <x v="3"/>
    <x v="2"/>
    <x v="3"/>
    <n v="7.8878103000000005E-2"/>
  </r>
  <r>
    <x v="0"/>
    <x v="15"/>
    <x v="8"/>
    <x v="4"/>
    <x v="2"/>
    <x v="3"/>
    <n v="7.8878103000000005E-2"/>
  </r>
  <r>
    <x v="0"/>
    <x v="15"/>
    <x v="8"/>
    <x v="5"/>
    <x v="2"/>
    <x v="3"/>
    <n v="7.8878103000000005E-2"/>
  </r>
  <r>
    <x v="0"/>
    <x v="15"/>
    <x v="8"/>
    <x v="6"/>
    <x v="2"/>
    <x v="3"/>
    <n v="7.8878103000000005E-2"/>
  </r>
  <r>
    <x v="0"/>
    <x v="15"/>
    <x v="8"/>
    <x v="7"/>
    <x v="2"/>
    <x v="3"/>
    <n v="7.8878103000000005E-2"/>
  </r>
  <r>
    <x v="0"/>
    <x v="15"/>
    <x v="8"/>
    <x v="8"/>
    <x v="2"/>
    <x v="3"/>
    <n v="7.8878103000000005E-2"/>
  </r>
  <r>
    <x v="0"/>
    <x v="15"/>
    <x v="8"/>
    <x v="9"/>
    <x v="2"/>
    <x v="3"/>
    <n v="7.8878103000000005E-2"/>
  </r>
  <r>
    <x v="0"/>
    <x v="15"/>
    <x v="8"/>
    <x v="10"/>
    <x v="2"/>
    <x v="3"/>
    <n v="7.8878103000000005E-2"/>
  </r>
  <r>
    <x v="0"/>
    <x v="15"/>
    <x v="8"/>
    <x v="11"/>
    <x v="2"/>
    <x v="3"/>
    <n v="7.8878103000000005E-2"/>
  </r>
  <r>
    <x v="0"/>
    <x v="15"/>
    <x v="8"/>
    <x v="12"/>
    <x v="2"/>
    <x v="3"/>
    <n v="7.8878103000000005E-2"/>
  </r>
  <r>
    <x v="0"/>
    <x v="15"/>
    <x v="8"/>
    <x v="13"/>
    <x v="2"/>
    <x v="3"/>
    <n v="7.8878103000000005E-2"/>
  </r>
  <r>
    <x v="0"/>
    <x v="15"/>
    <x v="8"/>
    <x v="14"/>
    <x v="2"/>
    <x v="3"/>
    <n v="7.8878103000000005E-2"/>
  </r>
  <r>
    <x v="0"/>
    <x v="15"/>
    <x v="8"/>
    <x v="15"/>
    <x v="2"/>
    <x v="3"/>
    <n v="7.8878103000000005E-2"/>
  </r>
  <r>
    <x v="0"/>
    <x v="15"/>
    <x v="8"/>
    <x v="16"/>
    <x v="2"/>
    <x v="3"/>
    <n v="7.8878103000000005E-2"/>
  </r>
  <r>
    <x v="0"/>
    <x v="15"/>
    <x v="8"/>
    <x v="17"/>
    <x v="2"/>
    <x v="3"/>
    <n v="7.8878103000000005E-2"/>
  </r>
  <r>
    <x v="0"/>
    <x v="15"/>
    <x v="8"/>
    <x v="18"/>
    <x v="2"/>
    <x v="3"/>
    <n v="7.8878103000000005E-2"/>
  </r>
  <r>
    <x v="0"/>
    <x v="15"/>
    <x v="8"/>
    <x v="19"/>
    <x v="2"/>
    <x v="3"/>
    <n v="7.8878103000000005E-2"/>
  </r>
  <r>
    <x v="0"/>
    <x v="15"/>
    <x v="8"/>
    <x v="20"/>
    <x v="2"/>
    <x v="3"/>
    <n v="7.8878103000000005E-2"/>
  </r>
  <r>
    <x v="0"/>
    <x v="15"/>
    <x v="8"/>
    <x v="21"/>
    <x v="2"/>
    <x v="3"/>
    <n v="7.8878103000000005E-2"/>
  </r>
  <r>
    <x v="0"/>
    <x v="15"/>
    <x v="8"/>
    <x v="22"/>
    <x v="2"/>
    <x v="3"/>
    <n v="7.8878103000000005E-2"/>
  </r>
  <r>
    <x v="0"/>
    <x v="15"/>
    <x v="8"/>
    <x v="23"/>
    <x v="2"/>
    <x v="3"/>
    <n v="7.8878103000000005E-2"/>
  </r>
  <r>
    <x v="0"/>
    <x v="15"/>
    <x v="8"/>
    <x v="24"/>
    <x v="2"/>
    <x v="3"/>
    <n v="7.8878103000000005E-2"/>
  </r>
  <r>
    <x v="0"/>
    <x v="15"/>
    <x v="8"/>
    <x v="25"/>
    <x v="2"/>
    <x v="3"/>
    <n v="7.8878103000000005E-2"/>
  </r>
  <r>
    <x v="0"/>
    <x v="15"/>
    <x v="8"/>
    <x v="26"/>
    <x v="2"/>
    <x v="3"/>
    <n v="7.8878103000000005E-2"/>
  </r>
  <r>
    <x v="0"/>
    <x v="15"/>
    <x v="8"/>
    <x v="27"/>
    <x v="2"/>
    <x v="3"/>
    <n v="7.8878103000000005E-2"/>
  </r>
  <r>
    <x v="0"/>
    <x v="15"/>
    <x v="8"/>
    <x v="28"/>
    <x v="2"/>
    <x v="3"/>
    <n v="7.8878103000000005E-2"/>
  </r>
  <r>
    <x v="0"/>
    <x v="15"/>
    <x v="8"/>
    <x v="29"/>
    <x v="2"/>
    <x v="3"/>
    <n v="7.8878103000000005E-2"/>
  </r>
  <r>
    <x v="0"/>
    <x v="15"/>
    <x v="8"/>
    <x v="30"/>
    <x v="2"/>
    <x v="3"/>
    <n v="7.8878103000000005E-2"/>
  </r>
  <r>
    <x v="0"/>
    <x v="15"/>
    <x v="8"/>
    <x v="31"/>
    <x v="2"/>
    <x v="3"/>
    <n v="7.8878103000000005E-2"/>
  </r>
  <r>
    <x v="0"/>
    <x v="15"/>
    <x v="8"/>
    <x v="32"/>
    <x v="2"/>
    <x v="3"/>
    <n v="7.8878103000000005E-2"/>
  </r>
  <r>
    <x v="0"/>
    <x v="15"/>
    <x v="8"/>
    <x v="33"/>
    <x v="2"/>
    <x v="3"/>
    <n v="7.8878103000000005E-2"/>
  </r>
  <r>
    <x v="0"/>
    <x v="15"/>
    <x v="8"/>
    <x v="34"/>
    <x v="2"/>
    <x v="3"/>
    <n v="7.8878103000000005E-2"/>
  </r>
  <r>
    <x v="0"/>
    <x v="15"/>
    <x v="8"/>
    <x v="35"/>
    <x v="2"/>
    <x v="3"/>
    <n v="7.8878103000000005E-2"/>
  </r>
  <r>
    <x v="0"/>
    <x v="15"/>
    <x v="8"/>
    <x v="36"/>
    <x v="2"/>
    <x v="3"/>
    <n v="7.8878103000000005E-2"/>
  </r>
  <r>
    <x v="0"/>
    <x v="15"/>
    <x v="8"/>
    <x v="37"/>
    <x v="2"/>
    <x v="3"/>
    <n v="7.8878103000000005E-2"/>
  </r>
  <r>
    <x v="0"/>
    <x v="15"/>
    <x v="8"/>
    <x v="38"/>
    <x v="2"/>
    <x v="3"/>
    <n v="7.8878103000000005E-2"/>
  </r>
  <r>
    <x v="0"/>
    <x v="15"/>
    <x v="8"/>
    <x v="39"/>
    <x v="2"/>
    <x v="3"/>
    <n v="7.8878103000000005E-2"/>
  </r>
  <r>
    <x v="0"/>
    <x v="15"/>
    <x v="8"/>
    <x v="40"/>
    <x v="2"/>
    <x v="3"/>
    <n v="7.8878103000000005E-2"/>
  </r>
  <r>
    <x v="0"/>
    <x v="15"/>
    <x v="8"/>
    <x v="41"/>
    <x v="2"/>
    <x v="3"/>
    <n v="7.8878103000000005E-2"/>
  </r>
  <r>
    <x v="0"/>
    <x v="15"/>
    <x v="7"/>
    <x v="0"/>
    <x v="3"/>
    <x v="2"/>
    <n v="412.92423152100002"/>
  </r>
  <r>
    <x v="0"/>
    <x v="15"/>
    <x v="7"/>
    <x v="1"/>
    <x v="3"/>
    <x v="2"/>
    <n v="47.397970858000001"/>
  </r>
  <r>
    <x v="0"/>
    <x v="15"/>
    <x v="7"/>
    <x v="2"/>
    <x v="3"/>
    <x v="2"/>
    <n v="20.042383685000001"/>
  </r>
  <r>
    <x v="0"/>
    <x v="15"/>
    <x v="7"/>
    <x v="3"/>
    <x v="3"/>
    <x v="2"/>
    <n v="15.884765314999999"/>
  </r>
  <r>
    <x v="0"/>
    <x v="15"/>
    <x v="7"/>
    <x v="4"/>
    <x v="3"/>
    <x v="2"/>
    <n v="9.2829622539999992"/>
  </r>
  <r>
    <x v="0"/>
    <x v="15"/>
    <x v="7"/>
    <x v="5"/>
    <x v="3"/>
    <x v="2"/>
    <n v="31.957007674"/>
  </r>
  <r>
    <x v="0"/>
    <x v="15"/>
    <x v="7"/>
    <x v="6"/>
    <x v="3"/>
    <x v="2"/>
    <n v="14.400294804"/>
  </r>
  <r>
    <x v="0"/>
    <x v="15"/>
    <x v="7"/>
    <x v="7"/>
    <x v="3"/>
    <x v="2"/>
    <n v="12.887409822"/>
  </r>
  <r>
    <x v="0"/>
    <x v="15"/>
    <x v="7"/>
    <x v="8"/>
    <x v="3"/>
    <x v="2"/>
    <n v="6.899211116"/>
  </r>
  <r>
    <x v="0"/>
    <x v="15"/>
    <x v="7"/>
    <x v="9"/>
    <x v="3"/>
    <x v="2"/>
    <n v="22.008184803999999"/>
  </r>
  <r>
    <x v="0"/>
    <x v="15"/>
    <x v="7"/>
    <x v="10"/>
    <x v="3"/>
    <x v="2"/>
    <n v="9.6921469029999994"/>
  </r>
  <r>
    <x v="0"/>
    <x v="15"/>
    <x v="7"/>
    <x v="11"/>
    <x v="3"/>
    <x v="2"/>
    <n v="44.432108581000001"/>
  </r>
  <r>
    <x v="0"/>
    <x v="15"/>
    <x v="7"/>
    <x v="12"/>
    <x v="3"/>
    <x v="2"/>
    <n v="17.998031090000001"/>
  </r>
  <r>
    <x v="0"/>
    <x v="15"/>
    <x v="7"/>
    <x v="13"/>
    <x v="3"/>
    <x v="2"/>
    <n v="25.650110681000001"/>
  </r>
  <r>
    <x v="0"/>
    <x v="15"/>
    <x v="7"/>
    <x v="14"/>
    <x v="3"/>
    <x v="2"/>
    <n v="12.772170084000001"/>
  </r>
  <r>
    <x v="0"/>
    <x v="15"/>
    <x v="7"/>
    <x v="15"/>
    <x v="3"/>
    <x v="2"/>
    <n v="15.911642035"/>
  </r>
  <r>
    <x v="0"/>
    <x v="15"/>
    <x v="7"/>
    <x v="16"/>
    <x v="3"/>
    <x v="2"/>
    <n v="10.553635134"/>
  </r>
  <r>
    <x v="0"/>
    <x v="15"/>
    <x v="7"/>
    <x v="17"/>
    <x v="3"/>
    <x v="2"/>
    <n v="21.493277561999999"/>
  </r>
  <r>
    <x v="0"/>
    <x v="15"/>
    <x v="7"/>
    <x v="18"/>
    <x v="3"/>
    <x v="2"/>
    <n v="13.21843191"/>
  </r>
  <r>
    <x v="0"/>
    <x v="15"/>
    <x v="7"/>
    <x v="19"/>
    <x v="3"/>
    <x v="2"/>
    <n v="23.601584935999998"/>
  </r>
  <r>
    <x v="0"/>
    <x v="15"/>
    <x v="7"/>
    <x v="20"/>
    <x v="3"/>
    <x v="2"/>
    <n v="3.4008342100000002"/>
  </r>
  <r>
    <x v="0"/>
    <x v="15"/>
    <x v="7"/>
    <x v="21"/>
    <x v="3"/>
    <x v="2"/>
    <n v="1.475937429"/>
  </r>
  <r>
    <x v="0"/>
    <x v="15"/>
    <x v="7"/>
    <x v="22"/>
    <x v="3"/>
    <x v="2"/>
    <n v="0.82028354599999997"/>
  </r>
  <r>
    <x v="0"/>
    <x v="15"/>
    <x v="7"/>
    <x v="23"/>
    <x v="3"/>
    <x v="2"/>
    <n v="0.97582481099999996"/>
  </r>
  <r>
    <x v="0"/>
    <x v="15"/>
    <x v="7"/>
    <x v="24"/>
    <x v="3"/>
    <x v="2"/>
    <n v="19.312100435000001"/>
  </r>
  <r>
    <x v="0"/>
    <x v="15"/>
    <x v="7"/>
    <x v="25"/>
    <x v="3"/>
    <x v="2"/>
    <n v="0.83867317500000005"/>
  </r>
  <r>
    <x v="0"/>
    <x v="15"/>
    <x v="7"/>
    <x v="26"/>
    <x v="3"/>
    <x v="2"/>
    <n v="1.857504909"/>
  </r>
  <r>
    <x v="0"/>
    <x v="15"/>
    <x v="7"/>
    <x v="27"/>
    <x v="3"/>
    <x v="2"/>
    <n v="66.105544902999995"/>
  </r>
  <r>
    <x v="0"/>
    <x v="15"/>
    <x v="7"/>
    <x v="28"/>
    <x v="3"/>
    <x v="2"/>
    <n v="87.849164438000003"/>
  </r>
  <r>
    <x v="0"/>
    <x v="15"/>
    <x v="7"/>
    <x v="29"/>
    <x v="3"/>
    <x v="2"/>
    <n v="72.158073002999998"/>
  </r>
  <r>
    <x v="0"/>
    <x v="15"/>
    <x v="7"/>
    <x v="30"/>
    <x v="3"/>
    <x v="2"/>
    <n v="33.151066303"/>
  </r>
  <r>
    <x v="0"/>
    <x v="15"/>
    <x v="7"/>
    <x v="31"/>
    <x v="3"/>
    <x v="2"/>
    <n v="18.086927402000001"/>
  </r>
  <r>
    <x v="0"/>
    <x v="15"/>
    <x v="7"/>
    <x v="32"/>
    <x v="3"/>
    <x v="2"/>
    <n v="76.523670711999998"/>
  </r>
  <r>
    <x v="0"/>
    <x v="15"/>
    <x v="7"/>
    <x v="33"/>
    <x v="3"/>
    <x v="2"/>
    <n v="24.130822303999999"/>
  </r>
  <r>
    <x v="0"/>
    <x v="15"/>
    <x v="7"/>
    <x v="34"/>
    <x v="3"/>
    <x v="2"/>
    <n v="39.616675491999999"/>
  </r>
  <r>
    <x v="0"/>
    <x v="15"/>
    <x v="7"/>
    <x v="35"/>
    <x v="3"/>
    <x v="2"/>
    <n v="40.820705169999997"/>
  </r>
  <r>
    <x v="0"/>
    <x v="15"/>
    <x v="7"/>
    <x v="36"/>
    <x v="3"/>
    <x v="2"/>
    <n v="17.784135352"/>
  </r>
  <r>
    <x v="0"/>
    <x v="15"/>
    <x v="7"/>
    <x v="37"/>
    <x v="3"/>
    <x v="2"/>
    <n v="30.204409430999998"/>
  </r>
  <r>
    <x v="0"/>
    <x v="15"/>
    <x v="7"/>
    <x v="38"/>
    <x v="3"/>
    <x v="2"/>
    <n v="189.08088366199999"/>
  </r>
  <r>
    <x v="0"/>
    <x v="15"/>
    <x v="7"/>
    <x v="39"/>
    <x v="3"/>
    <x v="2"/>
    <n v="58.445866252000002"/>
  </r>
  <r>
    <x v="0"/>
    <x v="15"/>
    <x v="7"/>
    <x v="40"/>
    <x v="3"/>
    <x v="2"/>
    <n v="13.789696377"/>
  </r>
  <r>
    <x v="0"/>
    <x v="15"/>
    <x v="7"/>
    <x v="41"/>
    <x v="3"/>
    <x v="2"/>
    <n v="338.26322786399999"/>
  </r>
  <r>
    <x v="0"/>
    <x v="15"/>
    <x v="8"/>
    <x v="0"/>
    <x v="3"/>
    <x v="3"/>
    <n v="7.6323778999999994E-2"/>
  </r>
  <r>
    <x v="0"/>
    <x v="15"/>
    <x v="8"/>
    <x v="1"/>
    <x v="3"/>
    <x v="3"/>
    <n v="7.6323778999999994E-2"/>
  </r>
  <r>
    <x v="0"/>
    <x v="15"/>
    <x v="8"/>
    <x v="2"/>
    <x v="3"/>
    <x v="3"/>
    <n v="7.6323778999999994E-2"/>
  </r>
  <r>
    <x v="0"/>
    <x v="15"/>
    <x v="8"/>
    <x v="3"/>
    <x v="3"/>
    <x v="3"/>
    <n v="7.6323778999999994E-2"/>
  </r>
  <r>
    <x v="0"/>
    <x v="15"/>
    <x v="8"/>
    <x v="4"/>
    <x v="3"/>
    <x v="3"/>
    <n v="7.6323778999999994E-2"/>
  </r>
  <r>
    <x v="0"/>
    <x v="15"/>
    <x v="8"/>
    <x v="5"/>
    <x v="3"/>
    <x v="3"/>
    <n v="7.6323778999999994E-2"/>
  </r>
  <r>
    <x v="0"/>
    <x v="15"/>
    <x v="8"/>
    <x v="6"/>
    <x v="3"/>
    <x v="3"/>
    <n v="7.6323778999999994E-2"/>
  </r>
  <r>
    <x v="0"/>
    <x v="15"/>
    <x v="8"/>
    <x v="7"/>
    <x v="3"/>
    <x v="3"/>
    <n v="7.6323778999999994E-2"/>
  </r>
  <r>
    <x v="0"/>
    <x v="15"/>
    <x v="8"/>
    <x v="8"/>
    <x v="3"/>
    <x v="3"/>
    <n v="7.6323778999999994E-2"/>
  </r>
  <r>
    <x v="0"/>
    <x v="15"/>
    <x v="8"/>
    <x v="9"/>
    <x v="3"/>
    <x v="3"/>
    <n v="7.6323778999999994E-2"/>
  </r>
  <r>
    <x v="0"/>
    <x v="15"/>
    <x v="8"/>
    <x v="10"/>
    <x v="3"/>
    <x v="3"/>
    <n v="7.6323778999999994E-2"/>
  </r>
  <r>
    <x v="0"/>
    <x v="15"/>
    <x v="8"/>
    <x v="11"/>
    <x v="3"/>
    <x v="3"/>
    <n v="7.6323778999999994E-2"/>
  </r>
  <r>
    <x v="0"/>
    <x v="15"/>
    <x v="8"/>
    <x v="12"/>
    <x v="3"/>
    <x v="3"/>
    <n v="7.6323778999999994E-2"/>
  </r>
  <r>
    <x v="0"/>
    <x v="15"/>
    <x v="8"/>
    <x v="13"/>
    <x v="3"/>
    <x v="3"/>
    <n v="7.6323778999999994E-2"/>
  </r>
  <r>
    <x v="0"/>
    <x v="15"/>
    <x v="8"/>
    <x v="14"/>
    <x v="3"/>
    <x v="3"/>
    <n v="7.6323778999999994E-2"/>
  </r>
  <r>
    <x v="0"/>
    <x v="15"/>
    <x v="8"/>
    <x v="15"/>
    <x v="3"/>
    <x v="3"/>
    <n v="7.6323778999999994E-2"/>
  </r>
  <r>
    <x v="0"/>
    <x v="15"/>
    <x v="8"/>
    <x v="16"/>
    <x v="3"/>
    <x v="3"/>
    <n v="7.6323778999999994E-2"/>
  </r>
  <r>
    <x v="0"/>
    <x v="15"/>
    <x v="8"/>
    <x v="17"/>
    <x v="3"/>
    <x v="3"/>
    <n v="7.6323778999999994E-2"/>
  </r>
  <r>
    <x v="0"/>
    <x v="15"/>
    <x v="8"/>
    <x v="18"/>
    <x v="3"/>
    <x v="3"/>
    <n v="7.6323778999999994E-2"/>
  </r>
  <r>
    <x v="0"/>
    <x v="15"/>
    <x v="8"/>
    <x v="19"/>
    <x v="3"/>
    <x v="3"/>
    <n v="7.6323778999999994E-2"/>
  </r>
  <r>
    <x v="0"/>
    <x v="15"/>
    <x v="8"/>
    <x v="20"/>
    <x v="3"/>
    <x v="3"/>
    <n v="7.6323778999999994E-2"/>
  </r>
  <r>
    <x v="0"/>
    <x v="15"/>
    <x v="8"/>
    <x v="21"/>
    <x v="3"/>
    <x v="3"/>
    <n v="7.6323778999999994E-2"/>
  </r>
  <r>
    <x v="0"/>
    <x v="15"/>
    <x v="8"/>
    <x v="22"/>
    <x v="3"/>
    <x v="3"/>
    <n v="7.6323778999999994E-2"/>
  </r>
  <r>
    <x v="0"/>
    <x v="15"/>
    <x v="8"/>
    <x v="23"/>
    <x v="3"/>
    <x v="3"/>
    <n v="7.6323778999999994E-2"/>
  </r>
  <r>
    <x v="0"/>
    <x v="15"/>
    <x v="8"/>
    <x v="24"/>
    <x v="3"/>
    <x v="3"/>
    <n v="7.6323778999999994E-2"/>
  </r>
  <r>
    <x v="0"/>
    <x v="15"/>
    <x v="8"/>
    <x v="25"/>
    <x v="3"/>
    <x v="3"/>
    <n v="7.6323778999999994E-2"/>
  </r>
  <r>
    <x v="0"/>
    <x v="15"/>
    <x v="8"/>
    <x v="26"/>
    <x v="3"/>
    <x v="3"/>
    <n v="7.6323778999999994E-2"/>
  </r>
  <r>
    <x v="0"/>
    <x v="15"/>
    <x v="8"/>
    <x v="27"/>
    <x v="3"/>
    <x v="3"/>
    <n v="7.6323778999999994E-2"/>
  </r>
  <r>
    <x v="0"/>
    <x v="15"/>
    <x v="8"/>
    <x v="28"/>
    <x v="3"/>
    <x v="3"/>
    <n v="7.6323778999999994E-2"/>
  </r>
  <r>
    <x v="0"/>
    <x v="15"/>
    <x v="8"/>
    <x v="29"/>
    <x v="3"/>
    <x v="3"/>
    <n v="7.6323778999999994E-2"/>
  </r>
  <r>
    <x v="0"/>
    <x v="15"/>
    <x v="8"/>
    <x v="30"/>
    <x v="3"/>
    <x v="3"/>
    <n v="7.6323778999999994E-2"/>
  </r>
  <r>
    <x v="0"/>
    <x v="15"/>
    <x v="8"/>
    <x v="31"/>
    <x v="3"/>
    <x v="3"/>
    <n v="7.6323778999999994E-2"/>
  </r>
  <r>
    <x v="0"/>
    <x v="15"/>
    <x v="8"/>
    <x v="32"/>
    <x v="3"/>
    <x v="3"/>
    <n v="7.6323778999999994E-2"/>
  </r>
  <r>
    <x v="0"/>
    <x v="15"/>
    <x v="8"/>
    <x v="33"/>
    <x v="3"/>
    <x v="3"/>
    <n v="7.6323778999999994E-2"/>
  </r>
  <r>
    <x v="0"/>
    <x v="15"/>
    <x v="8"/>
    <x v="34"/>
    <x v="3"/>
    <x v="3"/>
    <n v="7.6323778999999994E-2"/>
  </r>
  <r>
    <x v="0"/>
    <x v="15"/>
    <x v="8"/>
    <x v="35"/>
    <x v="3"/>
    <x v="3"/>
    <n v="7.6323778999999994E-2"/>
  </r>
  <r>
    <x v="0"/>
    <x v="15"/>
    <x v="8"/>
    <x v="36"/>
    <x v="3"/>
    <x v="3"/>
    <n v="7.6323778999999994E-2"/>
  </r>
  <r>
    <x v="0"/>
    <x v="15"/>
    <x v="8"/>
    <x v="37"/>
    <x v="3"/>
    <x v="3"/>
    <n v="7.6323778999999994E-2"/>
  </r>
  <r>
    <x v="0"/>
    <x v="15"/>
    <x v="8"/>
    <x v="38"/>
    <x v="3"/>
    <x v="3"/>
    <n v="7.6323778999999994E-2"/>
  </r>
  <r>
    <x v="0"/>
    <x v="15"/>
    <x v="8"/>
    <x v="39"/>
    <x v="3"/>
    <x v="3"/>
    <n v="7.6323778999999994E-2"/>
  </r>
  <r>
    <x v="0"/>
    <x v="15"/>
    <x v="8"/>
    <x v="40"/>
    <x v="3"/>
    <x v="3"/>
    <n v="7.6323778999999994E-2"/>
  </r>
  <r>
    <x v="0"/>
    <x v="15"/>
    <x v="8"/>
    <x v="41"/>
    <x v="3"/>
    <x v="3"/>
    <n v="7.6323778999999994E-2"/>
  </r>
  <r>
    <x v="0"/>
    <x v="15"/>
    <x v="9"/>
    <x v="42"/>
    <x v="4"/>
    <x v="4"/>
    <n v="79.910148231999997"/>
  </r>
  <r>
    <x v="0"/>
    <x v="15"/>
    <x v="9"/>
    <x v="42"/>
    <x v="5"/>
    <x v="4"/>
    <n v="1.135536584"/>
  </r>
  <r>
    <x v="0"/>
    <x v="15"/>
    <x v="9"/>
    <x v="42"/>
    <x v="6"/>
    <x v="4"/>
    <n v="0"/>
  </r>
  <r>
    <x v="0"/>
    <x v="15"/>
    <x v="9"/>
    <x v="42"/>
    <x v="7"/>
    <x v="4"/>
    <n v="0"/>
  </r>
  <r>
    <x v="0"/>
    <x v="15"/>
    <x v="9"/>
    <x v="42"/>
    <x v="8"/>
    <x v="4"/>
    <n v="0"/>
  </r>
  <r>
    <x v="0"/>
    <x v="15"/>
    <x v="9"/>
    <x v="42"/>
    <x v="9"/>
    <x v="4"/>
    <n v="91.937813821000006"/>
  </r>
  <r>
    <x v="0"/>
    <x v="15"/>
    <x v="9"/>
    <x v="42"/>
    <x v="10"/>
    <x v="4"/>
    <n v="2.681313356"/>
  </r>
  <r>
    <x v="0"/>
    <x v="15"/>
    <x v="9"/>
    <x v="42"/>
    <x v="11"/>
    <x v="4"/>
    <n v="16.181540657999999"/>
  </r>
  <r>
    <x v="0"/>
    <x v="15"/>
    <x v="9"/>
    <x v="42"/>
    <x v="12"/>
    <x v="4"/>
    <n v="2.3167670330000001"/>
  </r>
  <r>
    <x v="0"/>
    <x v="15"/>
    <x v="9"/>
    <x v="42"/>
    <x v="13"/>
    <x v="4"/>
    <n v="3.7100945169999999"/>
  </r>
  <r>
    <x v="0"/>
    <x v="15"/>
    <x v="9"/>
    <x v="42"/>
    <x v="14"/>
    <x v="4"/>
    <n v="2.9282481599999999"/>
  </r>
  <r>
    <x v="0"/>
    <x v="15"/>
    <x v="9"/>
    <x v="42"/>
    <x v="15"/>
    <x v="4"/>
    <n v="12.902691463"/>
  </r>
  <r>
    <x v="0"/>
    <x v="15"/>
    <x v="9"/>
    <x v="42"/>
    <x v="16"/>
    <x v="4"/>
    <n v="1.7542784950000001"/>
  </r>
  <r>
    <x v="0"/>
    <x v="15"/>
    <x v="9"/>
    <x v="42"/>
    <x v="17"/>
    <x v="4"/>
    <n v="0"/>
  </r>
  <r>
    <x v="0"/>
    <x v="15"/>
    <x v="9"/>
    <x v="42"/>
    <x v="18"/>
    <x v="4"/>
    <n v="1.075445094"/>
  </r>
  <r>
    <x v="0"/>
    <x v="15"/>
    <x v="9"/>
    <x v="42"/>
    <x v="19"/>
    <x v="4"/>
    <n v="0.55630198799999997"/>
  </r>
  <r>
    <x v="0"/>
    <x v="15"/>
    <x v="9"/>
    <x v="42"/>
    <x v="20"/>
    <x v="4"/>
    <n v="0.14162934399999999"/>
  </r>
  <r>
    <x v="0"/>
    <x v="15"/>
    <x v="9"/>
    <x v="42"/>
    <x v="21"/>
    <x v="4"/>
    <n v="9.5880355989999995"/>
  </r>
  <r>
    <x v="0"/>
    <x v="15"/>
    <x v="9"/>
    <x v="42"/>
    <x v="22"/>
    <x v="4"/>
    <n v="10.227077463000001"/>
  </r>
  <r>
    <x v="0"/>
    <x v="15"/>
    <x v="9"/>
    <x v="42"/>
    <x v="23"/>
    <x v="4"/>
    <n v="9.3664004480000003"/>
  </r>
  <r>
    <x v="0"/>
    <x v="15"/>
    <x v="9"/>
    <x v="42"/>
    <x v="24"/>
    <x v="4"/>
    <n v="0.674500561"/>
  </r>
  <r>
    <x v="0"/>
    <x v="15"/>
    <x v="9"/>
    <x v="42"/>
    <x v="25"/>
    <x v="4"/>
    <n v="0.72123568699999996"/>
  </r>
  <r>
    <x v="0"/>
    <x v="15"/>
    <x v="9"/>
    <x v="42"/>
    <x v="26"/>
    <x v="4"/>
    <n v="0"/>
  </r>
  <r>
    <x v="0"/>
    <x v="15"/>
    <x v="9"/>
    <x v="42"/>
    <x v="27"/>
    <x v="4"/>
    <n v="0"/>
  </r>
  <r>
    <x v="0"/>
    <x v="15"/>
    <x v="9"/>
    <x v="42"/>
    <x v="28"/>
    <x v="4"/>
    <n v="10.358945506"/>
  </r>
  <r>
    <x v="0"/>
    <x v="15"/>
    <x v="9"/>
    <x v="42"/>
    <x v="29"/>
    <x v="4"/>
    <n v="1.391329869"/>
  </r>
  <r>
    <x v="0"/>
    <x v="15"/>
    <x v="9"/>
    <x v="42"/>
    <x v="30"/>
    <x v="4"/>
    <n v="0.66258785600000003"/>
  </r>
  <r>
    <x v="0"/>
    <x v="15"/>
    <x v="9"/>
    <x v="42"/>
    <x v="31"/>
    <x v="4"/>
    <n v="0"/>
  </r>
  <r>
    <x v="0"/>
    <x v="15"/>
    <x v="9"/>
    <x v="42"/>
    <x v="32"/>
    <x v="4"/>
    <n v="43.720938140999998"/>
  </r>
  <r>
    <x v="0"/>
    <x v="15"/>
    <x v="9"/>
    <x v="42"/>
    <x v="33"/>
    <x v="4"/>
    <n v="14.613526540000001"/>
  </r>
  <r>
    <x v="0"/>
    <x v="15"/>
    <x v="9"/>
    <x v="42"/>
    <x v="34"/>
    <x v="4"/>
    <n v="2.8904798610000002"/>
  </r>
  <r>
    <x v="0"/>
    <x v="15"/>
    <x v="9"/>
    <x v="42"/>
    <x v="35"/>
    <x v="4"/>
    <n v="21.165611070000001"/>
  </r>
  <r>
    <x v="0"/>
    <x v="15"/>
    <x v="9"/>
    <x v="42"/>
    <x v="36"/>
    <x v="4"/>
    <n v="27.730022334000001"/>
  </r>
  <r>
    <x v="0"/>
    <x v="15"/>
    <x v="9"/>
    <x v="42"/>
    <x v="37"/>
    <x v="4"/>
    <n v="191.42429734300001"/>
  </r>
  <r>
    <x v="0"/>
    <x v="15"/>
    <x v="9"/>
    <x v="42"/>
    <x v="38"/>
    <x v="4"/>
    <n v="0.54497186099999995"/>
  </r>
  <r>
    <x v="0"/>
    <x v="15"/>
    <x v="9"/>
    <x v="42"/>
    <x v="39"/>
    <x v="4"/>
    <n v="0.25143567900000002"/>
  </r>
  <r>
    <x v="0"/>
    <x v="15"/>
    <x v="9"/>
    <x v="42"/>
    <x v="40"/>
    <x v="4"/>
    <n v="0.36515859499999997"/>
  </r>
  <r>
    <x v="0"/>
    <x v="15"/>
    <x v="9"/>
    <x v="42"/>
    <x v="41"/>
    <x v="4"/>
    <n v="4.3963476139999997"/>
  </r>
  <r>
    <x v="0"/>
    <x v="15"/>
    <x v="9"/>
    <x v="42"/>
    <x v="42"/>
    <x v="4"/>
    <n v="-4.2330831480000004"/>
  </r>
  <r>
    <x v="0"/>
    <x v="15"/>
    <x v="9"/>
    <x v="42"/>
    <x v="43"/>
    <x v="4"/>
    <n v="0.96296108499999999"/>
  </r>
  <r>
    <x v="0"/>
    <x v="15"/>
    <x v="9"/>
    <x v="42"/>
    <x v="44"/>
    <x v="4"/>
    <n v="2.5964909509999998"/>
  </r>
  <r>
    <x v="0"/>
    <x v="15"/>
    <x v="9"/>
    <x v="42"/>
    <x v="45"/>
    <x v="4"/>
    <n v="-9.0659243E-2"/>
  </r>
  <r>
    <x v="0"/>
    <x v="15"/>
    <x v="10"/>
    <x v="42"/>
    <x v="0"/>
    <x v="4"/>
    <n v="0.65475921999999998"/>
  </r>
  <r>
    <x v="0"/>
    <x v="15"/>
    <x v="11"/>
    <x v="42"/>
    <x v="0"/>
    <x v="4"/>
    <n v="15.814060120000001"/>
  </r>
  <r>
    <x v="0"/>
    <x v="15"/>
    <x v="9"/>
    <x v="43"/>
    <x v="4"/>
    <x v="4"/>
    <n v="142.69434445499999"/>
  </r>
  <r>
    <x v="0"/>
    <x v="15"/>
    <x v="9"/>
    <x v="43"/>
    <x v="5"/>
    <x v="4"/>
    <n v="0.73124022700000002"/>
  </r>
  <r>
    <x v="0"/>
    <x v="15"/>
    <x v="9"/>
    <x v="43"/>
    <x v="6"/>
    <x v="4"/>
    <n v="0"/>
  </r>
  <r>
    <x v="0"/>
    <x v="15"/>
    <x v="9"/>
    <x v="43"/>
    <x v="7"/>
    <x v="4"/>
    <n v="0"/>
  </r>
  <r>
    <x v="0"/>
    <x v="15"/>
    <x v="9"/>
    <x v="43"/>
    <x v="8"/>
    <x v="4"/>
    <n v="0"/>
  </r>
  <r>
    <x v="0"/>
    <x v="15"/>
    <x v="9"/>
    <x v="43"/>
    <x v="9"/>
    <x v="4"/>
    <n v="322.73123377799999"/>
  </r>
  <r>
    <x v="0"/>
    <x v="15"/>
    <x v="9"/>
    <x v="43"/>
    <x v="10"/>
    <x v="4"/>
    <n v="3.0402001580000002"/>
  </r>
  <r>
    <x v="0"/>
    <x v="15"/>
    <x v="9"/>
    <x v="43"/>
    <x v="11"/>
    <x v="4"/>
    <n v="61.293674334999999"/>
  </r>
  <r>
    <x v="0"/>
    <x v="15"/>
    <x v="9"/>
    <x v="43"/>
    <x v="12"/>
    <x v="4"/>
    <n v="5.6034018479999999"/>
  </r>
  <r>
    <x v="0"/>
    <x v="15"/>
    <x v="9"/>
    <x v="43"/>
    <x v="13"/>
    <x v="4"/>
    <n v="10.533423497999999"/>
  </r>
  <r>
    <x v="0"/>
    <x v="15"/>
    <x v="9"/>
    <x v="43"/>
    <x v="14"/>
    <x v="4"/>
    <n v="20.547401578999999"/>
  </r>
  <r>
    <x v="0"/>
    <x v="15"/>
    <x v="9"/>
    <x v="43"/>
    <x v="15"/>
    <x v="4"/>
    <n v="41.465810197000003"/>
  </r>
  <r>
    <x v="0"/>
    <x v="15"/>
    <x v="9"/>
    <x v="43"/>
    <x v="16"/>
    <x v="4"/>
    <n v="2.7660399099999999"/>
  </r>
  <r>
    <x v="0"/>
    <x v="15"/>
    <x v="9"/>
    <x v="43"/>
    <x v="17"/>
    <x v="4"/>
    <n v="0"/>
  </r>
  <r>
    <x v="0"/>
    <x v="15"/>
    <x v="9"/>
    <x v="43"/>
    <x v="18"/>
    <x v="4"/>
    <n v="3.2637195550000002"/>
  </r>
  <r>
    <x v="0"/>
    <x v="15"/>
    <x v="9"/>
    <x v="43"/>
    <x v="19"/>
    <x v="4"/>
    <n v="0.86807854600000001"/>
  </r>
  <r>
    <x v="0"/>
    <x v="15"/>
    <x v="9"/>
    <x v="43"/>
    <x v="20"/>
    <x v="4"/>
    <n v="0.859793107"/>
  </r>
  <r>
    <x v="0"/>
    <x v="15"/>
    <x v="9"/>
    <x v="43"/>
    <x v="21"/>
    <x v="4"/>
    <n v="49.936060202"/>
  </r>
  <r>
    <x v="0"/>
    <x v="15"/>
    <x v="9"/>
    <x v="43"/>
    <x v="22"/>
    <x v="4"/>
    <n v="21.744126219999998"/>
  </r>
  <r>
    <x v="0"/>
    <x v="15"/>
    <x v="9"/>
    <x v="43"/>
    <x v="23"/>
    <x v="4"/>
    <n v="23.523250841999999"/>
  </r>
  <r>
    <x v="0"/>
    <x v="15"/>
    <x v="9"/>
    <x v="43"/>
    <x v="24"/>
    <x v="4"/>
    <n v="1.133370454"/>
  </r>
  <r>
    <x v="0"/>
    <x v="15"/>
    <x v="9"/>
    <x v="43"/>
    <x v="25"/>
    <x v="4"/>
    <n v="1.0923625459999999"/>
  </r>
  <r>
    <x v="0"/>
    <x v="15"/>
    <x v="9"/>
    <x v="43"/>
    <x v="26"/>
    <x v="4"/>
    <n v="0"/>
  </r>
  <r>
    <x v="0"/>
    <x v="15"/>
    <x v="9"/>
    <x v="43"/>
    <x v="27"/>
    <x v="4"/>
    <n v="0"/>
  </r>
  <r>
    <x v="0"/>
    <x v="15"/>
    <x v="9"/>
    <x v="43"/>
    <x v="28"/>
    <x v="4"/>
    <n v="10.750333905"/>
  </r>
  <r>
    <x v="0"/>
    <x v="15"/>
    <x v="9"/>
    <x v="43"/>
    <x v="29"/>
    <x v="4"/>
    <n v="9.2037901170000005"/>
  </r>
  <r>
    <x v="0"/>
    <x v="15"/>
    <x v="9"/>
    <x v="43"/>
    <x v="30"/>
    <x v="4"/>
    <n v="-4.8854725000000002E-2"/>
  </r>
  <r>
    <x v="0"/>
    <x v="15"/>
    <x v="9"/>
    <x v="43"/>
    <x v="31"/>
    <x v="4"/>
    <n v="0"/>
  </r>
  <r>
    <x v="0"/>
    <x v="15"/>
    <x v="9"/>
    <x v="43"/>
    <x v="32"/>
    <x v="4"/>
    <n v="48.781870519000002"/>
  </r>
  <r>
    <x v="0"/>
    <x v="15"/>
    <x v="9"/>
    <x v="43"/>
    <x v="33"/>
    <x v="4"/>
    <n v="13.525745891"/>
  </r>
  <r>
    <x v="0"/>
    <x v="15"/>
    <x v="9"/>
    <x v="43"/>
    <x v="34"/>
    <x v="4"/>
    <n v="-23.469701403999998"/>
  </r>
  <r>
    <x v="0"/>
    <x v="15"/>
    <x v="9"/>
    <x v="43"/>
    <x v="35"/>
    <x v="4"/>
    <n v="31.481706277000001"/>
  </r>
  <r>
    <x v="0"/>
    <x v="15"/>
    <x v="9"/>
    <x v="43"/>
    <x v="36"/>
    <x v="4"/>
    <n v="61.465249163000003"/>
  </r>
  <r>
    <x v="0"/>
    <x v="15"/>
    <x v="9"/>
    <x v="43"/>
    <x v="37"/>
    <x v="4"/>
    <n v="311.558470634"/>
  </r>
  <r>
    <x v="0"/>
    <x v="15"/>
    <x v="9"/>
    <x v="43"/>
    <x v="38"/>
    <x v="4"/>
    <n v="0.82994372599999999"/>
  </r>
  <r>
    <x v="0"/>
    <x v="15"/>
    <x v="9"/>
    <x v="43"/>
    <x v="39"/>
    <x v="4"/>
    <n v="-0.114559193"/>
  </r>
  <r>
    <x v="0"/>
    <x v="15"/>
    <x v="9"/>
    <x v="43"/>
    <x v="40"/>
    <x v="4"/>
    <n v="-1.03327349"/>
  </r>
  <r>
    <x v="0"/>
    <x v="15"/>
    <x v="9"/>
    <x v="43"/>
    <x v="41"/>
    <x v="4"/>
    <n v="-14.326803381"/>
  </r>
  <r>
    <x v="0"/>
    <x v="15"/>
    <x v="9"/>
    <x v="43"/>
    <x v="42"/>
    <x v="4"/>
    <n v="-32.602662350000003"/>
  </r>
  <r>
    <x v="0"/>
    <x v="15"/>
    <x v="9"/>
    <x v="43"/>
    <x v="43"/>
    <x v="4"/>
    <n v="-29.958128512999998"/>
  </r>
  <r>
    <x v="0"/>
    <x v="15"/>
    <x v="9"/>
    <x v="43"/>
    <x v="44"/>
    <x v="4"/>
    <n v="-1.8880928100000001"/>
  </r>
  <r>
    <x v="0"/>
    <x v="15"/>
    <x v="9"/>
    <x v="43"/>
    <x v="45"/>
    <x v="4"/>
    <n v="-2.0851269330000002"/>
  </r>
  <r>
    <x v="0"/>
    <x v="15"/>
    <x v="10"/>
    <x v="43"/>
    <x v="0"/>
    <x v="4"/>
    <n v="1.609650169"/>
  </r>
  <r>
    <x v="0"/>
    <x v="15"/>
    <x v="11"/>
    <x v="43"/>
    <x v="0"/>
    <x v="4"/>
    <n v="41.232765827999998"/>
  </r>
  <r>
    <x v="0"/>
    <x v="15"/>
    <x v="12"/>
    <x v="0"/>
    <x v="0"/>
    <x v="0"/>
    <n v="844.12783770500005"/>
  </r>
  <r>
    <x v="0"/>
    <x v="15"/>
    <x v="13"/>
    <x v="0"/>
    <x v="0"/>
    <x v="0"/>
    <n v="317.35981671000002"/>
  </r>
  <r>
    <x v="0"/>
    <x v="15"/>
    <x v="14"/>
    <x v="0"/>
    <x v="0"/>
    <x v="0"/>
    <n v="1.1279192"/>
  </r>
  <r>
    <x v="0"/>
    <x v="15"/>
    <x v="15"/>
    <x v="0"/>
    <x v="0"/>
    <x v="1"/>
    <n v="9.4924546999999998E-2"/>
  </r>
  <r>
    <x v="0"/>
    <x v="15"/>
    <x v="16"/>
    <x v="0"/>
    <x v="0"/>
    <x v="1"/>
    <n v="0.100879437"/>
  </r>
  <r>
    <x v="0"/>
    <x v="15"/>
    <x v="12"/>
    <x v="1"/>
    <x v="0"/>
    <x v="0"/>
    <n v="276.29791449099997"/>
  </r>
  <r>
    <x v="0"/>
    <x v="15"/>
    <x v="13"/>
    <x v="1"/>
    <x v="0"/>
    <x v="0"/>
    <n v="40.476797886999996"/>
  </r>
  <r>
    <x v="0"/>
    <x v="15"/>
    <x v="14"/>
    <x v="1"/>
    <x v="0"/>
    <x v="0"/>
    <n v="0.37265990399999999"/>
  </r>
  <r>
    <x v="0"/>
    <x v="15"/>
    <x v="15"/>
    <x v="1"/>
    <x v="0"/>
    <x v="1"/>
    <n v="5.4184215000000001E-2"/>
  </r>
  <r>
    <x v="0"/>
    <x v="15"/>
    <x v="16"/>
    <x v="1"/>
    <x v="0"/>
    <x v="1"/>
    <n v="5.5103125000000003E-2"/>
  </r>
  <r>
    <x v="0"/>
    <x v="15"/>
    <x v="12"/>
    <x v="2"/>
    <x v="0"/>
    <x v="0"/>
    <n v="365.55692346699999"/>
  </r>
  <r>
    <x v="0"/>
    <x v="15"/>
    <x v="13"/>
    <x v="2"/>
    <x v="0"/>
    <x v="0"/>
    <n v="110.8803901"/>
  </r>
  <r>
    <x v="0"/>
    <x v="15"/>
    <x v="14"/>
    <x v="2"/>
    <x v="0"/>
    <x v="0"/>
    <n v="2.9145340100000001"/>
  </r>
  <r>
    <x v="0"/>
    <x v="15"/>
    <x v="15"/>
    <x v="2"/>
    <x v="0"/>
    <x v="1"/>
    <n v="3.3901112999999997E-2"/>
  </r>
  <r>
    <x v="0"/>
    <x v="15"/>
    <x v="16"/>
    <x v="2"/>
    <x v="0"/>
    <x v="1"/>
    <n v="3.1028184E-2"/>
  </r>
  <r>
    <x v="0"/>
    <x v="15"/>
    <x v="12"/>
    <x v="3"/>
    <x v="0"/>
    <x v="0"/>
    <n v="160.00797462899999"/>
  </r>
  <r>
    <x v="0"/>
    <x v="15"/>
    <x v="13"/>
    <x v="3"/>
    <x v="0"/>
    <x v="0"/>
    <n v="87.678337240000005"/>
  </r>
  <r>
    <x v="0"/>
    <x v="15"/>
    <x v="14"/>
    <x v="3"/>
    <x v="0"/>
    <x v="0"/>
    <n v="0.36181759200000002"/>
  </r>
  <r>
    <x v="0"/>
    <x v="15"/>
    <x v="15"/>
    <x v="3"/>
    <x v="0"/>
    <x v="1"/>
    <n v="4.2940948999999999E-2"/>
  </r>
  <r>
    <x v="0"/>
    <x v="15"/>
    <x v="16"/>
    <x v="3"/>
    <x v="0"/>
    <x v="1"/>
    <n v="4.3257907999999998E-2"/>
  </r>
  <r>
    <x v="0"/>
    <x v="15"/>
    <x v="12"/>
    <x v="4"/>
    <x v="0"/>
    <x v="0"/>
    <n v="72.457523477999999"/>
  </r>
  <r>
    <x v="0"/>
    <x v="15"/>
    <x v="13"/>
    <x v="4"/>
    <x v="0"/>
    <x v="0"/>
    <n v="7.2686017749999996"/>
  </r>
  <r>
    <x v="0"/>
    <x v="15"/>
    <x v="14"/>
    <x v="4"/>
    <x v="0"/>
    <x v="0"/>
    <n v="0.59621803299999998"/>
  </r>
  <r>
    <x v="0"/>
    <x v="15"/>
    <x v="15"/>
    <x v="4"/>
    <x v="0"/>
    <x v="1"/>
    <n v="4.9300447999999997E-2"/>
  </r>
  <r>
    <x v="0"/>
    <x v="15"/>
    <x v="16"/>
    <x v="4"/>
    <x v="0"/>
    <x v="1"/>
    <n v="4.9700077000000002E-2"/>
  </r>
  <r>
    <x v="0"/>
    <x v="15"/>
    <x v="12"/>
    <x v="5"/>
    <x v="0"/>
    <x v="0"/>
    <n v="672.161054831"/>
  </r>
  <r>
    <x v="0"/>
    <x v="15"/>
    <x v="13"/>
    <x v="5"/>
    <x v="0"/>
    <x v="0"/>
    <n v="162.698108303"/>
  </r>
  <r>
    <x v="0"/>
    <x v="15"/>
    <x v="14"/>
    <x v="5"/>
    <x v="0"/>
    <x v="0"/>
    <n v="5.86055232"/>
  </r>
  <r>
    <x v="0"/>
    <x v="15"/>
    <x v="15"/>
    <x v="5"/>
    <x v="0"/>
    <x v="1"/>
    <n v="7.1691507000000002E-2"/>
  </r>
  <r>
    <x v="0"/>
    <x v="15"/>
    <x v="16"/>
    <x v="5"/>
    <x v="0"/>
    <x v="1"/>
    <n v="7.4036482000000001E-2"/>
  </r>
  <r>
    <x v="0"/>
    <x v="15"/>
    <x v="12"/>
    <x v="6"/>
    <x v="0"/>
    <x v="0"/>
    <n v="220.58933926899999"/>
  </r>
  <r>
    <x v="0"/>
    <x v="15"/>
    <x v="13"/>
    <x v="6"/>
    <x v="0"/>
    <x v="0"/>
    <n v="26.675262013000001"/>
  </r>
  <r>
    <x v="0"/>
    <x v="15"/>
    <x v="14"/>
    <x v="6"/>
    <x v="0"/>
    <x v="0"/>
    <n v="11.143525026000001"/>
  </r>
  <r>
    <x v="0"/>
    <x v="15"/>
    <x v="15"/>
    <x v="6"/>
    <x v="0"/>
    <x v="1"/>
    <n v="6.4929472000000002E-2"/>
  </r>
  <r>
    <x v="0"/>
    <x v="15"/>
    <x v="16"/>
    <x v="6"/>
    <x v="0"/>
    <x v="1"/>
    <n v="6.5913842E-2"/>
  </r>
  <r>
    <x v="0"/>
    <x v="15"/>
    <x v="12"/>
    <x v="7"/>
    <x v="0"/>
    <x v="0"/>
    <n v="118.551611115"/>
  </r>
  <r>
    <x v="0"/>
    <x v="15"/>
    <x v="13"/>
    <x v="7"/>
    <x v="0"/>
    <x v="0"/>
    <n v="41.579285884000001"/>
  </r>
  <r>
    <x v="0"/>
    <x v="15"/>
    <x v="14"/>
    <x v="7"/>
    <x v="0"/>
    <x v="0"/>
    <n v="22.874589687"/>
  </r>
  <r>
    <x v="0"/>
    <x v="15"/>
    <x v="15"/>
    <x v="7"/>
    <x v="0"/>
    <x v="1"/>
    <n v="6.7044263000000007E-2"/>
  </r>
  <r>
    <x v="0"/>
    <x v="15"/>
    <x v="16"/>
    <x v="7"/>
    <x v="0"/>
    <x v="1"/>
    <n v="7.0034530999999997E-2"/>
  </r>
  <r>
    <x v="0"/>
    <x v="15"/>
    <x v="12"/>
    <x v="8"/>
    <x v="0"/>
    <x v="0"/>
    <n v="93.085333547999994"/>
  </r>
  <r>
    <x v="0"/>
    <x v="15"/>
    <x v="13"/>
    <x v="8"/>
    <x v="0"/>
    <x v="0"/>
    <n v="11.157348761"/>
  </r>
  <r>
    <x v="0"/>
    <x v="15"/>
    <x v="14"/>
    <x v="8"/>
    <x v="0"/>
    <x v="0"/>
    <n v="8.7083984609999998"/>
  </r>
  <r>
    <x v="0"/>
    <x v="15"/>
    <x v="15"/>
    <x v="8"/>
    <x v="0"/>
    <x v="1"/>
    <n v="6.0347733000000001E-2"/>
  </r>
  <r>
    <x v="0"/>
    <x v="15"/>
    <x v="16"/>
    <x v="8"/>
    <x v="0"/>
    <x v="1"/>
    <n v="6.1205309999999999E-2"/>
  </r>
  <r>
    <x v="0"/>
    <x v="15"/>
    <x v="12"/>
    <x v="9"/>
    <x v="0"/>
    <x v="0"/>
    <n v="259.98033133299998"/>
  </r>
  <r>
    <x v="0"/>
    <x v="15"/>
    <x v="13"/>
    <x v="9"/>
    <x v="0"/>
    <x v="0"/>
    <n v="41.721988543999998"/>
  </r>
  <r>
    <x v="0"/>
    <x v="15"/>
    <x v="14"/>
    <x v="9"/>
    <x v="0"/>
    <x v="0"/>
    <n v="20.979738568999998"/>
  </r>
  <r>
    <x v="0"/>
    <x v="15"/>
    <x v="15"/>
    <x v="9"/>
    <x v="0"/>
    <x v="1"/>
    <n v="5.3377342000000001E-2"/>
  </r>
  <r>
    <x v="0"/>
    <x v="15"/>
    <x v="16"/>
    <x v="9"/>
    <x v="0"/>
    <x v="1"/>
    <n v="5.4190481999999998E-2"/>
  </r>
  <r>
    <x v="0"/>
    <x v="15"/>
    <x v="12"/>
    <x v="10"/>
    <x v="0"/>
    <x v="0"/>
    <n v="416.18894855899998"/>
  </r>
  <r>
    <x v="0"/>
    <x v="15"/>
    <x v="13"/>
    <x v="10"/>
    <x v="0"/>
    <x v="0"/>
    <n v="39.124071467"/>
  </r>
  <r>
    <x v="0"/>
    <x v="15"/>
    <x v="14"/>
    <x v="10"/>
    <x v="0"/>
    <x v="0"/>
    <n v="7.9869775660000002"/>
  </r>
  <r>
    <x v="0"/>
    <x v="15"/>
    <x v="15"/>
    <x v="10"/>
    <x v="0"/>
    <x v="1"/>
    <n v="3.7884695000000003E-2"/>
  </r>
  <r>
    <x v="0"/>
    <x v="15"/>
    <x v="16"/>
    <x v="10"/>
    <x v="0"/>
    <x v="1"/>
    <n v="3.7630709999999998E-2"/>
  </r>
  <r>
    <x v="0"/>
    <x v="15"/>
    <x v="12"/>
    <x v="11"/>
    <x v="0"/>
    <x v="0"/>
    <n v="1081.4564590320001"/>
  </r>
  <r>
    <x v="0"/>
    <x v="15"/>
    <x v="13"/>
    <x v="11"/>
    <x v="0"/>
    <x v="0"/>
    <n v="224.26187821299999"/>
  </r>
  <r>
    <x v="0"/>
    <x v="15"/>
    <x v="14"/>
    <x v="11"/>
    <x v="0"/>
    <x v="0"/>
    <n v="44.537646330999998"/>
  </r>
  <r>
    <x v="0"/>
    <x v="15"/>
    <x v="15"/>
    <x v="11"/>
    <x v="0"/>
    <x v="1"/>
    <n v="4.6315402999999998E-2"/>
  </r>
  <r>
    <x v="0"/>
    <x v="15"/>
    <x v="16"/>
    <x v="11"/>
    <x v="0"/>
    <x v="1"/>
    <n v="4.6766357000000001E-2"/>
  </r>
  <r>
    <x v="0"/>
    <x v="15"/>
    <x v="12"/>
    <x v="12"/>
    <x v="0"/>
    <x v="0"/>
    <n v="267.78708546000001"/>
  </r>
  <r>
    <x v="0"/>
    <x v="15"/>
    <x v="13"/>
    <x v="12"/>
    <x v="0"/>
    <x v="0"/>
    <n v="8.0287344009999995"/>
  </r>
  <r>
    <x v="0"/>
    <x v="15"/>
    <x v="14"/>
    <x v="12"/>
    <x v="0"/>
    <x v="0"/>
    <n v="9.6841077280000007"/>
  </r>
  <r>
    <x v="0"/>
    <x v="15"/>
    <x v="15"/>
    <x v="12"/>
    <x v="0"/>
    <x v="1"/>
    <n v="4.6982566000000003E-2"/>
  </r>
  <r>
    <x v="0"/>
    <x v="15"/>
    <x v="16"/>
    <x v="12"/>
    <x v="0"/>
    <x v="1"/>
    <n v="4.7057580000000002E-2"/>
  </r>
  <r>
    <x v="0"/>
    <x v="15"/>
    <x v="12"/>
    <x v="13"/>
    <x v="0"/>
    <x v="0"/>
    <n v="776.75179431799995"/>
  </r>
  <r>
    <x v="0"/>
    <x v="15"/>
    <x v="13"/>
    <x v="13"/>
    <x v="0"/>
    <x v="0"/>
    <n v="83.275409651999993"/>
  </r>
  <r>
    <x v="0"/>
    <x v="15"/>
    <x v="14"/>
    <x v="13"/>
    <x v="0"/>
    <x v="0"/>
    <n v="24.461829414"/>
  </r>
  <r>
    <x v="0"/>
    <x v="15"/>
    <x v="15"/>
    <x v="13"/>
    <x v="0"/>
    <x v="1"/>
    <n v="3.8652312000000001E-2"/>
  </r>
  <r>
    <x v="0"/>
    <x v="15"/>
    <x v="16"/>
    <x v="13"/>
    <x v="0"/>
    <x v="1"/>
    <n v="3.8419732999999998E-2"/>
  </r>
  <r>
    <x v="0"/>
    <x v="15"/>
    <x v="12"/>
    <x v="14"/>
    <x v="0"/>
    <x v="0"/>
    <n v="198.32667915100001"/>
  </r>
  <r>
    <x v="0"/>
    <x v="15"/>
    <x v="13"/>
    <x v="14"/>
    <x v="0"/>
    <x v="0"/>
    <n v="11.106829563"/>
  </r>
  <r>
    <x v="0"/>
    <x v="15"/>
    <x v="14"/>
    <x v="14"/>
    <x v="0"/>
    <x v="0"/>
    <n v="18.055174000000001"/>
  </r>
  <r>
    <x v="0"/>
    <x v="15"/>
    <x v="15"/>
    <x v="14"/>
    <x v="0"/>
    <x v="1"/>
    <n v="4.4992335000000001E-2"/>
  </r>
  <r>
    <x v="0"/>
    <x v="15"/>
    <x v="16"/>
    <x v="14"/>
    <x v="0"/>
    <x v="1"/>
    <n v="4.5076395999999998E-2"/>
  </r>
  <r>
    <x v="0"/>
    <x v="15"/>
    <x v="12"/>
    <x v="15"/>
    <x v="0"/>
    <x v="0"/>
    <n v="204.66032891099999"/>
  </r>
  <r>
    <x v="0"/>
    <x v="15"/>
    <x v="13"/>
    <x v="15"/>
    <x v="0"/>
    <x v="0"/>
    <n v="72.125613999999999"/>
  </r>
  <r>
    <x v="0"/>
    <x v="15"/>
    <x v="14"/>
    <x v="15"/>
    <x v="0"/>
    <x v="0"/>
    <n v="25.352465810999998"/>
  </r>
  <r>
    <x v="0"/>
    <x v="15"/>
    <x v="15"/>
    <x v="15"/>
    <x v="0"/>
    <x v="1"/>
    <n v="4.8329506000000001E-2"/>
  </r>
  <r>
    <x v="0"/>
    <x v="15"/>
    <x v="16"/>
    <x v="15"/>
    <x v="0"/>
    <x v="1"/>
    <n v="4.9422883000000001E-2"/>
  </r>
  <r>
    <x v="0"/>
    <x v="15"/>
    <x v="12"/>
    <x v="16"/>
    <x v="0"/>
    <x v="0"/>
    <n v="129.32162170800001"/>
  </r>
  <r>
    <x v="0"/>
    <x v="15"/>
    <x v="13"/>
    <x v="16"/>
    <x v="0"/>
    <x v="0"/>
    <n v="61.432886881000002"/>
  </r>
  <r>
    <x v="0"/>
    <x v="15"/>
    <x v="14"/>
    <x v="16"/>
    <x v="0"/>
    <x v="0"/>
    <n v="11.876812975"/>
  </r>
  <r>
    <x v="0"/>
    <x v="15"/>
    <x v="15"/>
    <x v="16"/>
    <x v="0"/>
    <x v="1"/>
    <n v="5.0374097E-2"/>
  </r>
  <r>
    <x v="0"/>
    <x v="15"/>
    <x v="16"/>
    <x v="16"/>
    <x v="0"/>
    <x v="1"/>
    <n v="5.2233139999999997E-2"/>
  </r>
  <r>
    <x v="0"/>
    <x v="15"/>
    <x v="12"/>
    <x v="17"/>
    <x v="0"/>
    <x v="0"/>
    <n v="318.14813485399998"/>
  </r>
  <r>
    <x v="0"/>
    <x v="15"/>
    <x v="13"/>
    <x v="17"/>
    <x v="0"/>
    <x v="0"/>
    <n v="102.95658978199999"/>
  </r>
  <r>
    <x v="0"/>
    <x v="15"/>
    <x v="14"/>
    <x v="17"/>
    <x v="0"/>
    <x v="0"/>
    <n v="19.660945741999999"/>
  </r>
  <r>
    <x v="0"/>
    <x v="15"/>
    <x v="15"/>
    <x v="17"/>
    <x v="0"/>
    <x v="1"/>
    <n v="5.0568713000000001E-2"/>
  </r>
  <r>
    <x v="0"/>
    <x v="15"/>
    <x v="16"/>
    <x v="17"/>
    <x v="0"/>
    <x v="1"/>
    <n v="5.1849158999999999E-2"/>
  </r>
  <r>
    <x v="0"/>
    <x v="15"/>
    <x v="12"/>
    <x v="18"/>
    <x v="0"/>
    <x v="0"/>
    <n v="253.184687164"/>
  </r>
  <r>
    <x v="0"/>
    <x v="15"/>
    <x v="13"/>
    <x v="18"/>
    <x v="0"/>
    <x v="0"/>
    <n v="56.534184824999997"/>
  </r>
  <r>
    <x v="0"/>
    <x v="15"/>
    <x v="14"/>
    <x v="18"/>
    <x v="0"/>
    <x v="0"/>
    <n v="43.617889718999997"/>
  </r>
  <r>
    <x v="0"/>
    <x v="15"/>
    <x v="15"/>
    <x v="18"/>
    <x v="0"/>
    <x v="1"/>
    <n v="4.5698423000000002E-2"/>
  </r>
  <r>
    <x v="0"/>
    <x v="15"/>
    <x v="16"/>
    <x v="18"/>
    <x v="0"/>
    <x v="1"/>
    <n v="4.6109237999999997E-2"/>
  </r>
  <r>
    <x v="0"/>
    <x v="15"/>
    <x v="12"/>
    <x v="19"/>
    <x v="0"/>
    <x v="0"/>
    <n v="252.36814015499999"/>
  </r>
  <r>
    <x v="0"/>
    <x v="15"/>
    <x v="13"/>
    <x v="19"/>
    <x v="0"/>
    <x v="0"/>
    <n v="323.83049794900001"/>
  </r>
  <r>
    <x v="0"/>
    <x v="15"/>
    <x v="14"/>
    <x v="19"/>
    <x v="0"/>
    <x v="0"/>
    <n v="110.42974676999999"/>
  </r>
  <r>
    <x v="0"/>
    <x v="15"/>
    <x v="15"/>
    <x v="19"/>
    <x v="0"/>
    <x v="1"/>
    <n v="4.700613E-2"/>
  </r>
  <r>
    <x v="0"/>
    <x v="15"/>
    <x v="16"/>
    <x v="19"/>
    <x v="0"/>
    <x v="1"/>
    <n v="5.0272023999999998E-2"/>
  </r>
  <r>
    <x v="0"/>
    <x v="15"/>
    <x v="12"/>
    <x v="20"/>
    <x v="0"/>
    <x v="0"/>
    <n v="41.565511305000001"/>
  </r>
  <r>
    <x v="0"/>
    <x v="15"/>
    <x v="13"/>
    <x v="20"/>
    <x v="0"/>
    <x v="0"/>
    <n v="46.387519660999999"/>
  </r>
  <r>
    <x v="0"/>
    <x v="15"/>
    <x v="14"/>
    <x v="20"/>
    <x v="0"/>
    <x v="0"/>
    <n v="8.9018895659999995"/>
  </r>
  <r>
    <x v="0"/>
    <x v="15"/>
    <x v="15"/>
    <x v="20"/>
    <x v="0"/>
    <x v="1"/>
    <n v="4.5286327000000001E-2"/>
  </r>
  <r>
    <x v="0"/>
    <x v="15"/>
    <x v="16"/>
    <x v="20"/>
    <x v="0"/>
    <x v="1"/>
    <n v="4.736667E-2"/>
  </r>
  <r>
    <x v="0"/>
    <x v="15"/>
    <x v="12"/>
    <x v="21"/>
    <x v="0"/>
    <x v="0"/>
    <n v="18.203381955000001"/>
  </r>
  <r>
    <x v="0"/>
    <x v="15"/>
    <x v="13"/>
    <x v="21"/>
    <x v="0"/>
    <x v="0"/>
    <n v="1.010883824"/>
  </r>
  <r>
    <x v="0"/>
    <x v="15"/>
    <x v="14"/>
    <x v="21"/>
    <x v="0"/>
    <x v="0"/>
    <n v="1.6026159529999999"/>
  </r>
  <r>
    <x v="0"/>
    <x v="15"/>
    <x v="15"/>
    <x v="21"/>
    <x v="0"/>
    <x v="1"/>
    <n v="5.6287773999999999E-2"/>
  </r>
  <r>
    <x v="0"/>
    <x v="15"/>
    <x v="16"/>
    <x v="21"/>
    <x v="0"/>
    <x v="1"/>
    <n v="5.6616090000000001E-2"/>
  </r>
  <r>
    <x v="0"/>
    <x v="15"/>
    <x v="12"/>
    <x v="22"/>
    <x v="0"/>
    <x v="0"/>
    <n v="94.595187828999997"/>
  </r>
  <r>
    <x v="0"/>
    <x v="15"/>
    <x v="13"/>
    <x v="22"/>
    <x v="0"/>
    <x v="0"/>
    <n v="1.391590871"/>
  </r>
  <r>
    <x v="0"/>
    <x v="15"/>
    <x v="14"/>
    <x v="22"/>
    <x v="0"/>
    <x v="0"/>
    <n v="5.5444183520000001"/>
  </r>
  <r>
    <x v="0"/>
    <x v="15"/>
    <x v="15"/>
    <x v="22"/>
    <x v="0"/>
    <x v="1"/>
    <n v="1.120935E-2"/>
  </r>
  <r>
    <x v="0"/>
    <x v="15"/>
    <x v="16"/>
    <x v="22"/>
    <x v="0"/>
    <x v="1"/>
    <n v="9.4387180000000005E-3"/>
  </r>
  <r>
    <x v="0"/>
    <x v="15"/>
    <x v="12"/>
    <x v="23"/>
    <x v="0"/>
    <x v="0"/>
    <n v="8.9833219189999998"/>
  </r>
  <r>
    <x v="0"/>
    <x v="15"/>
    <x v="13"/>
    <x v="23"/>
    <x v="0"/>
    <x v="0"/>
    <n v="0"/>
  </r>
  <r>
    <x v="0"/>
    <x v="15"/>
    <x v="14"/>
    <x v="23"/>
    <x v="0"/>
    <x v="0"/>
    <n v="0"/>
  </r>
  <r>
    <x v="0"/>
    <x v="15"/>
    <x v="15"/>
    <x v="23"/>
    <x v="0"/>
    <x v="1"/>
    <n v="5.3934652999999999E-2"/>
  </r>
  <r>
    <x v="0"/>
    <x v="15"/>
    <x v="16"/>
    <x v="23"/>
    <x v="0"/>
    <x v="1"/>
    <n v="5.3934652999999999E-2"/>
  </r>
  <r>
    <x v="0"/>
    <x v="15"/>
    <x v="12"/>
    <x v="24"/>
    <x v="0"/>
    <x v="0"/>
    <n v="471.81002629599999"/>
  </r>
  <r>
    <x v="0"/>
    <x v="15"/>
    <x v="13"/>
    <x v="24"/>
    <x v="0"/>
    <x v="0"/>
    <n v="0.32633047900000001"/>
  </r>
  <r>
    <x v="0"/>
    <x v="15"/>
    <x v="14"/>
    <x v="24"/>
    <x v="0"/>
    <x v="0"/>
    <n v="0.43137108000000002"/>
  </r>
  <r>
    <x v="0"/>
    <x v="15"/>
    <x v="15"/>
    <x v="24"/>
    <x v="0"/>
    <x v="1"/>
    <n v="4.1520205999999997E-2"/>
  </r>
  <r>
    <x v="0"/>
    <x v="15"/>
    <x v="16"/>
    <x v="24"/>
    <x v="0"/>
    <x v="1"/>
    <n v="4.1519960000000002E-2"/>
  </r>
  <r>
    <x v="0"/>
    <x v="15"/>
    <x v="12"/>
    <x v="25"/>
    <x v="0"/>
    <x v="0"/>
    <n v="24.052848583999999"/>
  </r>
  <r>
    <x v="0"/>
    <x v="15"/>
    <x v="13"/>
    <x v="25"/>
    <x v="0"/>
    <x v="0"/>
    <n v="1.8900000000000001E-7"/>
  </r>
  <r>
    <x v="0"/>
    <x v="15"/>
    <x v="14"/>
    <x v="25"/>
    <x v="0"/>
    <x v="0"/>
    <n v="0"/>
  </r>
  <r>
    <x v="0"/>
    <x v="15"/>
    <x v="15"/>
    <x v="25"/>
    <x v="0"/>
    <x v="1"/>
    <n v="3.7510675E-2"/>
  </r>
  <r>
    <x v="0"/>
    <x v="15"/>
    <x v="16"/>
    <x v="25"/>
    <x v="0"/>
    <x v="1"/>
    <n v="3.7510675E-2"/>
  </r>
  <r>
    <x v="0"/>
    <x v="15"/>
    <x v="12"/>
    <x v="26"/>
    <x v="0"/>
    <x v="0"/>
    <n v="11.818472377000001"/>
  </r>
  <r>
    <x v="0"/>
    <x v="15"/>
    <x v="13"/>
    <x v="26"/>
    <x v="0"/>
    <x v="0"/>
    <n v="0"/>
  </r>
  <r>
    <x v="0"/>
    <x v="15"/>
    <x v="14"/>
    <x v="26"/>
    <x v="0"/>
    <x v="0"/>
    <n v="0"/>
  </r>
  <r>
    <x v="0"/>
    <x v="15"/>
    <x v="15"/>
    <x v="26"/>
    <x v="0"/>
    <x v="1"/>
    <n v="5.3351716E-2"/>
  </r>
  <r>
    <x v="0"/>
    <x v="15"/>
    <x v="16"/>
    <x v="26"/>
    <x v="0"/>
    <x v="1"/>
    <n v="5.3351716E-2"/>
  </r>
  <r>
    <x v="0"/>
    <x v="15"/>
    <x v="12"/>
    <x v="27"/>
    <x v="0"/>
    <x v="0"/>
    <n v="484.95873470399999"/>
  </r>
  <r>
    <x v="0"/>
    <x v="15"/>
    <x v="13"/>
    <x v="27"/>
    <x v="0"/>
    <x v="0"/>
    <n v="4.814646518"/>
  </r>
  <r>
    <x v="0"/>
    <x v="15"/>
    <x v="14"/>
    <x v="27"/>
    <x v="0"/>
    <x v="0"/>
    <n v="1.8571440779999999"/>
  </r>
  <r>
    <x v="0"/>
    <x v="15"/>
    <x v="15"/>
    <x v="27"/>
    <x v="0"/>
    <x v="1"/>
    <n v="6.1120384999999999E-2"/>
  </r>
  <r>
    <x v="0"/>
    <x v="15"/>
    <x v="16"/>
    <x v="27"/>
    <x v="0"/>
    <x v="1"/>
    <n v="6.1195270000000003E-2"/>
  </r>
  <r>
    <x v="0"/>
    <x v="15"/>
    <x v="12"/>
    <x v="28"/>
    <x v="0"/>
    <x v="0"/>
    <n v="631.21688620999998"/>
  </r>
  <r>
    <x v="0"/>
    <x v="15"/>
    <x v="13"/>
    <x v="28"/>
    <x v="0"/>
    <x v="0"/>
    <n v="0"/>
  </r>
  <r>
    <x v="0"/>
    <x v="15"/>
    <x v="14"/>
    <x v="28"/>
    <x v="0"/>
    <x v="0"/>
    <n v="79.535914888999997"/>
  </r>
  <r>
    <x v="0"/>
    <x v="15"/>
    <x v="15"/>
    <x v="28"/>
    <x v="0"/>
    <x v="1"/>
    <n v="4.2857008000000002E-2"/>
  </r>
  <r>
    <x v="0"/>
    <x v="15"/>
    <x v="16"/>
    <x v="28"/>
    <x v="0"/>
    <x v="1"/>
    <n v="4.2857008000000002E-2"/>
  </r>
  <r>
    <x v="0"/>
    <x v="15"/>
    <x v="12"/>
    <x v="29"/>
    <x v="0"/>
    <x v="0"/>
    <n v="600.72546549200001"/>
  </r>
  <r>
    <x v="0"/>
    <x v="15"/>
    <x v="13"/>
    <x v="29"/>
    <x v="0"/>
    <x v="0"/>
    <n v="63.082013846999999"/>
  </r>
  <r>
    <x v="0"/>
    <x v="15"/>
    <x v="14"/>
    <x v="29"/>
    <x v="0"/>
    <x v="0"/>
    <n v="27.623263992999998"/>
  </r>
  <r>
    <x v="0"/>
    <x v="15"/>
    <x v="15"/>
    <x v="29"/>
    <x v="0"/>
    <x v="1"/>
    <n v="4.7683376E-2"/>
  </r>
  <r>
    <x v="0"/>
    <x v="15"/>
    <x v="16"/>
    <x v="29"/>
    <x v="0"/>
    <x v="1"/>
    <n v="4.8003564999999998E-2"/>
  </r>
  <r>
    <x v="0"/>
    <x v="15"/>
    <x v="12"/>
    <x v="30"/>
    <x v="0"/>
    <x v="0"/>
    <n v="154.637577497"/>
  </r>
  <r>
    <x v="0"/>
    <x v="15"/>
    <x v="13"/>
    <x v="30"/>
    <x v="0"/>
    <x v="0"/>
    <n v="42.465132388000001"/>
  </r>
  <r>
    <x v="0"/>
    <x v="15"/>
    <x v="14"/>
    <x v="30"/>
    <x v="0"/>
    <x v="0"/>
    <n v="1.1090324309999999"/>
  </r>
  <r>
    <x v="0"/>
    <x v="15"/>
    <x v="15"/>
    <x v="30"/>
    <x v="0"/>
    <x v="1"/>
    <n v="7.3908688E-2"/>
  </r>
  <r>
    <x v="0"/>
    <x v="15"/>
    <x v="16"/>
    <x v="30"/>
    <x v="0"/>
    <x v="1"/>
    <n v="7.6964088999999999E-2"/>
  </r>
  <r>
    <x v="0"/>
    <x v="15"/>
    <x v="12"/>
    <x v="31"/>
    <x v="0"/>
    <x v="0"/>
    <n v="213.73766179"/>
  </r>
  <r>
    <x v="0"/>
    <x v="15"/>
    <x v="13"/>
    <x v="31"/>
    <x v="0"/>
    <x v="0"/>
    <n v="8.7315327790000001"/>
  </r>
  <r>
    <x v="0"/>
    <x v="15"/>
    <x v="14"/>
    <x v="31"/>
    <x v="0"/>
    <x v="0"/>
    <n v="7.4338861539999996"/>
  </r>
  <r>
    <x v="0"/>
    <x v="15"/>
    <x v="15"/>
    <x v="31"/>
    <x v="0"/>
    <x v="1"/>
    <n v="3.8670321000000001E-2"/>
  </r>
  <r>
    <x v="0"/>
    <x v="15"/>
    <x v="16"/>
    <x v="31"/>
    <x v="0"/>
    <x v="1"/>
    <n v="3.8568367999999999E-2"/>
  </r>
  <r>
    <x v="0"/>
    <x v="15"/>
    <x v="12"/>
    <x v="32"/>
    <x v="0"/>
    <x v="0"/>
    <n v="751.62213362600005"/>
  </r>
  <r>
    <x v="0"/>
    <x v="15"/>
    <x v="13"/>
    <x v="32"/>
    <x v="0"/>
    <x v="0"/>
    <n v="4.839848194"/>
  </r>
  <r>
    <x v="0"/>
    <x v="15"/>
    <x v="14"/>
    <x v="32"/>
    <x v="0"/>
    <x v="0"/>
    <n v="3.5892603009999999"/>
  </r>
  <r>
    <x v="0"/>
    <x v="15"/>
    <x v="15"/>
    <x v="32"/>
    <x v="0"/>
    <x v="1"/>
    <n v="3.7527093999999997E-2"/>
  </r>
  <r>
    <x v="0"/>
    <x v="15"/>
    <x v="16"/>
    <x v="32"/>
    <x v="0"/>
    <x v="1"/>
    <n v="3.7503321999999999E-2"/>
  </r>
  <r>
    <x v="0"/>
    <x v="15"/>
    <x v="12"/>
    <x v="33"/>
    <x v="0"/>
    <x v="0"/>
    <n v="647.91976545399996"/>
  </r>
  <r>
    <x v="0"/>
    <x v="15"/>
    <x v="13"/>
    <x v="33"/>
    <x v="0"/>
    <x v="0"/>
    <n v="0"/>
  </r>
  <r>
    <x v="0"/>
    <x v="15"/>
    <x v="14"/>
    <x v="33"/>
    <x v="0"/>
    <x v="0"/>
    <n v="0"/>
  </r>
  <r>
    <x v="0"/>
    <x v="15"/>
    <x v="15"/>
    <x v="33"/>
    <x v="0"/>
    <x v="1"/>
    <n v="2.3015747999999999E-2"/>
  </r>
  <r>
    <x v="0"/>
    <x v="15"/>
    <x v="16"/>
    <x v="33"/>
    <x v="0"/>
    <x v="1"/>
    <n v="2.3015747999999999E-2"/>
  </r>
  <r>
    <x v="0"/>
    <x v="15"/>
    <x v="12"/>
    <x v="34"/>
    <x v="0"/>
    <x v="0"/>
    <n v="352.08194381599998"/>
  </r>
  <r>
    <x v="0"/>
    <x v="15"/>
    <x v="13"/>
    <x v="34"/>
    <x v="0"/>
    <x v="0"/>
    <n v="65.827377311999996"/>
  </r>
  <r>
    <x v="0"/>
    <x v="15"/>
    <x v="14"/>
    <x v="34"/>
    <x v="0"/>
    <x v="0"/>
    <n v="17.620261916"/>
  </r>
  <r>
    <x v="0"/>
    <x v="15"/>
    <x v="15"/>
    <x v="34"/>
    <x v="0"/>
    <x v="1"/>
    <n v="5.0899385999999998E-2"/>
  </r>
  <r>
    <x v="0"/>
    <x v="15"/>
    <x v="16"/>
    <x v="34"/>
    <x v="0"/>
    <x v="1"/>
    <n v="5.1722035E-2"/>
  </r>
  <r>
    <x v="0"/>
    <x v="15"/>
    <x v="12"/>
    <x v="35"/>
    <x v="0"/>
    <x v="0"/>
    <n v="295.02339881"/>
  </r>
  <r>
    <x v="0"/>
    <x v="15"/>
    <x v="13"/>
    <x v="35"/>
    <x v="0"/>
    <x v="0"/>
    <n v="7.0818379589999996"/>
  </r>
  <r>
    <x v="0"/>
    <x v="15"/>
    <x v="14"/>
    <x v="35"/>
    <x v="0"/>
    <x v="0"/>
    <n v="0.110265601"/>
  </r>
  <r>
    <x v="0"/>
    <x v="15"/>
    <x v="15"/>
    <x v="35"/>
    <x v="0"/>
    <x v="1"/>
    <n v="5.4661157000000002E-2"/>
  </r>
  <r>
    <x v="0"/>
    <x v="15"/>
    <x v="16"/>
    <x v="35"/>
    <x v="0"/>
    <x v="1"/>
    <n v="5.4803339999999999E-2"/>
  </r>
  <r>
    <x v="0"/>
    <x v="15"/>
    <x v="12"/>
    <x v="36"/>
    <x v="0"/>
    <x v="0"/>
    <n v="97.811950940000003"/>
  </r>
  <r>
    <x v="0"/>
    <x v="15"/>
    <x v="13"/>
    <x v="36"/>
    <x v="0"/>
    <x v="0"/>
    <n v="15.787129288999999"/>
  </r>
  <r>
    <x v="0"/>
    <x v="15"/>
    <x v="14"/>
    <x v="36"/>
    <x v="0"/>
    <x v="0"/>
    <n v="0.46449410600000002"/>
  </r>
  <r>
    <x v="0"/>
    <x v="15"/>
    <x v="15"/>
    <x v="36"/>
    <x v="0"/>
    <x v="1"/>
    <n v="6.1909543999999997E-2"/>
  </r>
  <r>
    <x v="0"/>
    <x v="15"/>
    <x v="16"/>
    <x v="36"/>
    <x v="0"/>
    <x v="1"/>
    <n v="6.3267688000000002E-2"/>
  </r>
  <r>
    <x v="0"/>
    <x v="15"/>
    <x v="12"/>
    <x v="37"/>
    <x v="0"/>
    <x v="0"/>
    <n v="111.52344205599999"/>
  </r>
  <r>
    <x v="0"/>
    <x v="15"/>
    <x v="13"/>
    <x v="37"/>
    <x v="0"/>
    <x v="0"/>
    <n v="3.7112493259999999"/>
  </r>
  <r>
    <x v="0"/>
    <x v="15"/>
    <x v="14"/>
    <x v="37"/>
    <x v="0"/>
    <x v="0"/>
    <n v="0.301962913"/>
  </r>
  <r>
    <x v="0"/>
    <x v="15"/>
    <x v="15"/>
    <x v="37"/>
    <x v="0"/>
    <x v="1"/>
    <n v="6.7541067999999996E-2"/>
  </r>
  <r>
    <x v="0"/>
    <x v="15"/>
    <x v="16"/>
    <x v="37"/>
    <x v="0"/>
    <x v="1"/>
    <n v="6.7896308000000002E-2"/>
  </r>
  <r>
    <x v="0"/>
    <x v="15"/>
    <x v="12"/>
    <x v="38"/>
    <x v="0"/>
    <x v="0"/>
    <n v="352.65255639399999"/>
  </r>
  <r>
    <x v="0"/>
    <x v="15"/>
    <x v="13"/>
    <x v="38"/>
    <x v="0"/>
    <x v="0"/>
    <n v="17.438023625"/>
  </r>
  <r>
    <x v="0"/>
    <x v="15"/>
    <x v="14"/>
    <x v="38"/>
    <x v="0"/>
    <x v="0"/>
    <n v="0.10518739100000001"/>
  </r>
  <r>
    <x v="0"/>
    <x v="15"/>
    <x v="15"/>
    <x v="38"/>
    <x v="0"/>
    <x v="1"/>
    <n v="9.7801174000000005E-2"/>
  </r>
  <r>
    <x v="0"/>
    <x v="15"/>
    <x v="16"/>
    <x v="38"/>
    <x v="0"/>
    <x v="1"/>
    <n v="9.8730268999999996E-2"/>
  </r>
  <r>
    <x v="0"/>
    <x v="15"/>
    <x v="12"/>
    <x v="39"/>
    <x v="0"/>
    <x v="0"/>
    <n v="182.18585791800001"/>
  </r>
  <r>
    <x v="0"/>
    <x v="15"/>
    <x v="13"/>
    <x v="39"/>
    <x v="0"/>
    <x v="0"/>
    <n v="6.7138400239999996"/>
  </r>
  <r>
    <x v="0"/>
    <x v="15"/>
    <x v="14"/>
    <x v="39"/>
    <x v="0"/>
    <x v="0"/>
    <n v="0.102441825"/>
  </r>
  <r>
    <x v="0"/>
    <x v="15"/>
    <x v="15"/>
    <x v="39"/>
    <x v="0"/>
    <x v="1"/>
    <n v="8.0003548999999993E-2"/>
  </r>
  <r>
    <x v="0"/>
    <x v="15"/>
    <x v="16"/>
    <x v="39"/>
    <x v="0"/>
    <x v="1"/>
    <n v="8.0470300999999994E-2"/>
  </r>
  <r>
    <x v="0"/>
    <x v="15"/>
    <x v="12"/>
    <x v="40"/>
    <x v="0"/>
    <x v="0"/>
    <n v="68.550527144"/>
  </r>
  <r>
    <x v="0"/>
    <x v="15"/>
    <x v="13"/>
    <x v="40"/>
    <x v="0"/>
    <x v="0"/>
    <n v="39.931473085999997"/>
  </r>
  <r>
    <x v="0"/>
    <x v="15"/>
    <x v="14"/>
    <x v="40"/>
    <x v="0"/>
    <x v="0"/>
    <n v="2.1081291769999999"/>
  </r>
  <r>
    <x v="0"/>
    <x v="15"/>
    <x v="15"/>
    <x v="40"/>
    <x v="0"/>
    <x v="1"/>
    <n v="5.6928239999999998E-2"/>
  </r>
  <r>
    <x v="0"/>
    <x v="15"/>
    <x v="16"/>
    <x v="40"/>
    <x v="0"/>
    <x v="1"/>
    <n v="6.1109338999999999E-2"/>
  </r>
  <r>
    <x v="0"/>
    <x v="15"/>
    <x v="12"/>
    <x v="41"/>
    <x v="0"/>
    <x v="0"/>
    <n v="741.698108854"/>
  </r>
  <r>
    <x v="0"/>
    <x v="15"/>
    <x v="13"/>
    <x v="41"/>
    <x v="0"/>
    <x v="0"/>
    <n v="13.765307345"/>
  </r>
  <r>
    <x v="0"/>
    <x v="15"/>
    <x v="14"/>
    <x v="41"/>
    <x v="0"/>
    <x v="0"/>
    <n v="0.179380928"/>
  </r>
  <r>
    <x v="0"/>
    <x v="15"/>
    <x v="15"/>
    <x v="41"/>
    <x v="0"/>
    <x v="1"/>
    <n v="9.3922799000000001E-2"/>
  </r>
  <r>
    <x v="0"/>
    <x v="15"/>
    <x v="16"/>
    <x v="41"/>
    <x v="0"/>
    <x v="1"/>
    <n v="9.4229417999999995E-2"/>
  </r>
  <r>
    <x v="0"/>
    <x v="15"/>
    <x v="17"/>
    <x v="0"/>
    <x v="46"/>
    <x v="1"/>
    <n v="85.236279848999999"/>
  </r>
  <r>
    <x v="0"/>
    <x v="15"/>
    <x v="17"/>
    <x v="0"/>
    <x v="47"/>
    <x v="1"/>
    <n v="85.236279848999999"/>
  </r>
  <r>
    <x v="0"/>
    <x v="15"/>
    <x v="17"/>
    <x v="0"/>
    <x v="48"/>
    <x v="1"/>
    <n v="85.236279848999999"/>
  </r>
  <r>
    <x v="0"/>
    <x v="15"/>
    <x v="17"/>
    <x v="0"/>
    <x v="49"/>
    <x v="1"/>
    <n v="0"/>
  </r>
  <r>
    <x v="0"/>
    <x v="15"/>
    <x v="17"/>
    <x v="0"/>
    <x v="50"/>
    <x v="1"/>
    <n v="0"/>
  </r>
  <r>
    <x v="0"/>
    <x v="15"/>
    <x v="17"/>
    <x v="0"/>
    <x v="51"/>
    <x v="1"/>
    <n v="0"/>
  </r>
  <r>
    <x v="0"/>
    <x v="15"/>
    <x v="17"/>
    <x v="0"/>
    <x v="52"/>
    <x v="1"/>
    <n v="0"/>
  </r>
  <r>
    <x v="0"/>
    <x v="15"/>
    <x v="17"/>
    <x v="0"/>
    <x v="53"/>
    <x v="1"/>
    <n v="0"/>
  </r>
  <r>
    <x v="0"/>
    <x v="15"/>
    <x v="17"/>
    <x v="0"/>
    <x v="54"/>
    <x v="1"/>
    <n v="0"/>
  </r>
  <r>
    <x v="0"/>
    <x v="15"/>
    <x v="17"/>
    <x v="0"/>
    <x v="55"/>
    <x v="1"/>
    <n v="0"/>
  </r>
  <r>
    <x v="0"/>
    <x v="15"/>
    <x v="17"/>
    <x v="1"/>
    <x v="46"/>
    <x v="1"/>
    <n v="15.243494050000001"/>
  </r>
  <r>
    <x v="0"/>
    <x v="15"/>
    <x v="17"/>
    <x v="1"/>
    <x v="47"/>
    <x v="1"/>
    <n v="15.243494050000001"/>
  </r>
  <r>
    <x v="0"/>
    <x v="15"/>
    <x v="17"/>
    <x v="1"/>
    <x v="48"/>
    <x v="1"/>
    <n v="15.243494050000001"/>
  </r>
  <r>
    <x v="0"/>
    <x v="15"/>
    <x v="17"/>
    <x v="1"/>
    <x v="49"/>
    <x v="1"/>
    <n v="0"/>
  </r>
  <r>
    <x v="0"/>
    <x v="15"/>
    <x v="17"/>
    <x v="1"/>
    <x v="50"/>
    <x v="1"/>
    <n v="0"/>
  </r>
  <r>
    <x v="0"/>
    <x v="15"/>
    <x v="17"/>
    <x v="1"/>
    <x v="51"/>
    <x v="1"/>
    <n v="0"/>
  </r>
  <r>
    <x v="0"/>
    <x v="15"/>
    <x v="17"/>
    <x v="1"/>
    <x v="52"/>
    <x v="1"/>
    <n v="0"/>
  </r>
  <r>
    <x v="0"/>
    <x v="15"/>
    <x v="17"/>
    <x v="1"/>
    <x v="53"/>
    <x v="1"/>
    <n v="0"/>
  </r>
  <r>
    <x v="0"/>
    <x v="15"/>
    <x v="17"/>
    <x v="1"/>
    <x v="54"/>
    <x v="1"/>
    <n v="0"/>
  </r>
  <r>
    <x v="0"/>
    <x v="15"/>
    <x v="17"/>
    <x v="1"/>
    <x v="55"/>
    <x v="1"/>
    <n v="0"/>
  </r>
  <r>
    <x v="0"/>
    <x v="15"/>
    <x v="17"/>
    <x v="2"/>
    <x v="46"/>
    <x v="1"/>
    <n v="11.442863055"/>
  </r>
  <r>
    <x v="0"/>
    <x v="15"/>
    <x v="17"/>
    <x v="2"/>
    <x v="47"/>
    <x v="1"/>
    <n v="11.442863055"/>
  </r>
  <r>
    <x v="0"/>
    <x v="15"/>
    <x v="17"/>
    <x v="2"/>
    <x v="48"/>
    <x v="1"/>
    <n v="11.442863055"/>
  </r>
  <r>
    <x v="0"/>
    <x v="15"/>
    <x v="17"/>
    <x v="2"/>
    <x v="49"/>
    <x v="1"/>
    <n v="0"/>
  </r>
  <r>
    <x v="0"/>
    <x v="15"/>
    <x v="17"/>
    <x v="2"/>
    <x v="50"/>
    <x v="1"/>
    <n v="0"/>
  </r>
  <r>
    <x v="0"/>
    <x v="15"/>
    <x v="17"/>
    <x v="2"/>
    <x v="51"/>
    <x v="1"/>
    <n v="0"/>
  </r>
  <r>
    <x v="0"/>
    <x v="15"/>
    <x v="17"/>
    <x v="2"/>
    <x v="52"/>
    <x v="1"/>
    <n v="0"/>
  </r>
  <r>
    <x v="0"/>
    <x v="15"/>
    <x v="17"/>
    <x v="2"/>
    <x v="53"/>
    <x v="1"/>
    <n v="0"/>
  </r>
  <r>
    <x v="0"/>
    <x v="15"/>
    <x v="17"/>
    <x v="2"/>
    <x v="54"/>
    <x v="1"/>
    <n v="0"/>
  </r>
  <r>
    <x v="0"/>
    <x v="15"/>
    <x v="17"/>
    <x v="2"/>
    <x v="55"/>
    <x v="1"/>
    <n v="0"/>
  </r>
  <r>
    <x v="0"/>
    <x v="15"/>
    <x v="17"/>
    <x v="3"/>
    <x v="46"/>
    <x v="1"/>
    <n v="6.9378124669999996"/>
  </r>
  <r>
    <x v="0"/>
    <x v="15"/>
    <x v="17"/>
    <x v="3"/>
    <x v="47"/>
    <x v="1"/>
    <n v="6.9378124669999996"/>
  </r>
  <r>
    <x v="0"/>
    <x v="15"/>
    <x v="17"/>
    <x v="3"/>
    <x v="48"/>
    <x v="1"/>
    <n v="6.9378124669999996"/>
  </r>
  <r>
    <x v="0"/>
    <x v="15"/>
    <x v="17"/>
    <x v="3"/>
    <x v="49"/>
    <x v="1"/>
    <n v="0"/>
  </r>
  <r>
    <x v="0"/>
    <x v="15"/>
    <x v="17"/>
    <x v="3"/>
    <x v="50"/>
    <x v="1"/>
    <n v="0"/>
  </r>
  <r>
    <x v="0"/>
    <x v="15"/>
    <x v="17"/>
    <x v="3"/>
    <x v="51"/>
    <x v="1"/>
    <n v="0"/>
  </r>
  <r>
    <x v="0"/>
    <x v="15"/>
    <x v="17"/>
    <x v="3"/>
    <x v="52"/>
    <x v="1"/>
    <n v="0"/>
  </r>
  <r>
    <x v="0"/>
    <x v="15"/>
    <x v="17"/>
    <x v="3"/>
    <x v="53"/>
    <x v="1"/>
    <n v="0"/>
  </r>
  <r>
    <x v="0"/>
    <x v="15"/>
    <x v="17"/>
    <x v="3"/>
    <x v="54"/>
    <x v="1"/>
    <n v="0"/>
  </r>
  <r>
    <x v="0"/>
    <x v="15"/>
    <x v="17"/>
    <x v="3"/>
    <x v="55"/>
    <x v="1"/>
    <n v="0"/>
  </r>
  <r>
    <x v="0"/>
    <x v="15"/>
    <x v="17"/>
    <x v="4"/>
    <x v="46"/>
    <x v="1"/>
    <n v="3.6293119969999998"/>
  </r>
  <r>
    <x v="0"/>
    <x v="15"/>
    <x v="17"/>
    <x v="4"/>
    <x v="47"/>
    <x v="1"/>
    <n v="3.6293119969999998"/>
  </r>
  <r>
    <x v="0"/>
    <x v="15"/>
    <x v="17"/>
    <x v="4"/>
    <x v="48"/>
    <x v="1"/>
    <n v="3.6293119969999998"/>
  </r>
  <r>
    <x v="0"/>
    <x v="15"/>
    <x v="17"/>
    <x v="4"/>
    <x v="49"/>
    <x v="1"/>
    <n v="0"/>
  </r>
  <r>
    <x v="0"/>
    <x v="15"/>
    <x v="17"/>
    <x v="4"/>
    <x v="50"/>
    <x v="1"/>
    <n v="0"/>
  </r>
  <r>
    <x v="0"/>
    <x v="15"/>
    <x v="17"/>
    <x v="4"/>
    <x v="51"/>
    <x v="1"/>
    <n v="0"/>
  </r>
  <r>
    <x v="0"/>
    <x v="15"/>
    <x v="17"/>
    <x v="4"/>
    <x v="52"/>
    <x v="1"/>
    <n v="0"/>
  </r>
  <r>
    <x v="0"/>
    <x v="15"/>
    <x v="17"/>
    <x v="4"/>
    <x v="53"/>
    <x v="1"/>
    <n v="0"/>
  </r>
  <r>
    <x v="0"/>
    <x v="15"/>
    <x v="17"/>
    <x v="4"/>
    <x v="54"/>
    <x v="1"/>
    <n v="0"/>
  </r>
  <r>
    <x v="0"/>
    <x v="15"/>
    <x v="17"/>
    <x v="4"/>
    <x v="55"/>
    <x v="1"/>
    <n v="0"/>
  </r>
  <r>
    <x v="0"/>
    <x v="15"/>
    <x v="17"/>
    <x v="5"/>
    <x v="46"/>
    <x v="1"/>
    <n v="50.110509464000003"/>
  </r>
  <r>
    <x v="0"/>
    <x v="15"/>
    <x v="17"/>
    <x v="5"/>
    <x v="47"/>
    <x v="1"/>
    <n v="50.110509464000003"/>
  </r>
  <r>
    <x v="0"/>
    <x v="15"/>
    <x v="17"/>
    <x v="5"/>
    <x v="48"/>
    <x v="1"/>
    <n v="50.110509464000003"/>
  </r>
  <r>
    <x v="0"/>
    <x v="15"/>
    <x v="17"/>
    <x v="5"/>
    <x v="49"/>
    <x v="1"/>
    <n v="0"/>
  </r>
  <r>
    <x v="0"/>
    <x v="15"/>
    <x v="17"/>
    <x v="5"/>
    <x v="50"/>
    <x v="1"/>
    <n v="0"/>
  </r>
  <r>
    <x v="0"/>
    <x v="15"/>
    <x v="17"/>
    <x v="5"/>
    <x v="51"/>
    <x v="1"/>
    <n v="0"/>
  </r>
  <r>
    <x v="0"/>
    <x v="15"/>
    <x v="17"/>
    <x v="5"/>
    <x v="52"/>
    <x v="1"/>
    <n v="0"/>
  </r>
  <r>
    <x v="0"/>
    <x v="15"/>
    <x v="17"/>
    <x v="5"/>
    <x v="53"/>
    <x v="1"/>
    <n v="0"/>
  </r>
  <r>
    <x v="0"/>
    <x v="15"/>
    <x v="17"/>
    <x v="5"/>
    <x v="54"/>
    <x v="1"/>
    <n v="0"/>
  </r>
  <r>
    <x v="0"/>
    <x v="15"/>
    <x v="17"/>
    <x v="5"/>
    <x v="55"/>
    <x v="1"/>
    <n v="0"/>
  </r>
  <r>
    <x v="0"/>
    <x v="15"/>
    <x v="17"/>
    <x v="6"/>
    <x v="46"/>
    <x v="1"/>
    <n v="15.184995743"/>
  </r>
  <r>
    <x v="0"/>
    <x v="15"/>
    <x v="17"/>
    <x v="6"/>
    <x v="47"/>
    <x v="1"/>
    <n v="15.184995743"/>
  </r>
  <r>
    <x v="0"/>
    <x v="15"/>
    <x v="17"/>
    <x v="6"/>
    <x v="48"/>
    <x v="1"/>
    <n v="15.184995743"/>
  </r>
  <r>
    <x v="0"/>
    <x v="15"/>
    <x v="17"/>
    <x v="6"/>
    <x v="49"/>
    <x v="1"/>
    <n v="0"/>
  </r>
  <r>
    <x v="0"/>
    <x v="15"/>
    <x v="17"/>
    <x v="6"/>
    <x v="50"/>
    <x v="1"/>
    <n v="0"/>
  </r>
  <r>
    <x v="0"/>
    <x v="15"/>
    <x v="17"/>
    <x v="6"/>
    <x v="51"/>
    <x v="1"/>
    <n v="0"/>
  </r>
  <r>
    <x v="0"/>
    <x v="15"/>
    <x v="17"/>
    <x v="6"/>
    <x v="52"/>
    <x v="1"/>
    <n v="0"/>
  </r>
  <r>
    <x v="0"/>
    <x v="15"/>
    <x v="17"/>
    <x v="6"/>
    <x v="53"/>
    <x v="1"/>
    <n v="0"/>
  </r>
  <r>
    <x v="0"/>
    <x v="15"/>
    <x v="17"/>
    <x v="6"/>
    <x v="54"/>
    <x v="1"/>
    <n v="0"/>
  </r>
  <r>
    <x v="0"/>
    <x v="15"/>
    <x v="17"/>
    <x v="6"/>
    <x v="55"/>
    <x v="1"/>
    <n v="0"/>
  </r>
  <r>
    <x v="0"/>
    <x v="15"/>
    <x v="17"/>
    <x v="7"/>
    <x v="46"/>
    <x v="1"/>
    <n v="9.640692155"/>
  </r>
  <r>
    <x v="0"/>
    <x v="15"/>
    <x v="17"/>
    <x v="7"/>
    <x v="47"/>
    <x v="1"/>
    <n v="9.640692155"/>
  </r>
  <r>
    <x v="0"/>
    <x v="15"/>
    <x v="17"/>
    <x v="7"/>
    <x v="48"/>
    <x v="1"/>
    <n v="9.640692155"/>
  </r>
  <r>
    <x v="0"/>
    <x v="15"/>
    <x v="17"/>
    <x v="7"/>
    <x v="49"/>
    <x v="1"/>
    <n v="0"/>
  </r>
  <r>
    <x v="0"/>
    <x v="15"/>
    <x v="17"/>
    <x v="7"/>
    <x v="50"/>
    <x v="1"/>
    <n v="0"/>
  </r>
  <r>
    <x v="0"/>
    <x v="15"/>
    <x v="17"/>
    <x v="7"/>
    <x v="51"/>
    <x v="1"/>
    <n v="0"/>
  </r>
  <r>
    <x v="0"/>
    <x v="15"/>
    <x v="17"/>
    <x v="7"/>
    <x v="52"/>
    <x v="1"/>
    <n v="0"/>
  </r>
  <r>
    <x v="0"/>
    <x v="15"/>
    <x v="17"/>
    <x v="7"/>
    <x v="53"/>
    <x v="1"/>
    <n v="0"/>
  </r>
  <r>
    <x v="0"/>
    <x v="15"/>
    <x v="17"/>
    <x v="7"/>
    <x v="54"/>
    <x v="1"/>
    <n v="0"/>
  </r>
  <r>
    <x v="0"/>
    <x v="15"/>
    <x v="17"/>
    <x v="7"/>
    <x v="55"/>
    <x v="1"/>
    <n v="0"/>
  </r>
  <r>
    <x v="0"/>
    <x v="15"/>
    <x v="17"/>
    <x v="8"/>
    <x v="46"/>
    <x v="1"/>
    <n v="6.1864511630000001"/>
  </r>
  <r>
    <x v="0"/>
    <x v="15"/>
    <x v="17"/>
    <x v="8"/>
    <x v="47"/>
    <x v="1"/>
    <n v="6.1864511630000001"/>
  </r>
  <r>
    <x v="0"/>
    <x v="15"/>
    <x v="17"/>
    <x v="8"/>
    <x v="48"/>
    <x v="1"/>
    <n v="6.1864511630000001"/>
  </r>
  <r>
    <x v="0"/>
    <x v="15"/>
    <x v="17"/>
    <x v="8"/>
    <x v="49"/>
    <x v="1"/>
    <n v="0"/>
  </r>
  <r>
    <x v="0"/>
    <x v="15"/>
    <x v="17"/>
    <x v="8"/>
    <x v="50"/>
    <x v="1"/>
    <n v="0"/>
  </r>
  <r>
    <x v="0"/>
    <x v="15"/>
    <x v="17"/>
    <x v="8"/>
    <x v="51"/>
    <x v="1"/>
    <n v="0"/>
  </r>
  <r>
    <x v="0"/>
    <x v="15"/>
    <x v="17"/>
    <x v="8"/>
    <x v="52"/>
    <x v="1"/>
    <n v="0"/>
  </r>
  <r>
    <x v="0"/>
    <x v="15"/>
    <x v="17"/>
    <x v="8"/>
    <x v="53"/>
    <x v="1"/>
    <n v="0"/>
  </r>
  <r>
    <x v="0"/>
    <x v="15"/>
    <x v="17"/>
    <x v="8"/>
    <x v="54"/>
    <x v="1"/>
    <n v="0"/>
  </r>
  <r>
    <x v="0"/>
    <x v="15"/>
    <x v="17"/>
    <x v="8"/>
    <x v="55"/>
    <x v="1"/>
    <n v="0"/>
  </r>
  <r>
    <x v="0"/>
    <x v="15"/>
    <x v="17"/>
    <x v="9"/>
    <x v="46"/>
    <x v="1"/>
    <n v="15.110125649"/>
  </r>
  <r>
    <x v="0"/>
    <x v="15"/>
    <x v="17"/>
    <x v="9"/>
    <x v="47"/>
    <x v="1"/>
    <n v="15.110125649"/>
  </r>
  <r>
    <x v="0"/>
    <x v="15"/>
    <x v="17"/>
    <x v="9"/>
    <x v="48"/>
    <x v="1"/>
    <n v="15.110125649"/>
  </r>
  <r>
    <x v="0"/>
    <x v="15"/>
    <x v="17"/>
    <x v="9"/>
    <x v="49"/>
    <x v="1"/>
    <n v="0"/>
  </r>
  <r>
    <x v="0"/>
    <x v="15"/>
    <x v="17"/>
    <x v="9"/>
    <x v="50"/>
    <x v="1"/>
    <n v="0"/>
  </r>
  <r>
    <x v="0"/>
    <x v="15"/>
    <x v="17"/>
    <x v="9"/>
    <x v="51"/>
    <x v="1"/>
    <n v="0"/>
  </r>
  <r>
    <x v="0"/>
    <x v="15"/>
    <x v="17"/>
    <x v="9"/>
    <x v="52"/>
    <x v="1"/>
    <n v="0"/>
  </r>
  <r>
    <x v="0"/>
    <x v="15"/>
    <x v="17"/>
    <x v="9"/>
    <x v="53"/>
    <x v="1"/>
    <n v="0"/>
  </r>
  <r>
    <x v="0"/>
    <x v="15"/>
    <x v="17"/>
    <x v="9"/>
    <x v="54"/>
    <x v="1"/>
    <n v="0"/>
  </r>
  <r>
    <x v="0"/>
    <x v="15"/>
    <x v="17"/>
    <x v="9"/>
    <x v="55"/>
    <x v="1"/>
    <n v="0"/>
  </r>
  <r>
    <x v="0"/>
    <x v="15"/>
    <x v="17"/>
    <x v="10"/>
    <x v="46"/>
    <x v="1"/>
    <n v="15.978450367000001"/>
  </r>
  <r>
    <x v="0"/>
    <x v="15"/>
    <x v="17"/>
    <x v="10"/>
    <x v="47"/>
    <x v="1"/>
    <n v="15.978450367000001"/>
  </r>
  <r>
    <x v="0"/>
    <x v="15"/>
    <x v="17"/>
    <x v="10"/>
    <x v="48"/>
    <x v="1"/>
    <n v="15.978450367000001"/>
  </r>
  <r>
    <x v="0"/>
    <x v="15"/>
    <x v="17"/>
    <x v="10"/>
    <x v="49"/>
    <x v="1"/>
    <n v="0"/>
  </r>
  <r>
    <x v="0"/>
    <x v="15"/>
    <x v="17"/>
    <x v="10"/>
    <x v="50"/>
    <x v="1"/>
    <n v="0"/>
  </r>
  <r>
    <x v="0"/>
    <x v="15"/>
    <x v="17"/>
    <x v="10"/>
    <x v="51"/>
    <x v="1"/>
    <n v="0"/>
  </r>
  <r>
    <x v="0"/>
    <x v="15"/>
    <x v="17"/>
    <x v="10"/>
    <x v="52"/>
    <x v="1"/>
    <n v="0"/>
  </r>
  <r>
    <x v="0"/>
    <x v="15"/>
    <x v="17"/>
    <x v="10"/>
    <x v="53"/>
    <x v="1"/>
    <n v="0"/>
  </r>
  <r>
    <x v="0"/>
    <x v="15"/>
    <x v="17"/>
    <x v="10"/>
    <x v="54"/>
    <x v="1"/>
    <n v="0"/>
  </r>
  <r>
    <x v="0"/>
    <x v="15"/>
    <x v="17"/>
    <x v="10"/>
    <x v="55"/>
    <x v="1"/>
    <n v="0"/>
  </r>
  <r>
    <x v="0"/>
    <x v="15"/>
    <x v="17"/>
    <x v="11"/>
    <x v="46"/>
    <x v="1"/>
    <n v="52.613253264999997"/>
  </r>
  <r>
    <x v="0"/>
    <x v="15"/>
    <x v="17"/>
    <x v="11"/>
    <x v="47"/>
    <x v="1"/>
    <n v="52.613253264999997"/>
  </r>
  <r>
    <x v="0"/>
    <x v="15"/>
    <x v="17"/>
    <x v="11"/>
    <x v="48"/>
    <x v="1"/>
    <n v="52.613253264999997"/>
  </r>
  <r>
    <x v="0"/>
    <x v="15"/>
    <x v="17"/>
    <x v="11"/>
    <x v="49"/>
    <x v="1"/>
    <n v="0"/>
  </r>
  <r>
    <x v="0"/>
    <x v="15"/>
    <x v="17"/>
    <x v="11"/>
    <x v="50"/>
    <x v="1"/>
    <n v="0"/>
  </r>
  <r>
    <x v="0"/>
    <x v="15"/>
    <x v="17"/>
    <x v="11"/>
    <x v="51"/>
    <x v="1"/>
    <n v="0"/>
  </r>
  <r>
    <x v="0"/>
    <x v="15"/>
    <x v="17"/>
    <x v="11"/>
    <x v="52"/>
    <x v="1"/>
    <n v="0"/>
  </r>
  <r>
    <x v="0"/>
    <x v="15"/>
    <x v="17"/>
    <x v="11"/>
    <x v="53"/>
    <x v="1"/>
    <n v="0"/>
  </r>
  <r>
    <x v="0"/>
    <x v="15"/>
    <x v="17"/>
    <x v="11"/>
    <x v="54"/>
    <x v="1"/>
    <n v="0"/>
  </r>
  <r>
    <x v="0"/>
    <x v="15"/>
    <x v="17"/>
    <x v="11"/>
    <x v="55"/>
    <x v="1"/>
    <n v="0"/>
  </r>
  <r>
    <x v="0"/>
    <x v="15"/>
    <x v="17"/>
    <x v="12"/>
    <x v="46"/>
    <x v="1"/>
    <n v="13.077605908000001"/>
  </r>
  <r>
    <x v="0"/>
    <x v="15"/>
    <x v="17"/>
    <x v="12"/>
    <x v="47"/>
    <x v="1"/>
    <n v="13.077605908000001"/>
  </r>
  <r>
    <x v="0"/>
    <x v="15"/>
    <x v="17"/>
    <x v="12"/>
    <x v="48"/>
    <x v="1"/>
    <n v="13.077605908000001"/>
  </r>
  <r>
    <x v="0"/>
    <x v="15"/>
    <x v="17"/>
    <x v="12"/>
    <x v="49"/>
    <x v="1"/>
    <n v="0"/>
  </r>
  <r>
    <x v="0"/>
    <x v="15"/>
    <x v="17"/>
    <x v="12"/>
    <x v="50"/>
    <x v="1"/>
    <n v="0"/>
  </r>
  <r>
    <x v="0"/>
    <x v="15"/>
    <x v="17"/>
    <x v="12"/>
    <x v="51"/>
    <x v="1"/>
    <n v="0"/>
  </r>
  <r>
    <x v="0"/>
    <x v="15"/>
    <x v="17"/>
    <x v="12"/>
    <x v="52"/>
    <x v="1"/>
    <n v="0"/>
  </r>
  <r>
    <x v="0"/>
    <x v="15"/>
    <x v="17"/>
    <x v="12"/>
    <x v="53"/>
    <x v="1"/>
    <n v="0"/>
  </r>
  <r>
    <x v="0"/>
    <x v="15"/>
    <x v="17"/>
    <x v="12"/>
    <x v="54"/>
    <x v="1"/>
    <n v="0"/>
  </r>
  <r>
    <x v="0"/>
    <x v="15"/>
    <x v="17"/>
    <x v="12"/>
    <x v="55"/>
    <x v="1"/>
    <n v="0"/>
  </r>
  <r>
    <x v="0"/>
    <x v="15"/>
    <x v="17"/>
    <x v="13"/>
    <x v="46"/>
    <x v="1"/>
    <n v="30.885543388999999"/>
  </r>
  <r>
    <x v="0"/>
    <x v="15"/>
    <x v="17"/>
    <x v="13"/>
    <x v="47"/>
    <x v="1"/>
    <n v="30.885543388999999"/>
  </r>
  <r>
    <x v="0"/>
    <x v="15"/>
    <x v="17"/>
    <x v="13"/>
    <x v="48"/>
    <x v="1"/>
    <n v="30.885543388999999"/>
  </r>
  <r>
    <x v="0"/>
    <x v="15"/>
    <x v="17"/>
    <x v="13"/>
    <x v="49"/>
    <x v="1"/>
    <n v="0"/>
  </r>
  <r>
    <x v="0"/>
    <x v="15"/>
    <x v="17"/>
    <x v="13"/>
    <x v="50"/>
    <x v="1"/>
    <n v="0"/>
  </r>
  <r>
    <x v="0"/>
    <x v="15"/>
    <x v="17"/>
    <x v="13"/>
    <x v="51"/>
    <x v="1"/>
    <n v="0"/>
  </r>
  <r>
    <x v="0"/>
    <x v="15"/>
    <x v="17"/>
    <x v="13"/>
    <x v="52"/>
    <x v="1"/>
    <n v="0"/>
  </r>
  <r>
    <x v="0"/>
    <x v="15"/>
    <x v="17"/>
    <x v="13"/>
    <x v="53"/>
    <x v="1"/>
    <n v="0"/>
  </r>
  <r>
    <x v="0"/>
    <x v="15"/>
    <x v="17"/>
    <x v="13"/>
    <x v="54"/>
    <x v="1"/>
    <n v="0"/>
  </r>
  <r>
    <x v="0"/>
    <x v="15"/>
    <x v="17"/>
    <x v="13"/>
    <x v="55"/>
    <x v="1"/>
    <n v="0"/>
  </r>
  <r>
    <x v="0"/>
    <x v="15"/>
    <x v="17"/>
    <x v="14"/>
    <x v="46"/>
    <x v="1"/>
    <n v="9.7769586939999993"/>
  </r>
  <r>
    <x v="0"/>
    <x v="15"/>
    <x v="17"/>
    <x v="14"/>
    <x v="47"/>
    <x v="1"/>
    <n v="9.7769586939999993"/>
  </r>
  <r>
    <x v="0"/>
    <x v="15"/>
    <x v="17"/>
    <x v="14"/>
    <x v="48"/>
    <x v="1"/>
    <n v="9.7769586939999993"/>
  </r>
  <r>
    <x v="0"/>
    <x v="15"/>
    <x v="17"/>
    <x v="14"/>
    <x v="49"/>
    <x v="1"/>
    <n v="0"/>
  </r>
  <r>
    <x v="0"/>
    <x v="15"/>
    <x v="17"/>
    <x v="14"/>
    <x v="50"/>
    <x v="1"/>
    <n v="0"/>
  </r>
  <r>
    <x v="0"/>
    <x v="15"/>
    <x v="17"/>
    <x v="14"/>
    <x v="51"/>
    <x v="1"/>
    <n v="0"/>
  </r>
  <r>
    <x v="0"/>
    <x v="15"/>
    <x v="17"/>
    <x v="14"/>
    <x v="52"/>
    <x v="1"/>
    <n v="0"/>
  </r>
  <r>
    <x v="0"/>
    <x v="15"/>
    <x v="17"/>
    <x v="14"/>
    <x v="53"/>
    <x v="1"/>
    <n v="0"/>
  </r>
  <r>
    <x v="0"/>
    <x v="15"/>
    <x v="17"/>
    <x v="14"/>
    <x v="54"/>
    <x v="1"/>
    <n v="0"/>
  </r>
  <r>
    <x v="0"/>
    <x v="15"/>
    <x v="17"/>
    <x v="14"/>
    <x v="55"/>
    <x v="1"/>
    <n v="0"/>
  </r>
  <r>
    <x v="0"/>
    <x v="15"/>
    <x v="17"/>
    <x v="15"/>
    <x v="46"/>
    <x v="1"/>
    <n v="11.373041568"/>
  </r>
  <r>
    <x v="0"/>
    <x v="15"/>
    <x v="17"/>
    <x v="15"/>
    <x v="47"/>
    <x v="1"/>
    <n v="11.373041568"/>
  </r>
  <r>
    <x v="0"/>
    <x v="15"/>
    <x v="17"/>
    <x v="15"/>
    <x v="48"/>
    <x v="1"/>
    <n v="11.373041568"/>
  </r>
  <r>
    <x v="0"/>
    <x v="15"/>
    <x v="17"/>
    <x v="15"/>
    <x v="49"/>
    <x v="1"/>
    <n v="0"/>
  </r>
  <r>
    <x v="0"/>
    <x v="15"/>
    <x v="17"/>
    <x v="15"/>
    <x v="50"/>
    <x v="1"/>
    <n v="0"/>
  </r>
  <r>
    <x v="0"/>
    <x v="15"/>
    <x v="17"/>
    <x v="15"/>
    <x v="51"/>
    <x v="1"/>
    <n v="0"/>
  </r>
  <r>
    <x v="0"/>
    <x v="15"/>
    <x v="17"/>
    <x v="15"/>
    <x v="52"/>
    <x v="1"/>
    <n v="0"/>
  </r>
  <r>
    <x v="0"/>
    <x v="15"/>
    <x v="17"/>
    <x v="15"/>
    <x v="53"/>
    <x v="1"/>
    <n v="0"/>
  </r>
  <r>
    <x v="0"/>
    <x v="15"/>
    <x v="17"/>
    <x v="15"/>
    <x v="54"/>
    <x v="1"/>
    <n v="0"/>
  </r>
  <r>
    <x v="0"/>
    <x v="15"/>
    <x v="17"/>
    <x v="15"/>
    <x v="55"/>
    <x v="1"/>
    <n v="0"/>
  </r>
  <r>
    <x v="0"/>
    <x v="15"/>
    <x v="17"/>
    <x v="16"/>
    <x v="46"/>
    <x v="1"/>
    <n v="7.3611921980000004"/>
  </r>
  <r>
    <x v="0"/>
    <x v="15"/>
    <x v="17"/>
    <x v="16"/>
    <x v="47"/>
    <x v="1"/>
    <n v="7.3611921980000004"/>
  </r>
  <r>
    <x v="0"/>
    <x v="15"/>
    <x v="17"/>
    <x v="16"/>
    <x v="48"/>
    <x v="1"/>
    <n v="7.3611921980000004"/>
  </r>
  <r>
    <x v="0"/>
    <x v="15"/>
    <x v="17"/>
    <x v="16"/>
    <x v="49"/>
    <x v="1"/>
    <n v="0"/>
  </r>
  <r>
    <x v="0"/>
    <x v="15"/>
    <x v="17"/>
    <x v="16"/>
    <x v="50"/>
    <x v="1"/>
    <n v="0"/>
  </r>
  <r>
    <x v="0"/>
    <x v="15"/>
    <x v="17"/>
    <x v="16"/>
    <x v="51"/>
    <x v="1"/>
    <n v="0"/>
  </r>
  <r>
    <x v="0"/>
    <x v="15"/>
    <x v="17"/>
    <x v="16"/>
    <x v="52"/>
    <x v="1"/>
    <n v="0"/>
  </r>
  <r>
    <x v="0"/>
    <x v="15"/>
    <x v="17"/>
    <x v="16"/>
    <x v="53"/>
    <x v="1"/>
    <n v="0"/>
  </r>
  <r>
    <x v="0"/>
    <x v="15"/>
    <x v="17"/>
    <x v="16"/>
    <x v="54"/>
    <x v="1"/>
    <n v="0"/>
  </r>
  <r>
    <x v="0"/>
    <x v="15"/>
    <x v="17"/>
    <x v="16"/>
    <x v="55"/>
    <x v="1"/>
    <n v="0"/>
  </r>
  <r>
    <x v="0"/>
    <x v="15"/>
    <x v="17"/>
    <x v="17"/>
    <x v="46"/>
    <x v="1"/>
    <n v="17.487202808999999"/>
  </r>
  <r>
    <x v="0"/>
    <x v="15"/>
    <x v="17"/>
    <x v="17"/>
    <x v="47"/>
    <x v="1"/>
    <n v="17.487202808999999"/>
  </r>
  <r>
    <x v="0"/>
    <x v="15"/>
    <x v="17"/>
    <x v="17"/>
    <x v="48"/>
    <x v="1"/>
    <n v="17.487202808999999"/>
  </r>
  <r>
    <x v="0"/>
    <x v="15"/>
    <x v="17"/>
    <x v="17"/>
    <x v="49"/>
    <x v="1"/>
    <n v="0"/>
  </r>
  <r>
    <x v="0"/>
    <x v="15"/>
    <x v="17"/>
    <x v="17"/>
    <x v="50"/>
    <x v="1"/>
    <n v="0"/>
  </r>
  <r>
    <x v="0"/>
    <x v="15"/>
    <x v="17"/>
    <x v="17"/>
    <x v="51"/>
    <x v="1"/>
    <n v="0"/>
  </r>
  <r>
    <x v="0"/>
    <x v="15"/>
    <x v="17"/>
    <x v="17"/>
    <x v="52"/>
    <x v="1"/>
    <n v="0"/>
  </r>
  <r>
    <x v="0"/>
    <x v="15"/>
    <x v="17"/>
    <x v="17"/>
    <x v="53"/>
    <x v="1"/>
    <n v="0"/>
  </r>
  <r>
    <x v="0"/>
    <x v="15"/>
    <x v="17"/>
    <x v="17"/>
    <x v="54"/>
    <x v="1"/>
    <n v="0"/>
  </r>
  <r>
    <x v="0"/>
    <x v="15"/>
    <x v="17"/>
    <x v="17"/>
    <x v="55"/>
    <x v="1"/>
    <n v="0"/>
  </r>
  <r>
    <x v="0"/>
    <x v="15"/>
    <x v="17"/>
    <x v="18"/>
    <x v="46"/>
    <x v="1"/>
    <n v="13.723897967999999"/>
  </r>
  <r>
    <x v="0"/>
    <x v="15"/>
    <x v="17"/>
    <x v="18"/>
    <x v="47"/>
    <x v="1"/>
    <n v="13.723897967999999"/>
  </r>
  <r>
    <x v="0"/>
    <x v="15"/>
    <x v="17"/>
    <x v="18"/>
    <x v="48"/>
    <x v="1"/>
    <n v="13.723897967999999"/>
  </r>
  <r>
    <x v="0"/>
    <x v="15"/>
    <x v="17"/>
    <x v="18"/>
    <x v="49"/>
    <x v="1"/>
    <n v="0"/>
  </r>
  <r>
    <x v="0"/>
    <x v="15"/>
    <x v="17"/>
    <x v="18"/>
    <x v="50"/>
    <x v="1"/>
    <n v="0"/>
  </r>
  <r>
    <x v="0"/>
    <x v="15"/>
    <x v="17"/>
    <x v="18"/>
    <x v="51"/>
    <x v="1"/>
    <n v="0"/>
  </r>
  <r>
    <x v="0"/>
    <x v="15"/>
    <x v="17"/>
    <x v="18"/>
    <x v="52"/>
    <x v="1"/>
    <n v="0"/>
  </r>
  <r>
    <x v="0"/>
    <x v="15"/>
    <x v="17"/>
    <x v="18"/>
    <x v="53"/>
    <x v="1"/>
    <n v="0"/>
  </r>
  <r>
    <x v="0"/>
    <x v="15"/>
    <x v="17"/>
    <x v="18"/>
    <x v="54"/>
    <x v="1"/>
    <n v="0"/>
  </r>
  <r>
    <x v="0"/>
    <x v="15"/>
    <x v="17"/>
    <x v="18"/>
    <x v="55"/>
    <x v="1"/>
    <n v="0"/>
  </r>
  <r>
    <x v="0"/>
    <x v="15"/>
    <x v="17"/>
    <x v="19"/>
    <x v="46"/>
    <x v="1"/>
    <n v="18.23663642"/>
  </r>
  <r>
    <x v="0"/>
    <x v="15"/>
    <x v="17"/>
    <x v="19"/>
    <x v="47"/>
    <x v="1"/>
    <n v="18.23663642"/>
  </r>
  <r>
    <x v="0"/>
    <x v="15"/>
    <x v="17"/>
    <x v="19"/>
    <x v="48"/>
    <x v="1"/>
    <n v="18.23663642"/>
  </r>
  <r>
    <x v="0"/>
    <x v="15"/>
    <x v="17"/>
    <x v="19"/>
    <x v="49"/>
    <x v="1"/>
    <n v="0"/>
  </r>
  <r>
    <x v="0"/>
    <x v="15"/>
    <x v="17"/>
    <x v="19"/>
    <x v="50"/>
    <x v="1"/>
    <n v="0"/>
  </r>
  <r>
    <x v="0"/>
    <x v="15"/>
    <x v="17"/>
    <x v="19"/>
    <x v="51"/>
    <x v="1"/>
    <n v="0"/>
  </r>
  <r>
    <x v="0"/>
    <x v="15"/>
    <x v="17"/>
    <x v="19"/>
    <x v="52"/>
    <x v="1"/>
    <n v="0"/>
  </r>
  <r>
    <x v="0"/>
    <x v="15"/>
    <x v="17"/>
    <x v="19"/>
    <x v="53"/>
    <x v="1"/>
    <n v="0"/>
  </r>
  <r>
    <x v="0"/>
    <x v="15"/>
    <x v="17"/>
    <x v="19"/>
    <x v="54"/>
    <x v="1"/>
    <n v="0"/>
  </r>
  <r>
    <x v="0"/>
    <x v="15"/>
    <x v="17"/>
    <x v="19"/>
    <x v="55"/>
    <x v="1"/>
    <n v="0"/>
  </r>
  <r>
    <x v="0"/>
    <x v="15"/>
    <x v="17"/>
    <x v="20"/>
    <x v="46"/>
    <x v="1"/>
    <n v="2.379994274"/>
  </r>
  <r>
    <x v="0"/>
    <x v="15"/>
    <x v="17"/>
    <x v="20"/>
    <x v="47"/>
    <x v="1"/>
    <n v="2.379994274"/>
  </r>
  <r>
    <x v="0"/>
    <x v="15"/>
    <x v="17"/>
    <x v="20"/>
    <x v="48"/>
    <x v="1"/>
    <n v="2.379994274"/>
  </r>
  <r>
    <x v="0"/>
    <x v="15"/>
    <x v="17"/>
    <x v="20"/>
    <x v="49"/>
    <x v="1"/>
    <n v="0"/>
  </r>
  <r>
    <x v="0"/>
    <x v="15"/>
    <x v="17"/>
    <x v="20"/>
    <x v="50"/>
    <x v="1"/>
    <n v="0"/>
  </r>
  <r>
    <x v="0"/>
    <x v="15"/>
    <x v="17"/>
    <x v="20"/>
    <x v="51"/>
    <x v="1"/>
    <n v="0"/>
  </r>
  <r>
    <x v="0"/>
    <x v="15"/>
    <x v="17"/>
    <x v="20"/>
    <x v="52"/>
    <x v="1"/>
    <n v="0"/>
  </r>
  <r>
    <x v="0"/>
    <x v="15"/>
    <x v="17"/>
    <x v="20"/>
    <x v="53"/>
    <x v="1"/>
    <n v="0"/>
  </r>
  <r>
    <x v="0"/>
    <x v="15"/>
    <x v="17"/>
    <x v="20"/>
    <x v="54"/>
    <x v="1"/>
    <n v="0"/>
  </r>
  <r>
    <x v="0"/>
    <x v="15"/>
    <x v="17"/>
    <x v="20"/>
    <x v="55"/>
    <x v="1"/>
    <n v="0"/>
  </r>
  <r>
    <x v="0"/>
    <x v="15"/>
    <x v="17"/>
    <x v="21"/>
    <x v="46"/>
    <x v="1"/>
    <n v="1.1116169380000001"/>
  </r>
  <r>
    <x v="0"/>
    <x v="15"/>
    <x v="17"/>
    <x v="21"/>
    <x v="47"/>
    <x v="1"/>
    <n v="1.1116169380000001"/>
  </r>
  <r>
    <x v="0"/>
    <x v="15"/>
    <x v="17"/>
    <x v="21"/>
    <x v="48"/>
    <x v="1"/>
    <n v="1.1116169380000001"/>
  </r>
  <r>
    <x v="0"/>
    <x v="15"/>
    <x v="17"/>
    <x v="21"/>
    <x v="49"/>
    <x v="1"/>
    <n v="0"/>
  </r>
  <r>
    <x v="0"/>
    <x v="15"/>
    <x v="17"/>
    <x v="21"/>
    <x v="50"/>
    <x v="1"/>
    <n v="0"/>
  </r>
  <r>
    <x v="0"/>
    <x v="15"/>
    <x v="17"/>
    <x v="21"/>
    <x v="51"/>
    <x v="1"/>
    <n v="0"/>
  </r>
  <r>
    <x v="0"/>
    <x v="15"/>
    <x v="17"/>
    <x v="21"/>
    <x v="52"/>
    <x v="1"/>
    <n v="0"/>
  </r>
  <r>
    <x v="0"/>
    <x v="15"/>
    <x v="17"/>
    <x v="21"/>
    <x v="53"/>
    <x v="1"/>
    <n v="0"/>
  </r>
  <r>
    <x v="0"/>
    <x v="15"/>
    <x v="17"/>
    <x v="21"/>
    <x v="54"/>
    <x v="1"/>
    <n v="0"/>
  </r>
  <r>
    <x v="0"/>
    <x v="15"/>
    <x v="17"/>
    <x v="21"/>
    <x v="55"/>
    <x v="1"/>
    <n v="0"/>
  </r>
  <r>
    <x v="0"/>
    <x v="15"/>
    <x v="17"/>
    <x v="22"/>
    <x v="46"/>
    <x v="1"/>
    <n v="0.99150881999999996"/>
  </r>
  <r>
    <x v="0"/>
    <x v="15"/>
    <x v="17"/>
    <x v="22"/>
    <x v="47"/>
    <x v="1"/>
    <n v="0.99150881999999996"/>
  </r>
  <r>
    <x v="0"/>
    <x v="15"/>
    <x v="17"/>
    <x v="22"/>
    <x v="48"/>
    <x v="1"/>
    <n v="0.99150881999999996"/>
  </r>
  <r>
    <x v="0"/>
    <x v="15"/>
    <x v="17"/>
    <x v="22"/>
    <x v="49"/>
    <x v="1"/>
    <n v="0"/>
  </r>
  <r>
    <x v="0"/>
    <x v="15"/>
    <x v="17"/>
    <x v="22"/>
    <x v="50"/>
    <x v="1"/>
    <n v="0"/>
  </r>
  <r>
    <x v="0"/>
    <x v="15"/>
    <x v="17"/>
    <x v="22"/>
    <x v="51"/>
    <x v="1"/>
    <n v="0"/>
  </r>
  <r>
    <x v="0"/>
    <x v="15"/>
    <x v="17"/>
    <x v="22"/>
    <x v="52"/>
    <x v="1"/>
    <n v="0"/>
  </r>
  <r>
    <x v="0"/>
    <x v="15"/>
    <x v="17"/>
    <x v="22"/>
    <x v="53"/>
    <x v="1"/>
    <n v="0"/>
  </r>
  <r>
    <x v="0"/>
    <x v="15"/>
    <x v="17"/>
    <x v="22"/>
    <x v="54"/>
    <x v="1"/>
    <n v="0"/>
  </r>
  <r>
    <x v="0"/>
    <x v="15"/>
    <x v="17"/>
    <x v="22"/>
    <x v="55"/>
    <x v="1"/>
    <n v="0"/>
  </r>
  <r>
    <x v="0"/>
    <x v="15"/>
    <x v="17"/>
    <x v="23"/>
    <x v="46"/>
    <x v="1"/>
    <n v="0.48451233500000002"/>
  </r>
  <r>
    <x v="0"/>
    <x v="15"/>
    <x v="17"/>
    <x v="23"/>
    <x v="47"/>
    <x v="1"/>
    <n v="0.48451233500000002"/>
  </r>
  <r>
    <x v="0"/>
    <x v="15"/>
    <x v="17"/>
    <x v="23"/>
    <x v="48"/>
    <x v="1"/>
    <n v="0.48451233500000002"/>
  </r>
  <r>
    <x v="0"/>
    <x v="15"/>
    <x v="17"/>
    <x v="23"/>
    <x v="49"/>
    <x v="1"/>
    <n v="0"/>
  </r>
  <r>
    <x v="0"/>
    <x v="15"/>
    <x v="17"/>
    <x v="23"/>
    <x v="50"/>
    <x v="1"/>
    <n v="0"/>
  </r>
  <r>
    <x v="0"/>
    <x v="15"/>
    <x v="17"/>
    <x v="23"/>
    <x v="51"/>
    <x v="1"/>
    <n v="0"/>
  </r>
  <r>
    <x v="0"/>
    <x v="15"/>
    <x v="17"/>
    <x v="23"/>
    <x v="52"/>
    <x v="1"/>
    <n v="0"/>
  </r>
  <r>
    <x v="0"/>
    <x v="15"/>
    <x v="17"/>
    <x v="23"/>
    <x v="53"/>
    <x v="1"/>
    <n v="0"/>
  </r>
  <r>
    <x v="0"/>
    <x v="15"/>
    <x v="17"/>
    <x v="23"/>
    <x v="54"/>
    <x v="1"/>
    <n v="0"/>
  </r>
  <r>
    <x v="0"/>
    <x v="15"/>
    <x v="17"/>
    <x v="23"/>
    <x v="55"/>
    <x v="1"/>
    <n v="0"/>
  </r>
  <r>
    <x v="0"/>
    <x v="15"/>
    <x v="17"/>
    <x v="24"/>
    <x v="46"/>
    <x v="1"/>
    <n v="19.607920313000001"/>
  </r>
  <r>
    <x v="0"/>
    <x v="15"/>
    <x v="17"/>
    <x v="24"/>
    <x v="47"/>
    <x v="1"/>
    <n v="19.607920313000001"/>
  </r>
  <r>
    <x v="0"/>
    <x v="15"/>
    <x v="17"/>
    <x v="24"/>
    <x v="48"/>
    <x v="1"/>
    <n v="19.607920313000001"/>
  </r>
  <r>
    <x v="0"/>
    <x v="15"/>
    <x v="17"/>
    <x v="24"/>
    <x v="49"/>
    <x v="1"/>
    <n v="0"/>
  </r>
  <r>
    <x v="0"/>
    <x v="15"/>
    <x v="17"/>
    <x v="24"/>
    <x v="50"/>
    <x v="1"/>
    <n v="0"/>
  </r>
  <r>
    <x v="0"/>
    <x v="15"/>
    <x v="17"/>
    <x v="24"/>
    <x v="51"/>
    <x v="1"/>
    <n v="0"/>
  </r>
  <r>
    <x v="0"/>
    <x v="15"/>
    <x v="17"/>
    <x v="24"/>
    <x v="52"/>
    <x v="1"/>
    <n v="0"/>
  </r>
  <r>
    <x v="0"/>
    <x v="15"/>
    <x v="17"/>
    <x v="24"/>
    <x v="53"/>
    <x v="1"/>
    <n v="0"/>
  </r>
  <r>
    <x v="0"/>
    <x v="15"/>
    <x v="17"/>
    <x v="24"/>
    <x v="54"/>
    <x v="1"/>
    <n v="0"/>
  </r>
  <r>
    <x v="0"/>
    <x v="15"/>
    <x v="17"/>
    <x v="24"/>
    <x v="55"/>
    <x v="1"/>
    <n v="0"/>
  </r>
  <r>
    <x v="0"/>
    <x v="15"/>
    <x v="17"/>
    <x v="25"/>
    <x v="46"/>
    <x v="1"/>
    <n v="0.90223858599999995"/>
  </r>
  <r>
    <x v="0"/>
    <x v="15"/>
    <x v="17"/>
    <x v="25"/>
    <x v="47"/>
    <x v="1"/>
    <n v="0.90223858599999995"/>
  </r>
  <r>
    <x v="0"/>
    <x v="15"/>
    <x v="17"/>
    <x v="25"/>
    <x v="48"/>
    <x v="1"/>
    <n v="0.90223858599999995"/>
  </r>
  <r>
    <x v="0"/>
    <x v="15"/>
    <x v="17"/>
    <x v="25"/>
    <x v="49"/>
    <x v="1"/>
    <n v="0"/>
  </r>
  <r>
    <x v="0"/>
    <x v="15"/>
    <x v="17"/>
    <x v="25"/>
    <x v="50"/>
    <x v="1"/>
    <n v="0"/>
  </r>
  <r>
    <x v="0"/>
    <x v="15"/>
    <x v="17"/>
    <x v="25"/>
    <x v="51"/>
    <x v="1"/>
    <n v="0"/>
  </r>
  <r>
    <x v="0"/>
    <x v="15"/>
    <x v="17"/>
    <x v="25"/>
    <x v="52"/>
    <x v="1"/>
    <n v="0"/>
  </r>
  <r>
    <x v="0"/>
    <x v="15"/>
    <x v="17"/>
    <x v="25"/>
    <x v="53"/>
    <x v="1"/>
    <n v="0"/>
  </r>
  <r>
    <x v="0"/>
    <x v="15"/>
    <x v="17"/>
    <x v="25"/>
    <x v="54"/>
    <x v="1"/>
    <n v="0"/>
  </r>
  <r>
    <x v="0"/>
    <x v="15"/>
    <x v="17"/>
    <x v="25"/>
    <x v="55"/>
    <x v="1"/>
    <n v="0"/>
  </r>
  <r>
    <x v="0"/>
    <x v="15"/>
    <x v="17"/>
    <x v="26"/>
    <x v="46"/>
    <x v="1"/>
    <n v="0.63053583599999996"/>
  </r>
  <r>
    <x v="0"/>
    <x v="15"/>
    <x v="17"/>
    <x v="26"/>
    <x v="47"/>
    <x v="1"/>
    <n v="0.63053583599999996"/>
  </r>
  <r>
    <x v="0"/>
    <x v="15"/>
    <x v="17"/>
    <x v="26"/>
    <x v="48"/>
    <x v="1"/>
    <n v="0.63053583599999996"/>
  </r>
  <r>
    <x v="0"/>
    <x v="15"/>
    <x v="17"/>
    <x v="26"/>
    <x v="49"/>
    <x v="1"/>
    <n v="0"/>
  </r>
  <r>
    <x v="0"/>
    <x v="15"/>
    <x v="17"/>
    <x v="26"/>
    <x v="50"/>
    <x v="1"/>
    <n v="0"/>
  </r>
  <r>
    <x v="0"/>
    <x v="15"/>
    <x v="17"/>
    <x v="26"/>
    <x v="51"/>
    <x v="1"/>
    <n v="0"/>
  </r>
  <r>
    <x v="0"/>
    <x v="15"/>
    <x v="17"/>
    <x v="26"/>
    <x v="52"/>
    <x v="1"/>
    <n v="0"/>
  </r>
  <r>
    <x v="0"/>
    <x v="15"/>
    <x v="17"/>
    <x v="26"/>
    <x v="53"/>
    <x v="1"/>
    <n v="0"/>
  </r>
  <r>
    <x v="0"/>
    <x v="15"/>
    <x v="17"/>
    <x v="26"/>
    <x v="54"/>
    <x v="1"/>
    <n v="0"/>
  </r>
  <r>
    <x v="0"/>
    <x v="15"/>
    <x v="17"/>
    <x v="26"/>
    <x v="55"/>
    <x v="1"/>
    <n v="0"/>
  </r>
  <r>
    <x v="0"/>
    <x v="15"/>
    <x v="17"/>
    <x v="27"/>
    <x v="46"/>
    <x v="1"/>
    <n v="29.781958467999999"/>
  </r>
  <r>
    <x v="0"/>
    <x v="15"/>
    <x v="17"/>
    <x v="27"/>
    <x v="47"/>
    <x v="1"/>
    <n v="29.781958467999999"/>
  </r>
  <r>
    <x v="0"/>
    <x v="15"/>
    <x v="17"/>
    <x v="27"/>
    <x v="48"/>
    <x v="1"/>
    <n v="29.781958467999999"/>
  </r>
  <r>
    <x v="0"/>
    <x v="15"/>
    <x v="17"/>
    <x v="27"/>
    <x v="49"/>
    <x v="1"/>
    <n v="0"/>
  </r>
  <r>
    <x v="0"/>
    <x v="15"/>
    <x v="17"/>
    <x v="27"/>
    <x v="50"/>
    <x v="1"/>
    <n v="0"/>
  </r>
  <r>
    <x v="0"/>
    <x v="15"/>
    <x v="17"/>
    <x v="27"/>
    <x v="51"/>
    <x v="1"/>
    <n v="0"/>
  </r>
  <r>
    <x v="0"/>
    <x v="15"/>
    <x v="17"/>
    <x v="27"/>
    <x v="52"/>
    <x v="1"/>
    <n v="0"/>
  </r>
  <r>
    <x v="0"/>
    <x v="15"/>
    <x v="17"/>
    <x v="27"/>
    <x v="53"/>
    <x v="1"/>
    <n v="0"/>
  </r>
  <r>
    <x v="0"/>
    <x v="15"/>
    <x v="17"/>
    <x v="27"/>
    <x v="54"/>
    <x v="1"/>
    <n v="0"/>
  </r>
  <r>
    <x v="0"/>
    <x v="15"/>
    <x v="17"/>
    <x v="27"/>
    <x v="55"/>
    <x v="1"/>
    <n v="0"/>
  </r>
  <r>
    <x v="0"/>
    <x v="15"/>
    <x v="17"/>
    <x v="28"/>
    <x v="46"/>
    <x v="1"/>
    <n v="30.542759058000001"/>
  </r>
  <r>
    <x v="0"/>
    <x v="15"/>
    <x v="17"/>
    <x v="28"/>
    <x v="47"/>
    <x v="1"/>
    <n v="30.542759058000001"/>
  </r>
  <r>
    <x v="0"/>
    <x v="15"/>
    <x v="17"/>
    <x v="28"/>
    <x v="48"/>
    <x v="1"/>
    <n v="30.542759058000001"/>
  </r>
  <r>
    <x v="0"/>
    <x v="15"/>
    <x v="17"/>
    <x v="28"/>
    <x v="49"/>
    <x v="1"/>
    <n v="0"/>
  </r>
  <r>
    <x v="0"/>
    <x v="15"/>
    <x v="17"/>
    <x v="28"/>
    <x v="50"/>
    <x v="1"/>
    <n v="0"/>
  </r>
  <r>
    <x v="0"/>
    <x v="15"/>
    <x v="17"/>
    <x v="28"/>
    <x v="51"/>
    <x v="1"/>
    <n v="0"/>
  </r>
  <r>
    <x v="0"/>
    <x v="15"/>
    <x v="17"/>
    <x v="28"/>
    <x v="52"/>
    <x v="1"/>
    <n v="0"/>
  </r>
  <r>
    <x v="0"/>
    <x v="15"/>
    <x v="17"/>
    <x v="28"/>
    <x v="53"/>
    <x v="1"/>
    <n v="0"/>
  </r>
  <r>
    <x v="0"/>
    <x v="15"/>
    <x v="17"/>
    <x v="28"/>
    <x v="54"/>
    <x v="1"/>
    <n v="0"/>
  </r>
  <r>
    <x v="0"/>
    <x v="15"/>
    <x v="17"/>
    <x v="28"/>
    <x v="55"/>
    <x v="1"/>
    <n v="0"/>
  </r>
  <r>
    <x v="0"/>
    <x v="15"/>
    <x v="17"/>
    <x v="29"/>
    <x v="46"/>
    <x v="1"/>
    <n v="30.103770728000001"/>
  </r>
  <r>
    <x v="0"/>
    <x v="15"/>
    <x v="17"/>
    <x v="29"/>
    <x v="47"/>
    <x v="1"/>
    <n v="30.103770728000001"/>
  </r>
  <r>
    <x v="0"/>
    <x v="15"/>
    <x v="17"/>
    <x v="29"/>
    <x v="48"/>
    <x v="1"/>
    <n v="30.103770728000001"/>
  </r>
  <r>
    <x v="0"/>
    <x v="15"/>
    <x v="17"/>
    <x v="29"/>
    <x v="49"/>
    <x v="1"/>
    <n v="0"/>
  </r>
  <r>
    <x v="0"/>
    <x v="15"/>
    <x v="17"/>
    <x v="29"/>
    <x v="50"/>
    <x v="1"/>
    <n v="0"/>
  </r>
  <r>
    <x v="0"/>
    <x v="15"/>
    <x v="17"/>
    <x v="29"/>
    <x v="51"/>
    <x v="1"/>
    <n v="0"/>
  </r>
  <r>
    <x v="0"/>
    <x v="15"/>
    <x v="17"/>
    <x v="29"/>
    <x v="52"/>
    <x v="1"/>
    <n v="0"/>
  </r>
  <r>
    <x v="0"/>
    <x v="15"/>
    <x v="17"/>
    <x v="29"/>
    <x v="53"/>
    <x v="1"/>
    <n v="0"/>
  </r>
  <r>
    <x v="0"/>
    <x v="15"/>
    <x v="17"/>
    <x v="29"/>
    <x v="54"/>
    <x v="1"/>
    <n v="0"/>
  </r>
  <r>
    <x v="0"/>
    <x v="15"/>
    <x v="17"/>
    <x v="29"/>
    <x v="55"/>
    <x v="1"/>
    <n v="0"/>
  </r>
  <r>
    <x v="0"/>
    <x v="15"/>
    <x v="17"/>
    <x v="30"/>
    <x v="46"/>
    <x v="1"/>
    <n v="11.970830495"/>
  </r>
  <r>
    <x v="0"/>
    <x v="15"/>
    <x v="17"/>
    <x v="30"/>
    <x v="47"/>
    <x v="1"/>
    <n v="11.970830495"/>
  </r>
  <r>
    <x v="0"/>
    <x v="15"/>
    <x v="17"/>
    <x v="30"/>
    <x v="48"/>
    <x v="1"/>
    <n v="11.970830495"/>
  </r>
  <r>
    <x v="0"/>
    <x v="15"/>
    <x v="17"/>
    <x v="30"/>
    <x v="49"/>
    <x v="1"/>
    <n v="0"/>
  </r>
  <r>
    <x v="0"/>
    <x v="15"/>
    <x v="17"/>
    <x v="30"/>
    <x v="50"/>
    <x v="1"/>
    <n v="0"/>
  </r>
  <r>
    <x v="0"/>
    <x v="15"/>
    <x v="17"/>
    <x v="30"/>
    <x v="51"/>
    <x v="1"/>
    <n v="0"/>
  </r>
  <r>
    <x v="0"/>
    <x v="15"/>
    <x v="17"/>
    <x v="30"/>
    <x v="52"/>
    <x v="1"/>
    <n v="0"/>
  </r>
  <r>
    <x v="0"/>
    <x v="15"/>
    <x v="17"/>
    <x v="30"/>
    <x v="53"/>
    <x v="1"/>
    <n v="0"/>
  </r>
  <r>
    <x v="0"/>
    <x v="15"/>
    <x v="17"/>
    <x v="30"/>
    <x v="54"/>
    <x v="1"/>
    <n v="0"/>
  </r>
  <r>
    <x v="0"/>
    <x v="15"/>
    <x v="17"/>
    <x v="30"/>
    <x v="55"/>
    <x v="1"/>
    <n v="0"/>
  </r>
  <r>
    <x v="0"/>
    <x v="15"/>
    <x v="17"/>
    <x v="31"/>
    <x v="46"/>
    <x v="1"/>
    <n v="8.5443457410000008"/>
  </r>
  <r>
    <x v="0"/>
    <x v="15"/>
    <x v="17"/>
    <x v="31"/>
    <x v="47"/>
    <x v="1"/>
    <n v="8.5443457410000008"/>
  </r>
  <r>
    <x v="0"/>
    <x v="15"/>
    <x v="17"/>
    <x v="31"/>
    <x v="48"/>
    <x v="1"/>
    <n v="8.5443457410000008"/>
  </r>
  <r>
    <x v="0"/>
    <x v="15"/>
    <x v="17"/>
    <x v="31"/>
    <x v="49"/>
    <x v="1"/>
    <n v="0"/>
  </r>
  <r>
    <x v="0"/>
    <x v="15"/>
    <x v="17"/>
    <x v="31"/>
    <x v="50"/>
    <x v="1"/>
    <n v="0"/>
  </r>
  <r>
    <x v="0"/>
    <x v="15"/>
    <x v="17"/>
    <x v="31"/>
    <x v="51"/>
    <x v="1"/>
    <n v="0"/>
  </r>
  <r>
    <x v="0"/>
    <x v="15"/>
    <x v="17"/>
    <x v="31"/>
    <x v="52"/>
    <x v="1"/>
    <n v="0"/>
  </r>
  <r>
    <x v="0"/>
    <x v="15"/>
    <x v="17"/>
    <x v="31"/>
    <x v="53"/>
    <x v="1"/>
    <n v="0"/>
  </r>
  <r>
    <x v="0"/>
    <x v="15"/>
    <x v="17"/>
    <x v="31"/>
    <x v="54"/>
    <x v="1"/>
    <n v="0"/>
  </r>
  <r>
    <x v="0"/>
    <x v="15"/>
    <x v="17"/>
    <x v="31"/>
    <x v="55"/>
    <x v="1"/>
    <n v="0"/>
  </r>
  <r>
    <x v="0"/>
    <x v="15"/>
    <x v="17"/>
    <x v="32"/>
    <x v="46"/>
    <x v="1"/>
    <n v="28.330154508"/>
  </r>
  <r>
    <x v="0"/>
    <x v="15"/>
    <x v="17"/>
    <x v="32"/>
    <x v="47"/>
    <x v="1"/>
    <n v="28.330154508"/>
  </r>
  <r>
    <x v="0"/>
    <x v="15"/>
    <x v="17"/>
    <x v="32"/>
    <x v="48"/>
    <x v="1"/>
    <n v="28.330154508"/>
  </r>
  <r>
    <x v="0"/>
    <x v="15"/>
    <x v="17"/>
    <x v="32"/>
    <x v="49"/>
    <x v="1"/>
    <n v="0"/>
  </r>
  <r>
    <x v="0"/>
    <x v="15"/>
    <x v="17"/>
    <x v="32"/>
    <x v="50"/>
    <x v="1"/>
    <n v="0"/>
  </r>
  <r>
    <x v="0"/>
    <x v="15"/>
    <x v="17"/>
    <x v="32"/>
    <x v="51"/>
    <x v="1"/>
    <n v="0"/>
  </r>
  <r>
    <x v="0"/>
    <x v="15"/>
    <x v="17"/>
    <x v="32"/>
    <x v="52"/>
    <x v="1"/>
    <n v="0"/>
  </r>
  <r>
    <x v="0"/>
    <x v="15"/>
    <x v="17"/>
    <x v="32"/>
    <x v="53"/>
    <x v="1"/>
    <n v="0"/>
  </r>
  <r>
    <x v="0"/>
    <x v="15"/>
    <x v="17"/>
    <x v="32"/>
    <x v="54"/>
    <x v="1"/>
    <n v="0"/>
  </r>
  <r>
    <x v="0"/>
    <x v="15"/>
    <x v="17"/>
    <x v="32"/>
    <x v="55"/>
    <x v="1"/>
    <n v="0"/>
  </r>
  <r>
    <x v="0"/>
    <x v="15"/>
    <x v="17"/>
    <x v="33"/>
    <x v="46"/>
    <x v="1"/>
    <n v="14.912358963000001"/>
  </r>
  <r>
    <x v="0"/>
    <x v="15"/>
    <x v="17"/>
    <x v="33"/>
    <x v="47"/>
    <x v="1"/>
    <n v="14.912358963000001"/>
  </r>
  <r>
    <x v="0"/>
    <x v="15"/>
    <x v="17"/>
    <x v="33"/>
    <x v="48"/>
    <x v="1"/>
    <n v="14.912358963000001"/>
  </r>
  <r>
    <x v="0"/>
    <x v="15"/>
    <x v="17"/>
    <x v="33"/>
    <x v="49"/>
    <x v="1"/>
    <n v="0"/>
  </r>
  <r>
    <x v="0"/>
    <x v="15"/>
    <x v="17"/>
    <x v="33"/>
    <x v="50"/>
    <x v="1"/>
    <n v="0"/>
  </r>
  <r>
    <x v="0"/>
    <x v="15"/>
    <x v="17"/>
    <x v="33"/>
    <x v="51"/>
    <x v="1"/>
    <n v="0"/>
  </r>
  <r>
    <x v="0"/>
    <x v="15"/>
    <x v="17"/>
    <x v="33"/>
    <x v="52"/>
    <x v="1"/>
    <n v="0"/>
  </r>
  <r>
    <x v="0"/>
    <x v="15"/>
    <x v="17"/>
    <x v="33"/>
    <x v="53"/>
    <x v="1"/>
    <n v="0"/>
  </r>
  <r>
    <x v="0"/>
    <x v="15"/>
    <x v="17"/>
    <x v="33"/>
    <x v="54"/>
    <x v="1"/>
    <n v="0"/>
  </r>
  <r>
    <x v="0"/>
    <x v="15"/>
    <x v="17"/>
    <x v="33"/>
    <x v="55"/>
    <x v="1"/>
    <n v="0"/>
  </r>
  <r>
    <x v="0"/>
    <x v="15"/>
    <x v="17"/>
    <x v="34"/>
    <x v="46"/>
    <x v="1"/>
    <n v="19.049630731000001"/>
  </r>
  <r>
    <x v="0"/>
    <x v="15"/>
    <x v="17"/>
    <x v="34"/>
    <x v="47"/>
    <x v="1"/>
    <n v="19.049630731000001"/>
  </r>
  <r>
    <x v="0"/>
    <x v="15"/>
    <x v="17"/>
    <x v="34"/>
    <x v="48"/>
    <x v="1"/>
    <n v="19.049630731000001"/>
  </r>
  <r>
    <x v="0"/>
    <x v="15"/>
    <x v="17"/>
    <x v="34"/>
    <x v="49"/>
    <x v="1"/>
    <n v="0"/>
  </r>
  <r>
    <x v="0"/>
    <x v="15"/>
    <x v="17"/>
    <x v="34"/>
    <x v="50"/>
    <x v="1"/>
    <n v="0"/>
  </r>
  <r>
    <x v="0"/>
    <x v="15"/>
    <x v="17"/>
    <x v="34"/>
    <x v="51"/>
    <x v="1"/>
    <n v="0"/>
  </r>
  <r>
    <x v="0"/>
    <x v="15"/>
    <x v="17"/>
    <x v="34"/>
    <x v="52"/>
    <x v="1"/>
    <n v="0"/>
  </r>
  <r>
    <x v="0"/>
    <x v="15"/>
    <x v="17"/>
    <x v="34"/>
    <x v="53"/>
    <x v="1"/>
    <n v="0"/>
  </r>
  <r>
    <x v="0"/>
    <x v="15"/>
    <x v="17"/>
    <x v="34"/>
    <x v="54"/>
    <x v="1"/>
    <n v="0"/>
  </r>
  <r>
    <x v="0"/>
    <x v="15"/>
    <x v="17"/>
    <x v="34"/>
    <x v="55"/>
    <x v="1"/>
    <n v="0"/>
  </r>
  <r>
    <x v="0"/>
    <x v="15"/>
    <x v="17"/>
    <x v="35"/>
    <x v="46"/>
    <x v="1"/>
    <n v="16.173562479000001"/>
  </r>
  <r>
    <x v="0"/>
    <x v="15"/>
    <x v="17"/>
    <x v="35"/>
    <x v="47"/>
    <x v="1"/>
    <n v="16.173562479000001"/>
  </r>
  <r>
    <x v="0"/>
    <x v="15"/>
    <x v="17"/>
    <x v="35"/>
    <x v="48"/>
    <x v="1"/>
    <n v="16.173562479000001"/>
  </r>
  <r>
    <x v="0"/>
    <x v="15"/>
    <x v="17"/>
    <x v="35"/>
    <x v="49"/>
    <x v="1"/>
    <n v="0"/>
  </r>
  <r>
    <x v="0"/>
    <x v="15"/>
    <x v="17"/>
    <x v="35"/>
    <x v="50"/>
    <x v="1"/>
    <n v="0"/>
  </r>
  <r>
    <x v="0"/>
    <x v="15"/>
    <x v="17"/>
    <x v="35"/>
    <x v="51"/>
    <x v="1"/>
    <n v="0"/>
  </r>
  <r>
    <x v="0"/>
    <x v="15"/>
    <x v="17"/>
    <x v="35"/>
    <x v="52"/>
    <x v="1"/>
    <n v="0"/>
  </r>
  <r>
    <x v="0"/>
    <x v="15"/>
    <x v="17"/>
    <x v="35"/>
    <x v="53"/>
    <x v="1"/>
    <n v="0"/>
  </r>
  <r>
    <x v="0"/>
    <x v="15"/>
    <x v="17"/>
    <x v="35"/>
    <x v="54"/>
    <x v="1"/>
    <n v="0"/>
  </r>
  <r>
    <x v="0"/>
    <x v="15"/>
    <x v="17"/>
    <x v="35"/>
    <x v="55"/>
    <x v="1"/>
    <n v="0"/>
  </r>
  <r>
    <x v="0"/>
    <x v="15"/>
    <x v="17"/>
    <x v="36"/>
    <x v="46"/>
    <x v="1"/>
    <n v="6.2106326420000002"/>
  </r>
  <r>
    <x v="0"/>
    <x v="15"/>
    <x v="17"/>
    <x v="36"/>
    <x v="47"/>
    <x v="1"/>
    <n v="6.2106326420000002"/>
  </r>
  <r>
    <x v="0"/>
    <x v="15"/>
    <x v="17"/>
    <x v="36"/>
    <x v="48"/>
    <x v="1"/>
    <n v="6.2106326420000002"/>
  </r>
  <r>
    <x v="0"/>
    <x v="15"/>
    <x v="17"/>
    <x v="36"/>
    <x v="49"/>
    <x v="1"/>
    <n v="0"/>
  </r>
  <r>
    <x v="0"/>
    <x v="15"/>
    <x v="17"/>
    <x v="36"/>
    <x v="50"/>
    <x v="1"/>
    <n v="0"/>
  </r>
  <r>
    <x v="0"/>
    <x v="15"/>
    <x v="17"/>
    <x v="36"/>
    <x v="51"/>
    <x v="1"/>
    <n v="0"/>
  </r>
  <r>
    <x v="0"/>
    <x v="15"/>
    <x v="17"/>
    <x v="36"/>
    <x v="52"/>
    <x v="1"/>
    <n v="0"/>
  </r>
  <r>
    <x v="0"/>
    <x v="15"/>
    <x v="17"/>
    <x v="36"/>
    <x v="53"/>
    <x v="1"/>
    <n v="0"/>
  </r>
  <r>
    <x v="0"/>
    <x v="15"/>
    <x v="17"/>
    <x v="36"/>
    <x v="54"/>
    <x v="1"/>
    <n v="0"/>
  </r>
  <r>
    <x v="0"/>
    <x v="15"/>
    <x v="17"/>
    <x v="36"/>
    <x v="55"/>
    <x v="1"/>
    <n v="0"/>
  </r>
  <r>
    <x v="0"/>
    <x v="15"/>
    <x v="17"/>
    <x v="37"/>
    <x v="46"/>
    <x v="1"/>
    <n v="7.5895811479999997"/>
  </r>
  <r>
    <x v="0"/>
    <x v="15"/>
    <x v="17"/>
    <x v="37"/>
    <x v="47"/>
    <x v="1"/>
    <n v="7.5895811479999997"/>
  </r>
  <r>
    <x v="0"/>
    <x v="15"/>
    <x v="17"/>
    <x v="37"/>
    <x v="48"/>
    <x v="1"/>
    <n v="7.5895811479999997"/>
  </r>
  <r>
    <x v="0"/>
    <x v="15"/>
    <x v="17"/>
    <x v="37"/>
    <x v="49"/>
    <x v="1"/>
    <n v="0"/>
  </r>
  <r>
    <x v="0"/>
    <x v="15"/>
    <x v="17"/>
    <x v="37"/>
    <x v="50"/>
    <x v="1"/>
    <n v="0"/>
  </r>
  <r>
    <x v="0"/>
    <x v="15"/>
    <x v="17"/>
    <x v="37"/>
    <x v="51"/>
    <x v="1"/>
    <n v="0"/>
  </r>
  <r>
    <x v="0"/>
    <x v="15"/>
    <x v="17"/>
    <x v="37"/>
    <x v="52"/>
    <x v="1"/>
    <n v="0"/>
  </r>
  <r>
    <x v="0"/>
    <x v="15"/>
    <x v="17"/>
    <x v="37"/>
    <x v="53"/>
    <x v="1"/>
    <n v="0"/>
  </r>
  <r>
    <x v="0"/>
    <x v="15"/>
    <x v="17"/>
    <x v="37"/>
    <x v="54"/>
    <x v="1"/>
    <n v="0"/>
  </r>
  <r>
    <x v="0"/>
    <x v="15"/>
    <x v="17"/>
    <x v="37"/>
    <x v="55"/>
    <x v="1"/>
    <n v="0"/>
  </r>
  <r>
    <x v="0"/>
    <x v="15"/>
    <x v="17"/>
    <x v="38"/>
    <x v="46"/>
    <x v="1"/>
    <n v="34.824055207999997"/>
  </r>
  <r>
    <x v="0"/>
    <x v="15"/>
    <x v="17"/>
    <x v="38"/>
    <x v="47"/>
    <x v="1"/>
    <n v="34.824055207999997"/>
  </r>
  <r>
    <x v="0"/>
    <x v="15"/>
    <x v="17"/>
    <x v="38"/>
    <x v="48"/>
    <x v="1"/>
    <n v="34.824055207999997"/>
  </r>
  <r>
    <x v="0"/>
    <x v="15"/>
    <x v="17"/>
    <x v="38"/>
    <x v="49"/>
    <x v="1"/>
    <n v="0"/>
  </r>
  <r>
    <x v="0"/>
    <x v="15"/>
    <x v="17"/>
    <x v="38"/>
    <x v="50"/>
    <x v="1"/>
    <n v="0"/>
  </r>
  <r>
    <x v="0"/>
    <x v="15"/>
    <x v="17"/>
    <x v="38"/>
    <x v="51"/>
    <x v="1"/>
    <n v="0"/>
  </r>
  <r>
    <x v="0"/>
    <x v="15"/>
    <x v="17"/>
    <x v="38"/>
    <x v="52"/>
    <x v="1"/>
    <n v="0"/>
  </r>
  <r>
    <x v="0"/>
    <x v="15"/>
    <x v="17"/>
    <x v="38"/>
    <x v="53"/>
    <x v="1"/>
    <n v="0"/>
  </r>
  <r>
    <x v="0"/>
    <x v="15"/>
    <x v="17"/>
    <x v="38"/>
    <x v="54"/>
    <x v="1"/>
    <n v="0"/>
  </r>
  <r>
    <x v="0"/>
    <x v="15"/>
    <x v="17"/>
    <x v="38"/>
    <x v="55"/>
    <x v="1"/>
    <n v="0"/>
  </r>
  <r>
    <x v="0"/>
    <x v="15"/>
    <x v="17"/>
    <x v="39"/>
    <x v="46"/>
    <x v="1"/>
    <n v="14.666537163999999"/>
  </r>
  <r>
    <x v="0"/>
    <x v="15"/>
    <x v="17"/>
    <x v="39"/>
    <x v="47"/>
    <x v="1"/>
    <n v="14.666537163999999"/>
  </r>
  <r>
    <x v="0"/>
    <x v="15"/>
    <x v="17"/>
    <x v="39"/>
    <x v="48"/>
    <x v="1"/>
    <n v="14.666537163999999"/>
  </r>
  <r>
    <x v="0"/>
    <x v="15"/>
    <x v="17"/>
    <x v="39"/>
    <x v="49"/>
    <x v="1"/>
    <n v="0"/>
  </r>
  <r>
    <x v="0"/>
    <x v="15"/>
    <x v="17"/>
    <x v="39"/>
    <x v="50"/>
    <x v="1"/>
    <n v="0"/>
  </r>
  <r>
    <x v="0"/>
    <x v="15"/>
    <x v="17"/>
    <x v="39"/>
    <x v="51"/>
    <x v="1"/>
    <n v="0"/>
  </r>
  <r>
    <x v="0"/>
    <x v="15"/>
    <x v="17"/>
    <x v="39"/>
    <x v="52"/>
    <x v="1"/>
    <n v="0"/>
  </r>
  <r>
    <x v="0"/>
    <x v="15"/>
    <x v="17"/>
    <x v="39"/>
    <x v="53"/>
    <x v="1"/>
    <n v="0"/>
  </r>
  <r>
    <x v="0"/>
    <x v="15"/>
    <x v="17"/>
    <x v="39"/>
    <x v="54"/>
    <x v="1"/>
    <n v="0"/>
  </r>
  <r>
    <x v="0"/>
    <x v="15"/>
    <x v="17"/>
    <x v="39"/>
    <x v="55"/>
    <x v="1"/>
    <n v="0"/>
  </r>
  <r>
    <x v="0"/>
    <x v="15"/>
    <x v="17"/>
    <x v="40"/>
    <x v="46"/>
    <x v="1"/>
    <n v="4.2977864520000004"/>
  </r>
  <r>
    <x v="0"/>
    <x v="15"/>
    <x v="17"/>
    <x v="40"/>
    <x v="47"/>
    <x v="1"/>
    <n v="4.2977864520000004"/>
  </r>
  <r>
    <x v="0"/>
    <x v="15"/>
    <x v="17"/>
    <x v="40"/>
    <x v="48"/>
    <x v="1"/>
    <n v="4.2977864520000004"/>
  </r>
  <r>
    <x v="0"/>
    <x v="15"/>
    <x v="17"/>
    <x v="40"/>
    <x v="49"/>
    <x v="1"/>
    <n v="0"/>
  </r>
  <r>
    <x v="0"/>
    <x v="15"/>
    <x v="17"/>
    <x v="40"/>
    <x v="50"/>
    <x v="1"/>
    <n v="0"/>
  </r>
  <r>
    <x v="0"/>
    <x v="15"/>
    <x v="17"/>
    <x v="40"/>
    <x v="51"/>
    <x v="1"/>
    <n v="0"/>
  </r>
  <r>
    <x v="0"/>
    <x v="15"/>
    <x v="17"/>
    <x v="40"/>
    <x v="52"/>
    <x v="1"/>
    <n v="0"/>
  </r>
  <r>
    <x v="0"/>
    <x v="15"/>
    <x v="17"/>
    <x v="40"/>
    <x v="53"/>
    <x v="1"/>
    <n v="0"/>
  </r>
  <r>
    <x v="0"/>
    <x v="15"/>
    <x v="17"/>
    <x v="40"/>
    <x v="54"/>
    <x v="1"/>
    <n v="0"/>
  </r>
  <r>
    <x v="0"/>
    <x v="15"/>
    <x v="17"/>
    <x v="40"/>
    <x v="55"/>
    <x v="1"/>
    <n v="0"/>
  </r>
  <r>
    <x v="0"/>
    <x v="15"/>
    <x v="17"/>
    <x v="41"/>
    <x v="46"/>
    <x v="1"/>
    <n v="69.900018477000003"/>
  </r>
  <r>
    <x v="0"/>
    <x v="15"/>
    <x v="17"/>
    <x v="41"/>
    <x v="47"/>
    <x v="1"/>
    <n v="69.900018477000003"/>
  </r>
  <r>
    <x v="0"/>
    <x v="15"/>
    <x v="17"/>
    <x v="41"/>
    <x v="48"/>
    <x v="1"/>
    <n v="69.900018477000003"/>
  </r>
  <r>
    <x v="0"/>
    <x v="15"/>
    <x v="17"/>
    <x v="41"/>
    <x v="49"/>
    <x v="1"/>
    <n v="0"/>
  </r>
  <r>
    <x v="0"/>
    <x v="15"/>
    <x v="17"/>
    <x v="41"/>
    <x v="50"/>
    <x v="1"/>
    <n v="0"/>
  </r>
  <r>
    <x v="0"/>
    <x v="15"/>
    <x v="17"/>
    <x v="41"/>
    <x v="51"/>
    <x v="1"/>
    <n v="0"/>
  </r>
  <r>
    <x v="0"/>
    <x v="15"/>
    <x v="17"/>
    <x v="41"/>
    <x v="52"/>
    <x v="1"/>
    <n v="0"/>
  </r>
  <r>
    <x v="0"/>
    <x v="15"/>
    <x v="17"/>
    <x v="41"/>
    <x v="53"/>
    <x v="1"/>
    <n v="0"/>
  </r>
  <r>
    <x v="0"/>
    <x v="15"/>
    <x v="17"/>
    <x v="41"/>
    <x v="54"/>
    <x v="1"/>
    <n v="0"/>
  </r>
  <r>
    <x v="0"/>
    <x v="15"/>
    <x v="17"/>
    <x v="41"/>
    <x v="55"/>
    <x v="1"/>
    <n v="0"/>
  </r>
  <r>
    <x v="0"/>
    <x v="15"/>
    <x v="18"/>
    <x v="42"/>
    <x v="46"/>
    <x v="1"/>
    <n v="27.902030135"/>
  </r>
  <r>
    <x v="0"/>
    <x v="15"/>
    <x v="18"/>
    <x v="42"/>
    <x v="47"/>
    <x v="1"/>
    <n v="27.902030135"/>
  </r>
  <r>
    <x v="0"/>
    <x v="15"/>
    <x v="18"/>
    <x v="42"/>
    <x v="48"/>
    <x v="1"/>
    <n v="27.902030135"/>
  </r>
  <r>
    <x v="0"/>
    <x v="15"/>
    <x v="18"/>
    <x v="42"/>
    <x v="49"/>
    <x v="1"/>
    <n v="0"/>
  </r>
  <r>
    <x v="0"/>
    <x v="15"/>
    <x v="18"/>
    <x v="42"/>
    <x v="50"/>
    <x v="1"/>
    <n v="0"/>
  </r>
  <r>
    <x v="0"/>
    <x v="15"/>
    <x v="18"/>
    <x v="42"/>
    <x v="51"/>
    <x v="1"/>
    <n v="0"/>
  </r>
  <r>
    <x v="0"/>
    <x v="15"/>
    <x v="18"/>
    <x v="42"/>
    <x v="52"/>
    <x v="1"/>
    <n v="0"/>
  </r>
  <r>
    <x v="0"/>
    <x v="15"/>
    <x v="18"/>
    <x v="42"/>
    <x v="53"/>
    <x v="1"/>
    <n v="0"/>
  </r>
  <r>
    <x v="0"/>
    <x v="15"/>
    <x v="18"/>
    <x v="42"/>
    <x v="54"/>
    <x v="1"/>
    <n v="0"/>
  </r>
  <r>
    <x v="0"/>
    <x v="15"/>
    <x v="18"/>
    <x v="42"/>
    <x v="55"/>
    <x v="1"/>
    <n v="0"/>
  </r>
  <r>
    <x v="0"/>
    <x v="15"/>
    <x v="18"/>
    <x v="43"/>
    <x v="46"/>
    <x v="1"/>
    <n v="55.327965233"/>
  </r>
  <r>
    <x v="0"/>
    <x v="15"/>
    <x v="18"/>
    <x v="43"/>
    <x v="47"/>
    <x v="1"/>
    <n v="55.327965233"/>
  </r>
  <r>
    <x v="0"/>
    <x v="15"/>
    <x v="18"/>
    <x v="43"/>
    <x v="48"/>
    <x v="1"/>
    <n v="55.327965233"/>
  </r>
  <r>
    <x v="0"/>
    <x v="15"/>
    <x v="18"/>
    <x v="43"/>
    <x v="49"/>
    <x v="1"/>
    <n v="0"/>
  </r>
  <r>
    <x v="0"/>
    <x v="15"/>
    <x v="18"/>
    <x v="43"/>
    <x v="50"/>
    <x v="1"/>
    <n v="0"/>
  </r>
  <r>
    <x v="0"/>
    <x v="15"/>
    <x v="18"/>
    <x v="43"/>
    <x v="51"/>
    <x v="1"/>
    <n v="0"/>
  </r>
  <r>
    <x v="0"/>
    <x v="15"/>
    <x v="18"/>
    <x v="43"/>
    <x v="52"/>
    <x v="1"/>
    <n v="0"/>
  </r>
  <r>
    <x v="0"/>
    <x v="15"/>
    <x v="18"/>
    <x v="43"/>
    <x v="53"/>
    <x v="1"/>
    <n v="0"/>
  </r>
  <r>
    <x v="0"/>
    <x v="15"/>
    <x v="18"/>
    <x v="43"/>
    <x v="54"/>
    <x v="1"/>
    <n v="0"/>
  </r>
  <r>
    <x v="0"/>
    <x v="15"/>
    <x v="18"/>
    <x v="43"/>
    <x v="55"/>
    <x v="1"/>
    <n v="0"/>
  </r>
  <r>
    <x v="0"/>
    <x v="15"/>
    <x v="19"/>
    <x v="44"/>
    <x v="46"/>
    <x v="5"/>
    <n v="845.47262291200002"/>
  </r>
  <r>
    <x v="0"/>
    <x v="15"/>
    <x v="19"/>
    <x v="44"/>
    <x v="47"/>
    <x v="5"/>
    <n v="845.47262291200002"/>
  </r>
  <r>
    <x v="0"/>
    <x v="15"/>
    <x v="19"/>
    <x v="44"/>
    <x v="48"/>
    <x v="5"/>
    <n v="845.47262291200002"/>
  </r>
  <r>
    <x v="0"/>
    <x v="15"/>
    <x v="19"/>
    <x v="44"/>
    <x v="49"/>
    <x v="5"/>
    <n v="0"/>
  </r>
  <r>
    <x v="0"/>
    <x v="15"/>
    <x v="19"/>
    <x v="44"/>
    <x v="50"/>
    <x v="5"/>
    <n v="0"/>
  </r>
  <r>
    <x v="0"/>
    <x v="15"/>
    <x v="19"/>
    <x v="44"/>
    <x v="51"/>
    <x v="5"/>
    <n v="0"/>
  </r>
  <r>
    <x v="0"/>
    <x v="15"/>
    <x v="19"/>
    <x v="44"/>
    <x v="52"/>
    <x v="5"/>
    <n v="0"/>
  </r>
  <r>
    <x v="0"/>
    <x v="15"/>
    <x v="19"/>
    <x v="44"/>
    <x v="53"/>
    <x v="5"/>
    <n v="0"/>
  </r>
  <r>
    <x v="0"/>
    <x v="15"/>
    <x v="19"/>
    <x v="44"/>
    <x v="54"/>
    <x v="5"/>
    <n v="0"/>
  </r>
  <r>
    <x v="0"/>
    <x v="15"/>
    <x v="19"/>
    <x v="44"/>
    <x v="55"/>
    <x v="5"/>
    <n v="0"/>
  </r>
  <r>
    <x v="0"/>
    <x v="15"/>
    <x v="20"/>
    <x v="44"/>
    <x v="0"/>
    <x v="6"/>
    <n v="336.65272352800002"/>
  </r>
  <r>
    <x v="0"/>
    <x v="15"/>
    <x v="21"/>
    <x v="44"/>
    <x v="0"/>
    <x v="6"/>
    <n v="4828.6538839040004"/>
  </r>
  <r>
    <x v="0"/>
    <x v="15"/>
    <x v="22"/>
    <x v="44"/>
    <x v="0"/>
    <x v="5"/>
    <n v="6.9719788000000005E-2"/>
  </r>
  <r>
    <x v="0"/>
    <x v="15"/>
    <x v="23"/>
    <x v="44"/>
    <x v="0"/>
    <x v="5"/>
    <n v="924.48210736199997"/>
  </r>
  <r>
    <x v="0"/>
    <x v="15"/>
    <x v="24"/>
    <x v="44"/>
    <x v="0"/>
    <x v="6"/>
    <n v="1662.457859307"/>
  </r>
  <r>
    <x v="0"/>
    <x v="15"/>
    <x v="25"/>
    <x v="45"/>
    <x v="0"/>
    <x v="6"/>
    <n v="2327.7615573399999"/>
  </r>
  <r>
    <x v="0"/>
    <x v="15"/>
    <x v="26"/>
    <x v="44"/>
    <x v="0"/>
    <x v="6"/>
    <n v="1335.571317074"/>
  </r>
  <r>
    <x v="0"/>
    <x v="15"/>
    <x v="27"/>
    <x v="44"/>
    <x v="0"/>
    <x v="6"/>
    <n v="890.43554205999999"/>
  </r>
  <r>
    <x v="0"/>
    <x v="15"/>
    <x v="28"/>
    <x v="44"/>
    <x v="0"/>
    <x v="6"/>
    <n v="1387.572391877"/>
  </r>
  <r>
    <x v="0"/>
    <x v="15"/>
    <x v="29"/>
    <x v="44"/>
    <x v="0"/>
    <x v="6"/>
    <n v="6.0487379880000001"/>
  </r>
  <r>
    <x v="0"/>
    <x v="15"/>
    <x v="30"/>
    <x v="44"/>
    <x v="0"/>
    <x v="6"/>
    <n v="304.06540736199997"/>
  </r>
  <r>
    <x v="0"/>
    <x v="15"/>
    <x v="31"/>
    <x v="44"/>
    <x v="0"/>
    <x v="6"/>
    <n v="14733.24131951"/>
  </r>
  <r>
    <x v="0"/>
    <x v="15"/>
    <x v="32"/>
    <x v="44"/>
    <x v="0"/>
    <x v="5"/>
    <n v="2.0638052E-2"/>
  </r>
  <r>
    <x v="0"/>
    <x v="15"/>
    <x v="33"/>
    <x v="44"/>
    <x v="0"/>
    <x v="5"/>
    <n v="1.8297000000000001E-5"/>
  </r>
  <r>
    <x v="0"/>
    <x v="15"/>
    <x v="34"/>
    <x v="44"/>
    <x v="0"/>
    <x v="5"/>
    <n v="1"/>
  </r>
  <r>
    <x v="0"/>
    <x v="15"/>
    <x v="35"/>
    <x v="44"/>
    <x v="0"/>
    <x v="5"/>
    <n v="1.075"/>
  </r>
  <r>
    <x v="0"/>
    <x v="15"/>
    <x v="36"/>
    <x v="44"/>
    <x v="0"/>
    <x v="5"/>
    <n v="3.0813693E-2"/>
  </r>
  <r>
    <x v="0"/>
    <x v="15"/>
    <x v="37"/>
    <x v="45"/>
    <x v="0"/>
    <x v="6"/>
    <n v="0"/>
  </r>
  <r>
    <x v="0"/>
    <x v="15"/>
    <x v="38"/>
    <x v="45"/>
    <x v="0"/>
    <x v="6"/>
    <n v="0"/>
  </r>
  <r>
    <x v="0"/>
    <x v="15"/>
    <x v="39"/>
    <x v="45"/>
    <x v="0"/>
    <x v="6"/>
    <n v="1"/>
  </r>
  <r>
    <x v="0"/>
    <x v="15"/>
    <x v="40"/>
    <x v="45"/>
    <x v="0"/>
    <x v="6"/>
    <n v="227.339368573"/>
  </r>
  <r>
    <x v="0"/>
    <x v="15"/>
    <x v="41"/>
    <x v="45"/>
    <x v="0"/>
    <x v="6"/>
    <n v="211.96803273200001"/>
  </r>
  <r>
    <x v="0"/>
    <x v="15"/>
    <x v="42"/>
    <x v="45"/>
    <x v="0"/>
    <x v="6"/>
    <n v="15.371335841"/>
  </r>
  <r>
    <x v="0"/>
    <x v="15"/>
    <x v="43"/>
    <x v="45"/>
    <x v="0"/>
    <x v="6"/>
    <n v="293.35566010000002"/>
  </r>
  <r>
    <x v="0"/>
    <x v="15"/>
    <x v="44"/>
    <x v="45"/>
    <x v="0"/>
    <x v="6"/>
    <n v="0"/>
  </r>
  <r>
    <x v="0"/>
    <x v="15"/>
    <x v="45"/>
    <x v="44"/>
    <x v="0"/>
    <x v="5"/>
    <n v="5.2398292999999999E-2"/>
  </r>
  <r>
    <x v="0"/>
    <x v="15"/>
    <x v="46"/>
    <x v="45"/>
    <x v="0"/>
    <x v="5"/>
    <n v="4.6009345719999999"/>
  </r>
  <r>
    <x v="0"/>
    <x v="15"/>
    <x v="47"/>
    <x v="46"/>
    <x v="0"/>
    <x v="6"/>
    <n v="0.42541224500000002"/>
  </r>
  <r>
    <x v="0"/>
    <x v="15"/>
    <x v="48"/>
    <x v="47"/>
    <x v="0"/>
    <x v="6"/>
    <n v="0"/>
  </r>
  <r>
    <x v="0"/>
    <x v="15"/>
    <x v="49"/>
    <x v="47"/>
    <x v="0"/>
    <x v="6"/>
    <n v="0"/>
  </r>
  <r>
    <x v="0"/>
    <x v="15"/>
    <x v="50"/>
    <x v="48"/>
    <x v="0"/>
    <x v="7"/>
    <n v="156.81597249800001"/>
  </r>
  <r>
    <x v="0"/>
    <x v="15"/>
    <x v="50"/>
    <x v="49"/>
    <x v="0"/>
    <x v="7"/>
    <n v="146.82402261799999"/>
  </r>
  <r>
    <x v="0"/>
    <x v="15"/>
    <x v="51"/>
    <x v="42"/>
    <x v="0"/>
    <x v="4"/>
    <n v="73.924919189999997"/>
  </r>
  <r>
    <x v="0"/>
    <x v="15"/>
    <x v="51"/>
    <x v="43"/>
    <x v="0"/>
    <x v="4"/>
    <n v="246.602331002"/>
  </r>
  <r>
    <x v="0"/>
    <x v="15"/>
    <x v="52"/>
    <x v="42"/>
    <x v="0"/>
    <x v="4"/>
    <n v="39.378033154000001"/>
  </r>
  <r>
    <x v="0"/>
    <x v="15"/>
    <x v="52"/>
    <x v="43"/>
    <x v="0"/>
    <x v="4"/>
    <n v="72.551412690999996"/>
  </r>
  <r>
    <x v="0"/>
    <x v="15"/>
    <x v="53"/>
    <x v="42"/>
    <x v="0"/>
    <x v="4"/>
    <n v="11.476003019"/>
  </r>
  <r>
    <x v="0"/>
    <x v="15"/>
    <x v="53"/>
    <x v="43"/>
    <x v="0"/>
    <x v="4"/>
    <n v="17.223447457999999"/>
  </r>
  <r>
    <x v="0"/>
    <x v="15"/>
    <x v="54"/>
    <x v="42"/>
    <x v="56"/>
    <x v="4"/>
    <n v="28.966482131999999"/>
  </r>
  <r>
    <x v="0"/>
    <x v="15"/>
    <x v="54"/>
    <x v="43"/>
    <x v="56"/>
    <x v="4"/>
    <n v="165.75171695899999"/>
  </r>
  <r>
    <x v="0"/>
    <x v="15"/>
    <x v="55"/>
    <x v="42"/>
    <x v="0"/>
    <x v="4"/>
    <n v="6.4167725999999994E-2"/>
  </r>
  <r>
    <x v="0"/>
    <x v="15"/>
    <x v="55"/>
    <x v="43"/>
    <x v="0"/>
    <x v="4"/>
    <n v="5.9401791000000002E-2"/>
  </r>
  <r>
    <x v="0"/>
    <x v="15"/>
    <x v="56"/>
    <x v="42"/>
    <x v="0"/>
    <x v="4"/>
    <n v="8.1815356000000006E-2"/>
  </r>
  <r>
    <x v="0"/>
    <x v="15"/>
    <x v="56"/>
    <x v="43"/>
    <x v="0"/>
    <x v="4"/>
    <n v="7.9023779000000002E-2"/>
  </r>
  <r>
    <x v="0"/>
    <x v="15"/>
    <x v="57"/>
    <x v="42"/>
    <x v="0"/>
    <x v="4"/>
    <n v="4.1757880999999997E-2"/>
  </r>
  <r>
    <x v="0"/>
    <x v="15"/>
    <x v="57"/>
    <x v="43"/>
    <x v="0"/>
    <x v="4"/>
    <n v="3.9391461000000003E-2"/>
  </r>
  <r>
    <x v="0"/>
    <x v="15"/>
    <x v="58"/>
    <x v="44"/>
    <x v="57"/>
    <x v="5"/>
    <n v="4.2130406000000002E-2"/>
  </r>
  <r>
    <x v="0"/>
    <x v="15"/>
    <x v="59"/>
    <x v="44"/>
    <x v="57"/>
    <x v="6"/>
    <n v="704.06799999999998"/>
  </r>
  <r>
    <x v="0"/>
    <x v="15"/>
    <x v="60"/>
    <x v="0"/>
    <x v="57"/>
    <x v="8"/>
    <n v="227.9833927"/>
  </r>
  <r>
    <x v="0"/>
    <x v="15"/>
    <x v="60"/>
    <x v="1"/>
    <x v="57"/>
    <x v="8"/>
    <n v="27.549043157"/>
  </r>
  <r>
    <x v="0"/>
    <x v="15"/>
    <x v="60"/>
    <x v="2"/>
    <x v="57"/>
    <x v="8"/>
    <n v="93.989224922000005"/>
  </r>
  <r>
    <x v="0"/>
    <x v="15"/>
    <x v="60"/>
    <x v="3"/>
    <x v="57"/>
    <x v="8"/>
    <n v="64.244920436000001"/>
  </r>
  <r>
    <x v="0"/>
    <x v="15"/>
    <x v="60"/>
    <x v="4"/>
    <x v="57"/>
    <x v="8"/>
    <n v="4.7640914490000004"/>
  </r>
  <r>
    <x v="0"/>
    <x v="15"/>
    <x v="60"/>
    <x v="5"/>
    <x v="57"/>
    <x v="8"/>
    <n v="93.700337098999995"/>
  </r>
  <r>
    <x v="0"/>
    <x v="15"/>
    <x v="60"/>
    <x v="6"/>
    <x v="57"/>
    <x v="8"/>
    <n v="14.900704553000001"/>
  </r>
  <r>
    <x v="0"/>
    <x v="15"/>
    <x v="60"/>
    <x v="7"/>
    <x v="57"/>
    <x v="8"/>
    <n v="23.653383440999999"/>
  </r>
  <r>
    <x v="0"/>
    <x v="15"/>
    <x v="60"/>
    <x v="8"/>
    <x v="57"/>
    <x v="8"/>
    <n v="6.3659425870000002"/>
  </r>
  <r>
    <x v="0"/>
    <x v="15"/>
    <x v="60"/>
    <x v="9"/>
    <x v="57"/>
    <x v="8"/>
    <n v="24.176821248"/>
  </r>
  <r>
    <x v="0"/>
    <x v="15"/>
    <x v="60"/>
    <x v="10"/>
    <x v="57"/>
    <x v="8"/>
    <n v="22.237956532999998"/>
  </r>
  <r>
    <x v="0"/>
    <x v="15"/>
    <x v="60"/>
    <x v="11"/>
    <x v="57"/>
    <x v="8"/>
    <n v="129.35551553100001"/>
  </r>
  <r>
    <x v="0"/>
    <x v="15"/>
    <x v="60"/>
    <x v="12"/>
    <x v="57"/>
    <x v="8"/>
    <n v="4.6241275499999999"/>
  </r>
  <r>
    <x v="0"/>
    <x v="15"/>
    <x v="60"/>
    <x v="13"/>
    <x v="57"/>
    <x v="8"/>
    <n v="47.366322076000003"/>
  </r>
  <r>
    <x v="0"/>
    <x v="15"/>
    <x v="60"/>
    <x v="14"/>
    <x v="57"/>
    <x v="8"/>
    <n v="6.2326320849999997"/>
  </r>
  <r>
    <x v="0"/>
    <x v="15"/>
    <x v="60"/>
    <x v="15"/>
    <x v="57"/>
    <x v="8"/>
    <n v="42.345510765999997"/>
  </r>
  <r>
    <x v="0"/>
    <x v="15"/>
    <x v="60"/>
    <x v="16"/>
    <x v="57"/>
    <x v="8"/>
    <n v="36.156748483000001"/>
  </r>
  <r>
    <x v="0"/>
    <x v="15"/>
    <x v="60"/>
    <x v="17"/>
    <x v="57"/>
    <x v="8"/>
    <n v="59.412955629000002"/>
  </r>
  <r>
    <x v="0"/>
    <x v="15"/>
    <x v="60"/>
    <x v="18"/>
    <x v="57"/>
    <x v="8"/>
    <n v="31.904248280000001"/>
  </r>
  <r>
    <x v="0"/>
    <x v="15"/>
    <x v="60"/>
    <x v="19"/>
    <x v="57"/>
    <x v="8"/>
    <n v="201.71035342499999"/>
  </r>
  <r>
    <x v="0"/>
    <x v="15"/>
    <x v="60"/>
    <x v="20"/>
    <x v="57"/>
    <x v="8"/>
    <n v="30.804865039999999"/>
  </r>
  <r>
    <x v="0"/>
    <x v="15"/>
    <x v="60"/>
    <x v="21"/>
    <x v="57"/>
    <x v="8"/>
    <n v="0.56729113600000003"/>
  </r>
  <r>
    <x v="0"/>
    <x v="15"/>
    <x v="60"/>
    <x v="22"/>
    <x v="57"/>
    <x v="8"/>
    <n v="1.2135574410000001"/>
  </r>
  <r>
    <x v="0"/>
    <x v="15"/>
    <x v="60"/>
    <x v="23"/>
    <x v="57"/>
    <x v="8"/>
    <n v="0"/>
  </r>
  <r>
    <x v="0"/>
    <x v="15"/>
    <x v="60"/>
    <x v="24"/>
    <x v="57"/>
    <x v="8"/>
    <n v="0.187348234"/>
  </r>
  <r>
    <x v="0"/>
    <x v="15"/>
    <x v="60"/>
    <x v="25"/>
    <x v="57"/>
    <x v="8"/>
    <n v="-1.3799999999999999E-7"/>
  </r>
  <r>
    <x v="0"/>
    <x v="15"/>
    <x v="60"/>
    <x v="26"/>
    <x v="57"/>
    <x v="8"/>
    <n v="0"/>
  </r>
  <r>
    <x v="0"/>
    <x v="15"/>
    <x v="60"/>
    <x v="27"/>
    <x v="57"/>
    <x v="8"/>
    <n v="2.7777836759999999"/>
  </r>
  <r>
    <x v="0"/>
    <x v="15"/>
    <x v="60"/>
    <x v="28"/>
    <x v="57"/>
    <x v="8"/>
    <n v="0"/>
  </r>
  <r>
    <x v="0"/>
    <x v="15"/>
    <x v="60"/>
    <x v="29"/>
    <x v="57"/>
    <x v="8"/>
    <n v="39.467015058999998"/>
  </r>
  <r>
    <x v="0"/>
    <x v="15"/>
    <x v="60"/>
    <x v="30"/>
    <x v="57"/>
    <x v="8"/>
    <n v="27.160979665999999"/>
  </r>
  <r>
    <x v="0"/>
    <x v="15"/>
    <x v="60"/>
    <x v="31"/>
    <x v="57"/>
    <x v="8"/>
    <n v="5.7654221679999997"/>
  </r>
  <r>
    <x v="0"/>
    <x v="15"/>
    <x v="60"/>
    <x v="32"/>
    <x v="57"/>
    <x v="8"/>
    <n v="3.4552359520000002"/>
  </r>
  <r>
    <x v="0"/>
    <x v="15"/>
    <x v="60"/>
    <x v="33"/>
    <x v="57"/>
    <x v="8"/>
    <n v="0"/>
  </r>
  <r>
    <x v="0"/>
    <x v="15"/>
    <x v="60"/>
    <x v="34"/>
    <x v="57"/>
    <x v="8"/>
    <n v="40.549850845000002"/>
  </r>
  <r>
    <x v="0"/>
    <x v="15"/>
    <x v="60"/>
    <x v="35"/>
    <x v="57"/>
    <x v="8"/>
    <n v="4.3545008200000002"/>
  </r>
  <r>
    <x v="0"/>
    <x v="15"/>
    <x v="60"/>
    <x v="36"/>
    <x v="57"/>
    <x v="8"/>
    <n v="10.085944058999999"/>
  </r>
  <r>
    <x v="0"/>
    <x v="15"/>
    <x v="60"/>
    <x v="37"/>
    <x v="57"/>
    <x v="8"/>
    <n v="2.5125951299999998"/>
  </r>
  <r>
    <x v="0"/>
    <x v="15"/>
    <x v="60"/>
    <x v="38"/>
    <x v="57"/>
    <x v="8"/>
    <n v="13.79222848"/>
  </r>
  <r>
    <x v="0"/>
    <x v="15"/>
    <x v="60"/>
    <x v="39"/>
    <x v="57"/>
    <x v="8"/>
    <n v="4.2885419279999999"/>
  </r>
  <r>
    <x v="0"/>
    <x v="15"/>
    <x v="60"/>
    <x v="40"/>
    <x v="57"/>
    <x v="8"/>
    <n v="28.094090312999999"/>
  </r>
  <r>
    <x v="0"/>
    <x v="15"/>
    <x v="60"/>
    <x v="41"/>
    <x v="57"/>
    <x v="8"/>
    <n v="9.8209101190000005"/>
  </r>
  <r>
    <x v="0"/>
    <x v="15"/>
    <x v="61"/>
    <x v="0"/>
    <x v="57"/>
    <x v="8"/>
    <n v="1.5700978320000001"/>
  </r>
  <r>
    <x v="0"/>
    <x v="15"/>
    <x v="61"/>
    <x v="1"/>
    <x v="57"/>
    <x v="8"/>
    <n v="0.547535518"/>
  </r>
  <r>
    <x v="0"/>
    <x v="15"/>
    <x v="61"/>
    <x v="2"/>
    <x v="57"/>
    <x v="8"/>
    <n v="3.4383161329999998"/>
  </r>
  <r>
    <x v="0"/>
    <x v="15"/>
    <x v="61"/>
    <x v="3"/>
    <x v="57"/>
    <x v="8"/>
    <n v="0.493789796"/>
  </r>
  <r>
    <x v="0"/>
    <x v="15"/>
    <x v="61"/>
    <x v="4"/>
    <x v="57"/>
    <x v="8"/>
    <n v="0.90965328700000003"/>
  </r>
  <r>
    <x v="0"/>
    <x v="15"/>
    <x v="61"/>
    <x v="5"/>
    <x v="57"/>
    <x v="8"/>
    <n v="10.176065589"/>
  </r>
  <r>
    <x v="0"/>
    <x v="15"/>
    <x v="61"/>
    <x v="6"/>
    <x v="57"/>
    <x v="8"/>
    <n v="19.949154"/>
  </r>
  <r>
    <x v="0"/>
    <x v="15"/>
    <x v="61"/>
    <x v="7"/>
    <x v="57"/>
    <x v="8"/>
    <n v="40.210277165999997"/>
  </r>
  <r>
    <x v="0"/>
    <x v="15"/>
    <x v="61"/>
    <x v="8"/>
    <x v="57"/>
    <x v="8"/>
    <n v="15.262883296"/>
  </r>
  <r>
    <x v="0"/>
    <x v="15"/>
    <x v="61"/>
    <x v="9"/>
    <x v="57"/>
    <x v="8"/>
    <n v="36.204776602999999"/>
  </r>
  <r>
    <x v="0"/>
    <x v="15"/>
    <x v="61"/>
    <x v="10"/>
    <x v="57"/>
    <x v="8"/>
    <n v="14.051789364999999"/>
  </r>
  <r>
    <x v="0"/>
    <x v="15"/>
    <x v="61"/>
    <x v="11"/>
    <x v="57"/>
    <x v="8"/>
    <n v="77.214304905999995"/>
  </r>
  <r>
    <x v="0"/>
    <x v="15"/>
    <x v="61"/>
    <x v="12"/>
    <x v="57"/>
    <x v="8"/>
    <n v="16.814226689000002"/>
  </r>
  <r>
    <x v="0"/>
    <x v="15"/>
    <x v="61"/>
    <x v="13"/>
    <x v="57"/>
    <x v="8"/>
    <n v="43.006692866999998"/>
  </r>
  <r>
    <x v="0"/>
    <x v="15"/>
    <x v="61"/>
    <x v="14"/>
    <x v="57"/>
    <x v="8"/>
    <n v="32.175128839999999"/>
  </r>
  <r>
    <x v="0"/>
    <x v="15"/>
    <x v="61"/>
    <x v="15"/>
    <x v="57"/>
    <x v="8"/>
    <n v="43.181960259"/>
  </r>
  <r>
    <x v="0"/>
    <x v="15"/>
    <x v="61"/>
    <x v="16"/>
    <x v="57"/>
    <x v="8"/>
    <n v="20.179549837"/>
  </r>
  <r>
    <x v="0"/>
    <x v="15"/>
    <x v="61"/>
    <x v="17"/>
    <x v="57"/>
    <x v="8"/>
    <n v="34.070412824999998"/>
  </r>
  <r>
    <x v="0"/>
    <x v="15"/>
    <x v="61"/>
    <x v="18"/>
    <x v="57"/>
    <x v="8"/>
    <n v="77.290704906000002"/>
  </r>
  <r>
    <x v="0"/>
    <x v="15"/>
    <x v="61"/>
    <x v="19"/>
    <x v="57"/>
    <x v="8"/>
    <n v="177.286486677"/>
  </r>
  <r>
    <x v="0"/>
    <x v="15"/>
    <x v="61"/>
    <x v="20"/>
    <x v="57"/>
    <x v="8"/>
    <n v="13.404914344"/>
  </r>
  <r>
    <x v="0"/>
    <x v="15"/>
    <x v="61"/>
    <x v="21"/>
    <x v="57"/>
    <x v="8"/>
    <n v="2.8557797599999999"/>
  </r>
  <r>
    <x v="0"/>
    <x v="15"/>
    <x v="61"/>
    <x v="22"/>
    <x v="57"/>
    <x v="8"/>
    <n v="6.3578053160000003"/>
  </r>
  <r>
    <x v="0"/>
    <x v="15"/>
    <x v="61"/>
    <x v="23"/>
    <x v="57"/>
    <x v="8"/>
    <n v="0"/>
  </r>
  <r>
    <x v="0"/>
    <x v="15"/>
    <x v="61"/>
    <x v="24"/>
    <x v="57"/>
    <x v="8"/>
    <n v="0.75137901100000004"/>
  </r>
  <r>
    <x v="0"/>
    <x v="15"/>
    <x v="61"/>
    <x v="25"/>
    <x v="57"/>
    <x v="8"/>
    <n v="0"/>
  </r>
  <r>
    <x v="0"/>
    <x v="15"/>
    <x v="61"/>
    <x v="26"/>
    <x v="57"/>
    <x v="8"/>
    <n v="0"/>
  </r>
  <r>
    <x v="0"/>
    <x v="15"/>
    <x v="61"/>
    <x v="27"/>
    <x v="57"/>
    <x v="8"/>
    <n v="3.2189303819999999"/>
  </r>
  <r>
    <x v="0"/>
    <x v="15"/>
    <x v="61"/>
    <x v="28"/>
    <x v="57"/>
    <x v="8"/>
    <n v="104.143705264"/>
  </r>
  <r>
    <x v="0"/>
    <x v="15"/>
    <x v="61"/>
    <x v="29"/>
    <x v="57"/>
    <x v="8"/>
    <n v="44.151581241000002"/>
  </r>
  <r>
    <x v="0"/>
    <x v="15"/>
    <x v="61"/>
    <x v="30"/>
    <x v="57"/>
    <x v="8"/>
    <n v="1.7339289529999999"/>
  </r>
  <r>
    <x v="0"/>
    <x v="15"/>
    <x v="61"/>
    <x v="31"/>
    <x v="57"/>
    <x v="8"/>
    <n v="11.258363869"/>
  </r>
  <r>
    <x v="0"/>
    <x v="15"/>
    <x v="61"/>
    <x v="32"/>
    <x v="57"/>
    <x v="8"/>
    <n v="5.0275799470000004"/>
  </r>
  <r>
    <x v="0"/>
    <x v="15"/>
    <x v="61"/>
    <x v="33"/>
    <x v="57"/>
    <x v="8"/>
    <n v="0"/>
  </r>
  <r>
    <x v="0"/>
    <x v="15"/>
    <x v="61"/>
    <x v="34"/>
    <x v="57"/>
    <x v="8"/>
    <n v="28.604189787999999"/>
  </r>
  <r>
    <x v="0"/>
    <x v="15"/>
    <x v="61"/>
    <x v="35"/>
    <x v="57"/>
    <x v="8"/>
    <n v="0.179327816"/>
  </r>
  <r>
    <x v="0"/>
    <x v="15"/>
    <x v="61"/>
    <x v="36"/>
    <x v="57"/>
    <x v="8"/>
    <n v="0.72705425099999998"/>
  </r>
  <r>
    <x v="0"/>
    <x v="15"/>
    <x v="61"/>
    <x v="37"/>
    <x v="57"/>
    <x v="8"/>
    <n v="0.44601680799999999"/>
  </r>
  <r>
    <x v="0"/>
    <x v="15"/>
    <x v="61"/>
    <x v="38"/>
    <x v="57"/>
    <x v="8"/>
    <n v="0.13299230200000001"/>
  </r>
  <r>
    <x v="0"/>
    <x v="15"/>
    <x v="61"/>
    <x v="39"/>
    <x v="57"/>
    <x v="8"/>
    <n v="0.160375726"/>
  </r>
  <r>
    <x v="0"/>
    <x v="15"/>
    <x v="61"/>
    <x v="40"/>
    <x v="57"/>
    <x v="8"/>
    <n v="2.9963847399999999"/>
  </r>
  <r>
    <x v="0"/>
    <x v="15"/>
    <x v="61"/>
    <x v="41"/>
    <x v="57"/>
    <x v="8"/>
    <n v="0.25142614899999999"/>
  </r>
  <r>
    <x v="0"/>
    <x v="15"/>
    <x v="62"/>
    <x v="0"/>
    <x v="57"/>
    <x v="9"/>
    <n v="4.2130406000000002E-2"/>
  </r>
  <r>
    <x v="0"/>
    <x v="15"/>
    <x v="62"/>
    <x v="1"/>
    <x v="57"/>
    <x v="9"/>
    <n v="4.2130406000000002E-2"/>
  </r>
  <r>
    <x v="0"/>
    <x v="15"/>
    <x v="62"/>
    <x v="2"/>
    <x v="57"/>
    <x v="9"/>
    <n v="4.2130406000000002E-2"/>
  </r>
  <r>
    <x v="0"/>
    <x v="15"/>
    <x v="62"/>
    <x v="3"/>
    <x v="57"/>
    <x v="9"/>
    <n v="4.2130406000000002E-2"/>
  </r>
  <r>
    <x v="0"/>
    <x v="15"/>
    <x v="62"/>
    <x v="4"/>
    <x v="57"/>
    <x v="9"/>
    <n v="4.2130406000000002E-2"/>
  </r>
  <r>
    <x v="0"/>
    <x v="15"/>
    <x v="62"/>
    <x v="5"/>
    <x v="57"/>
    <x v="9"/>
    <n v="4.2130406000000002E-2"/>
  </r>
  <r>
    <x v="0"/>
    <x v="15"/>
    <x v="62"/>
    <x v="6"/>
    <x v="57"/>
    <x v="9"/>
    <n v="4.2130406000000002E-2"/>
  </r>
  <r>
    <x v="0"/>
    <x v="15"/>
    <x v="62"/>
    <x v="7"/>
    <x v="57"/>
    <x v="9"/>
    <n v="4.2130406000000002E-2"/>
  </r>
  <r>
    <x v="0"/>
    <x v="15"/>
    <x v="62"/>
    <x v="8"/>
    <x v="57"/>
    <x v="9"/>
    <n v="4.2130406000000002E-2"/>
  </r>
  <r>
    <x v="0"/>
    <x v="15"/>
    <x v="62"/>
    <x v="9"/>
    <x v="57"/>
    <x v="9"/>
    <n v="4.2130406000000002E-2"/>
  </r>
  <r>
    <x v="0"/>
    <x v="15"/>
    <x v="62"/>
    <x v="10"/>
    <x v="57"/>
    <x v="9"/>
    <n v="4.2130406000000002E-2"/>
  </r>
  <r>
    <x v="0"/>
    <x v="15"/>
    <x v="62"/>
    <x v="11"/>
    <x v="57"/>
    <x v="9"/>
    <n v="4.2130406000000002E-2"/>
  </r>
  <r>
    <x v="0"/>
    <x v="15"/>
    <x v="62"/>
    <x v="12"/>
    <x v="57"/>
    <x v="9"/>
    <n v="4.2130406000000002E-2"/>
  </r>
  <r>
    <x v="0"/>
    <x v="15"/>
    <x v="62"/>
    <x v="13"/>
    <x v="57"/>
    <x v="9"/>
    <n v="4.2130406000000002E-2"/>
  </r>
  <r>
    <x v="0"/>
    <x v="15"/>
    <x v="62"/>
    <x v="14"/>
    <x v="57"/>
    <x v="9"/>
    <n v="4.2130406000000002E-2"/>
  </r>
  <r>
    <x v="0"/>
    <x v="15"/>
    <x v="62"/>
    <x v="15"/>
    <x v="57"/>
    <x v="9"/>
    <n v="4.2130406000000002E-2"/>
  </r>
  <r>
    <x v="0"/>
    <x v="15"/>
    <x v="62"/>
    <x v="16"/>
    <x v="57"/>
    <x v="9"/>
    <n v="4.2130406000000002E-2"/>
  </r>
  <r>
    <x v="0"/>
    <x v="15"/>
    <x v="62"/>
    <x v="17"/>
    <x v="57"/>
    <x v="9"/>
    <n v="4.2130406000000002E-2"/>
  </r>
  <r>
    <x v="0"/>
    <x v="15"/>
    <x v="62"/>
    <x v="18"/>
    <x v="57"/>
    <x v="9"/>
    <n v="4.2130406000000002E-2"/>
  </r>
  <r>
    <x v="0"/>
    <x v="15"/>
    <x v="62"/>
    <x v="19"/>
    <x v="57"/>
    <x v="9"/>
    <n v="4.2130406000000002E-2"/>
  </r>
  <r>
    <x v="0"/>
    <x v="15"/>
    <x v="62"/>
    <x v="20"/>
    <x v="57"/>
    <x v="9"/>
    <n v="4.2130406000000002E-2"/>
  </r>
  <r>
    <x v="0"/>
    <x v="15"/>
    <x v="62"/>
    <x v="21"/>
    <x v="57"/>
    <x v="9"/>
    <n v="4.2130406000000002E-2"/>
  </r>
  <r>
    <x v="0"/>
    <x v="15"/>
    <x v="62"/>
    <x v="22"/>
    <x v="57"/>
    <x v="9"/>
    <n v="4.2130406000000002E-2"/>
  </r>
  <r>
    <x v="0"/>
    <x v="15"/>
    <x v="62"/>
    <x v="23"/>
    <x v="57"/>
    <x v="9"/>
    <n v="1"/>
  </r>
  <r>
    <x v="0"/>
    <x v="15"/>
    <x v="62"/>
    <x v="24"/>
    <x v="57"/>
    <x v="9"/>
    <n v="4.2130406000000002E-2"/>
  </r>
  <r>
    <x v="0"/>
    <x v="15"/>
    <x v="62"/>
    <x v="25"/>
    <x v="57"/>
    <x v="9"/>
    <n v="4.2130406000000002E-2"/>
  </r>
  <r>
    <x v="0"/>
    <x v="15"/>
    <x v="62"/>
    <x v="26"/>
    <x v="57"/>
    <x v="9"/>
    <n v="1"/>
  </r>
  <r>
    <x v="0"/>
    <x v="15"/>
    <x v="62"/>
    <x v="27"/>
    <x v="57"/>
    <x v="9"/>
    <n v="4.2130406000000002E-2"/>
  </r>
  <r>
    <x v="0"/>
    <x v="15"/>
    <x v="62"/>
    <x v="28"/>
    <x v="57"/>
    <x v="9"/>
    <n v="1"/>
  </r>
  <r>
    <x v="0"/>
    <x v="15"/>
    <x v="62"/>
    <x v="29"/>
    <x v="57"/>
    <x v="9"/>
    <n v="4.2130406000000002E-2"/>
  </r>
  <r>
    <x v="0"/>
    <x v="15"/>
    <x v="62"/>
    <x v="30"/>
    <x v="57"/>
    <x v="9"/>
    <n v="4.2130406000000002E-2"/>
  </r>
  <r>
    <x v="0"/>
    <x v="15"/>
    <x v="62"/>
    <x v="31"/>
    <x v="57"/>
    <x v="9"/>
    <n v="4.2130406000000002E-2"/>
  </r>
  <r>
    <x v="0"/>
    <x v="15"/>
    <x v="62"/>
    <x v="32"/>
    <x v="57"/>
    <x v="9"/>
    <n v="4.2130406000000002E-2"/>
  </r>
  <r>
    <x v="0"/>
    <x v="15"/>
    <x v="62"/>
    <x v="33"/>
    <x v="57"/>
    <x v="9"/>
    <n v="1"/>
  </r>
  <r>
    <x v="0"/>
    <x v="15"/>
    <x v="62"/>
    <x v="34"/>
    <x v="57"/>
    <x v="9"/>
    <n v="4.2130406000000002E-2"/>
  </r>
  <r>
    <x v="0"/>
    <x v="15"/>
    <x v="62"/>
    <x v="35"/>
    <x v="57"/>
    <x v="9"/>
    <n v="4.2130406000000002E-2"/>
  </r>
  <r>
    <x v="0"/>
    <x v="15"/>
    <x v="62"/>
    <x v="36"/>
    <x v="57"/>
    <x v="9"/>
    <n v="4.2130406000000002E-2"/>
  </r>
  <r>
    <x v="0"/>
    <x v="15"/>
    <x v="62"/>
    <x v="37"/>
    <x v="57"/>
    <x v="9"/>
    <n v="4.2130406000000002E-2"/>
  </r>
  <r>
    <x v="0"/>
    <x v="15"/>
    <x v="62"/>
    <x v="38"/>
    <x v="57"/>
    <x v="9"/>
    <n v="4.2130406000000002E-2"/>
  </r>
  <r>
    <x v="0"/>
    <x v="15"/>
    <x v="62"/>
    <x v="39"/>
    <x v="57"/>
    <x v="9"/>
    <n v="4.2130406000000002E-2"/>
  </r>
  <r>
    <x v="0"/>
    <x v="15"/>
    <x v="62"/>
    <x v="40"/>
    <x v="57"/>
    <x v="9"/>
    <n v="4.2130406000000002E-2"/>
  </r>
  <r>
    <x v="0"/>
    <x v="15"/>
    <x v="62"/>
    <x v="41"/>
    <x v="57"/>
    <x v="9"/>
    <n v="4.2130406000000002E-2"/>
  </r>
  <r>
    <x v="0"/>
    <x v="15"/>
    <x v="63"/>
    <x v="0"/>
    <x v="57"/>
    <x v="9"/>
    <n v="5.1677751000000001E-2"/>
  </r>
  <r>
    <x v="0"/>
    <x v="15"/>
    <x v="63"/>
    <x v="1"/>
    <x v="57"/>
    <x v="9"/>
    <n v="3.3998953999999998E-2"/>
  </r>
  <r>
    <x v="0"/>
    <x v="15"/>
    <x v="63"/>
    <x v="2"/>
    <x v="57"/>
    <x v="9"/>
    <n v="2.916999E-2"/>
  </r>
  <r>
    <x v="0"/>
    <x v="15"/>
    <x v="63"/>
    <x v="3"/>
    <x v="57"/>
    <x v="9"/>
    <n v="3.2811792999999999E-2"/>
  </r>
  <r>
    <x v="0"/>
    <x v="15"/>
    <x v="63"/>
    <x v="4"/>
    <x v="57"/>
    <x v="9"/>
    <n v="3.0965089000000001E-2"/>
  </r>
  <r>
    <x v="0"/>
    <x v="15"/>
    <x v="63"/>
    <x v="5"/>
    <x v="57"/>
    <x v="9"/>
    <n v="3.4008164E-2"/>
  </r>
  <r>
    <x v="0"/>
    <x v="15"/>
    <x v="63"/>
    <x v="6"/>
    <x v="57"/>
    <x v="9"/>
    <n v="3.2337454000000002E-2"/>
  </r>
  <r>
    <x v="0"/>
    <x v="15"/>
    <x v="63"/>
    <x v="7"/>
    <x v="57"/>
    <x v="9"/>
    <n v="3.3274718000000002E-2"/>
  </r>
  <r>
    <x v="0"/>
    <x v="15"/>
    <x v="63"/>
    <x v="8"/>
    <x v="57"/>
    <x v="9"/>
    <n v="3.2047319999999997E-2"/>
  </r>
  <r>
    <x v="0"/>
    <x v="15"/>
    <x v="63"/>
    <x v="9"/>
    <x v="57"/>
    <x v="9"/>
    <n v="2.82191E-2"/>
  </r>
  <r>
    <x v="0"/>
    <x v="15"/>
    <x v="63"/>
    <x v="10"/>
    <x v="57"/>
    <x v="9"/>
    <n v="2.2556907000000001E-2"/>
  </r>
  <r>
    <x v="0"/>
    <x v="15"/>
    <x v="63"/>
    <x v="11"/>
    <x v="57"/>
    <x v="9"/>
    <n v="2.6387259999999999E-2"/>
  </r>
  <r>
    <x v="0"/>
    <x v="15"/>
    <x v="63"/>
    <x v="12"/>
    <x v="57"/>
    <x v="9"/>
    <n v="2.8320886E-2"/>
  </r>
  <r>
    <x v="0"/>
    <x v="15"/>
    <x v="63"/>
    <x v="13"/>
    <x v="57"/>
    <x v="9"/>
    <n v="2.4250805E-2"/>
  </r>
  <r>
    <x v="0"/>
    <x v="15"/>
    <x v="63"/>
    <x v="14"/>
    <x v="57"/>
    <x v="9"/>
    <n v="2.6017202E-2"/>
  </r>
  <r>
    <x v="0"/>
    <x v="15"/>
    <x v="63"/>
    <x v="15"/>
    <x v="57"/>
    <x v="9"/>
    <n v="2.9135734999999999E-2"/>
  </r>
  <r>
    <x v="0"/>
    <x v="15"/>
    <x v="63"/>
    <x v="16"/>
    <x v="57"/>
    <x v="9"/>
    <n v="3.0046153999999999E-2"/>
  </r>
  <r>
    <x v="0"/>
    <x v="15"/>
    <x v="63"/>
    <x v="17"/>
    <x v="57"/>
    <x v="9"/>
    <n v="2.9101193000000001E-2"/>
  </r>
  <r>
    <x v="0"/>
    <x v="15"/>
    <x v="63"/>
    <x v="18"/>
    <x v="57"/>
    <x v="9"/>
    <n v="2.6519942000000001E-2"/>
  </r>
  <r>
    <x v="0"/>
    <x v="15"/>
    <x v="63"/>
    <x v="19"/>
    <x v="57"/>
    <x v="9"/>
    <n v="3.1302889E-2"/>
  </r>
  <r>
    <x v="0"/>
    <x v="15"/>
    <x v="63"/>
    <x v="20"/>
    <x v="57"/>
    <x v="9"/>
    <n v="3.0673407999999999E-2"/>
  </r>
  <r>
    <x v="0"/>
    <x v="15"/>
    <x v="63"/>
    <x v="21"/>
    <x v="57"/>
    <x v="9"/>
    <n v="2.8367954000000001E-2"/>
  </r>
  <r>
    <x v="0"/>
    <x v="15"/>
    <x v="63"/>
    <x v="22"/>
    <x v="57"/>
    <x v="9"/>
    <n v="1.5516721000000001E-2"/>
  </r>
  <r>
    <x v="0"/>
    <x v="15"/>
    <x v="63"/>
    <x v="23"/>
    <x v="57"/>
    <x v="9"/>
    <n v="1"/>
  </r>
  <r>
    <x v="0"/>
    <x v="15"/>
    <x v="63"/>
    <x v="24"/>
    <x v="57"/>
    <x v="9"/>
    <n v="2.4470773000000001E-2"/>
  </r>
  <r>
    <x v="0"/>
    <x v="15"/>
    <x v="63"/>
    <x v="25"/>
    <x v="57"/>
    <x v="9"/>
    <n v="1"/>
  </r>
  <r>
    <x v="0"/>
    <x v="15"/>
    <x v="63"/>
    <x v="26"/>
    <x v="57"/>
    <x v="9"/>
    <n v="1"/>
  </r>
  <r>
    <x v="0"/>
    <x v="15"/>
    <x v="63"/>
    <x v="27"/>
    <x v="57"/>
    <x v="9"/>
    <n v="3.2550434000000003E-2"/>
  </r>
  <r>
    <x v="0"/>
    <x v="15"/>
    <x v="63"/>
    <x v="28"/>
    <x v="57"/>
    <x v="9"/>
    <n v="3.3518030999999997E-2"/>
  </r>
  <r>
    <x v="0"/>
    <x v="15"/>
    <x v="63"/>
    <x v="29"/>
    <x v="57"/>
    <x v="9"/>
    <n v="2.8692217999999999E-2"/>
  </r>
  <r>
    <x v="0"/>
    <x v="15"/>
    <x v="63"/>
    <x v="30"/>
    <x v="57"/>
    <x v="9"/>
    <n v="3.9961364999999999E-2"/>
  </r>
  <r>
    <x v="0"/>
    <x v="15"/>
    <x v="63"/>
    <x v="31"/>
    <x v="57"/>
    <x v="9"/>
    <n v="2.6720852E-2"/>
  </r>
  <r>
    <x v="0"/>
    <x v="15"/>
    <x v="63"/>
    <x v="32"/>
    <x v="57"/>
    <x v="9"/>
    <n v="2.8209944000000001E-2"/>
  </r>
  <r>
    <x v="0"/>
    <x v="15"/>
    <x v="63"/>
    <x v="33"/>
    <x v="57"/>
    <x v="9"/>
    <n v="1"/>
  </r>
  <r>
    <x v="0"/>
    <x v="15"/>
    <x v="63"/>
    <x v="34"/>
    <x v="57"/>
    <x v="9"/>
    <n v="2.933962E-2"/>
  </r>
  <r>
    <x v="0"/>
    <x v="15"/>
    <x v="63"/>
    <x v="35"/>
    <x v="57"/>
    <x v="9"/>
    <n v="2.9525402999999999E-2"/>
  </r>
  <r>
    <x v="0"/>
    <x v="15"/>
    <x v="63"/>
    <x v="36"/>
    <x v="57"/>
    <x v="9"/>
    <n v="3.0667100999999999E-2"/>
  </r>
  <r>
    <x v="0"/>
    <x v="15"/>
    <x v="63"/>
    <x v="37"/>
    <x v="57"/>
    <x v="9"/>
    <n v="3.9350863E-2"/>
  </r>
  <r>
    <x v="0"/>
    <x v="15"/>
    <x v="63"/>
    <x v="38"/>
    <x v="57"/>
    <x v="9"/>
    <n v="4.9427871999999998E-2"/>
  </r>
  <r>
    <x v="0"/>
    <x v="15"/>
    <x v="63"/>
    <x v="39"/>
    <x v="57"/>
    <x v="9"/>
    <n v="3.7327007000000002E-2"/>
  </r>
  <r>
    <x v="0"/>
    <x v="15"/>
    <x v="63"/>
    <x v="40"/>
    <x v="57"/>
    <x v="9"/>
    <n v="3.6280077000000001E-2"/>
  </r>
  <r>
    <x v="0"/>
    <x v="15"/>
    <x v="63"/>
    <x v="41"/>
    <x v="57"/>
    <x v="9"/>
    <n v="4.0717072999999999E-2"/>
  </r>
  <r>
    <x v="0"/>
    <x v="15"/>
    <x v="64"/>
    <x v="0"/>
    <x v="57"/>
    <x v="10"/>
    <n v="0"/>
  </r>
  <r>
    <x v="0"/>
    <x v="15"/>
    <x v="64"/>
    <x v="1"/>
    <x v="57"/>
    <x v="10"/>
    <n v="0"/>
  </r>
  <r>
    <x v="0"/>
    <x v="15"/>
    <x v="64"/>
    <x v="2"/>
    <x v="57"/>
    <x v="10"/>
    <n v="0"/>
  </r>
  <r>
    <x v="0"/>
    <x v="15"/>
    <x v="64"/>
    <x v="3"/>
    <x v="57"/>
    <x v="10"/>
    <n v="0"/>
  </r>
  <r>
    <x v="0"/>
    <x v="15"/>
    <x v="64"/>
    <x v="4"/>
    <x v="57"/>
    <x v="10"/>
    <n v="0"/>
  </r>
  <r>
    <x v="0"/>
    <x v="15"/>
    <x v="64"/>
    <x v="5"/>
    <x v="57"/>
    <x v="10"/>
    <n v="0"/>
  </r>
  <r>
    <x v="0"/>
    <x v="15"/>
    <x v="64"/>
    <x v="6"/>
    <x v="57"/>
    <x v="10"/>
    <n v="0"/>
  </r>
  <r>
    <x v="0"/>
    <x v="15"/>
    <x v="64"/>
    <x v="7"/>
    <x v="57"/>
    <x v="10"/>
    <n v="0"/>
  </r>
  <r>
    <x v="0"/>
    <x v="15"/>
    <x v="64"/>
    <x v="8"/>
    <x v="57"/>
    <x v="10"/>
    <n v="0"/>
  </r>
  <r>
    <x v="0"/>
    <x v="15"/>
    <x v="64"/>
    <x v="9"/>
    <x v="57"/>
    <x v="10"/>
    <n v="0"/>
  </r>
  <r>
    <x v="0"/>
    <x v="15"/>
    <x v="64"/>
    <x v="10"/>
    <x v="57"/>
    <x v="10"/>
    <n v="0"/>
  </r>
  <r>
    <x v="0"/>
    <x v="15"/>
    <x v="64"/>
    <x v="11"/>
    <x v="57"/>
    <x v="10"/>
    <n v="0"/>
  </r>
  <r>
    <x v="0"/>
    <x v="15"/>
    <x v="64"/>
    <x v="12"/>
    <x v="57"/>
    <x v="10"/>
    <n v="0"/>
  </r>
  <r>
    <x v="0"/>
    <x v="15"/>
    <x v="64"/>
    <x v="13"/>
    <x v="57"/>
    <x v="10"/>
    <n v="0"/>
  </r>
  <r>
    <x v="0"/>
    <x v="15"/>
    <x v="64"/>
    <x v="14"/>
    <x v="57"/>
    <x v="10"/>
    <n v="0"/>
  </r>
  <r>
    <x v="0"/>
    <x v="15"/>
    <x v="64"/>
    <x v="15"/>
    <x v="57"/>
    <x v="10"/>
    <n v="0"/>
  </r>
  <r>
    <x v="0"/>
    <x v="15"/>
    <x v="64"/>
    <x v="16"/>
    <x v="57"/>
    <x v="10"/>
    <n v="0"/>
  </r>
  <r>
    <x v="0"/>
    <x v="15"/>
    <x v="64"/>
    <x v="17"/>
    <x v="57"/>
    <x v="10"/>
    <n v="0"/>
  </r>
  <r>
    <x v="0"/>
    <x v="15"/>
    <x v="64"/>
    <x v="18"/>
    <x v="57"/>
    <x v="10"/>
    <n v="0"/>
  </r>
  <r>
    <x v="0"/>
    <x v="15"/>
    <x v="64"/>
    <x v="19"/>
    <x v="57"/>
    <x v="10"/>
    <n v="0"/>
  </r>
  <r>
    <x v="0"/>
    <x v="15"/>
    <x v="64"/>
    <x v="20"/>
    <x v="57"/>
    <x v="10"/>
    <n v="0"/>
  </r>
  <r>
    <x v="0"/>
    <x v="15"/>
    <x v="64"/>
    <x v="21"/>
    <x v="57"/>
    <x v="10"/>
    <n v="0"/>
  </r>
  <r>
    <x v="0"/>
    <x v="15"/>
    <x v="64"/>
    <x v="22"/>
    <x v="57"/>
    <x v="10"/>
    <n v="0"/>
  </r>
  <r>
    <x v="0"/>
    <x v="15"/>
    <x v="64"/>
    <x v="23"/>
    <x v="57"/>
    <x v="10"/>
    <n v="0"/>
  </r>
  <r>
    <x v="0"/>
    <x v="15"/>
    <x v="64"/>
    <x v="24"/>
    <x v="57"/>
    <x v="10"/>
    <n v="0"/>
  </r>
  <r>
    <x v="0"/>
    <x v="15"/>
    <x v="64"/>
    <x v="25"/>
    <x v="57"/>
    <x v="10"/>
    <n v="0"/>
  </r>
  <r>
    <x v="0"/>
    <x v="15"/>
    <x v="64"/>
    <x v="26"/>
    <x v="57"/>
    <x v="10"/>
    <n v="0"/>
  </r>
  <r>
    <x v="0"/>
    <x v="15"/>
    <x v="64"/>
    <x v="27"/>
    <x v="57"/>
    <x v="10"/>
    <n v="0"/>
  </r>
  <r>
    <x v="0"/>
    <x v="15"/>
    <x v="64"/>
    <x v="28"/>
    <x v="57"/>
    <x v="10"/>
    <n v="0"/>
  </r>
  <r>
    <x v="0"/>
    <x v="15"/>
    <x v="64"/>
    <x v="29"/>
    <x v="57"/>
    <x v="10"/>
    <n v="0"/>
  </r>
  <r>
    <x v="0"/>
    <x v="15"/>
    <x v="64"/>
    <x v="30"/>
    <x v="57"/>
    <x v="10"/>
    <n v="0"/>
  </r>
  <r>
    <x v="0"/>
    <x v="15"/>
    <x v="64"/>
    <x v="31"/>
    <x v="57"/>
    <x v="10"/>
    <n v="0"/>
  </r>
  <r>
    <x v="0"/>
    <x v="15"/>
    <x v="64"/>
    <x v="32"/>
    <x v="57"/>
    <x v="10"/>
    <n v="0"/>
  </r>
  <r>
    <x v="0"/>
    <x v="15"/>
    <x v="64"/>
    <x v="33"/>
    <x v="57"/>
    <x v="10"/>
    <n v="0"/>
  </r>
  <r>
    <x v="0"/>
    <x v="15"/>
    <x v="64"/>
    <x v="34"/>
    <x v="57"/>
    <x v="10"/>
    <n v="0"/>
  </r>
  <r>
    <x v="0"/>
    <x v="15"/>
    <x v="64"/>
    <x v="35"/>
    <x v="57"/>
    <x v="10"/>
    <n v="0"/>
  </r>
  <r>
    <x v="0"/>
    <x v="15"/>
    <x v="64"/>
    <x v="36"/>
    <x v="57"/>
    <x v="10"/>
    <n v="0"/>
  </r>
  <r>
    <x v="0"/>
    <x v="15"/>
    <x v="64"/>
    <x v="37"/>
    <x v="57"/>
    <x v="10"/>
    <n v="0"/>
  </r>
  <r>
    <x v="0"/>
    <x v="15"/>
    <x v="64"/>
    <x v="38"/>
    <x v="57"/>
    <x v="10"/>
    <n v="0"/>
  </r>
  <r>
    <x v="0"/>
    <x v="15"/>
    <x v="64"/>
    <x v="39"/>
    <x v="57"/>
    <x v="10"/>
    <n v="0"/>
  </r>
  <r>
    <x v="0"/>
    <x v="15"/>
    <x v="64"/>
    <x v="40"/>
    <x v="57"/>
    <x v="10"/>
    <n v="0"/>
  </r>
  <r>
    <x v="0"/>
    <x v="15"/>
    <x v="64"/>
    <x v="41"/>
    <x v="57"/>
    <x v="10"/>
    <n v="0"/>
  </r>
  <r>
    <x v="0"/>
    <x v="15"/>
    <x v="65"/>
    <x v="48"/>
    <x v="58"/>
    <x v="11"/>
    <n v="1988.0799277000001"/>
  </r>
  <r>
    <x v="0"/>
    <x v="15"/>
    <x v="65"/>
    <x v="49"/>
    <x v="58"/>
    <x v="11"/>
    <n v="1923.699587951"/>
  </r>
  <r>
    <x v="0"/>
    <x v="15"/>
    <x v="66"/>
    <x v="48"/>
    <x v="58"/>
    <x v="12"/>
    <n v="7.8878103000000005E-2"/>
  </r>
  <r>
    <x v="0"/>
    <x v="15"/>
    <x v="66"/>
    <x v="49"/>
    <x v="58"/>
    <x v="12"/>
    <n v="7.6323778999999994E-2"/>
  </r>
  <r>
    <x v="0"/>
    <x v="16"/>
    <x v="0"/>
    <x v="0"/>
    <x v="0"/>
    <x v="0"/>
    <n v="848.020153327"/>
  </r>
  <r>
    <x v="0"/>
    <x v="16"/>
    <x v="1"/>
    <x v="0"/>
    <x v="0"/>
    <x v="1"/>
    <n v="0.104968861"/>
  </r>
  <r>
    <x v="0"/>
    <x v="16"/>
    <x v="2"/>
    <x v="0"/>
    <x v="0"/>
    <x v="1"/>
    <n v="324.01910687700001"/>
  </r>
  <r>
    <x v="0"/>
    <x v="16"/>
    <x v="3"/>
    <x v="0"/>
    <x v="0"/>
    <x v="1"/>
    <n v="0.12732410899999999"/>
  </r>
  <r>
    <x v="0"/>
    <x v="16"/>
    <x v="0"/>
    <x v="1"/>
    <x v="0"/>
    <x v="0"/>
    <n v="273.36420488700003"/>
  </r>
  <r>
    <x v="0"/>
    <x v="16"/>
    <x v="1"/>
    <x v="1"/>
    <x v="0"/>
    <x v="1"/>
    <n v="5.8898705000000003E-2"/>
  </r>
  <r>
    <x v="0"/>
    <x v="16"/>
    <x v="2"/>
    <x v="1"/>
    <x v="0"/>
    <x v="1"/>
    <n v="166.59901842799999"/>
  </r>
  <r>
    <x v="0"/>
    <x v="16"/>
    <x v="3"/>
    <x v="1"/>
    <x v="0"/>
    <x v="1"/>
    <n v="7.4224838000000001E-2"/>
  </r>
  <r>
    <x v="0"/>
    <x v="16"/>
    <x v="0"/>
    <x v="2"/>
    <x v="0"/>
    <x v="0"/>
    <n v="327.42017773200001"/>
  </r>
  <r>
    <x v="0"/>
    <x v="16"/>
    <x v="1"/>
    <x v="2"/>
    <x v="0"/>
    <x v="1"/>
    <n v="3.7315871E-2"/>
  </r>
  <r>
    <x v="0"/>
    <x v="16"/>
    <x v="2"/>
    <x v="2"/>
    <x v="0"/>
    <x v="1"/>
    <n v="187.66987792899999"/>
  </r>
  <r>
    <x v="0"/>
    <x v="16"/>
    <x v="3"/>
    <x v="2"/>
    <x v="0"/>
    <x v="1"/>
    <n v="2.535478E-2"/>
  </r>
  <r>
    <x v="0"/>
    <x v="16"/>
    <x v="0"/>
    <x v="3"/>
    <x v="0"/>
    <x v="0"/>
    <n v="151.218400258"/>
  </r>
  <r>
    <x v="0"/>
    <x v="16"/>
    <x v="1"/>
    <x v="3"/>
    <x v="0"/>
    <x v="1"/>
    <n v="4.8651013999999999E-2"/>
  </r>
  <r>
    <x v="0"/>
    <x v="16"/>
    <x v="2"/>
    <x v="3"/>
    <x v="0"/>
    <x v="1"/>
    <n v="102.993935294"/>
  </r>
  <r>
    <x v="0"/>
    <x v="16"/>
    <x v="3"/>
    <x v="3"/>
    <x v="0"/>
    <x v="1"/>
    <n v="5.5816826E-2"/>
  </r>
  <r>
    <x v="0"/>
    <x v="16"/>
    <x v="0"/>
    <x v="4"/>
    <x v="0"/>
    <x v="0"/>
    <n v="72.635117573000002"/>
  </r>
  <r>
    <x v="0"/>
    <x v="16"/>
    <x v="1"/>
    <x v="4"/>
    <x v="0"/>
    <x v="1"/>
    <n v="5.2711148999999999E-2"/>
  </r>
  <r>
    <x v="0"/>
    <x v="16"/>
    <x v="2"/>
    <x v="4"/>
    <x v="0"/>
    <x v="1"/>
    <n v="48.872947885000002"/>
  </r>
  <r>
    <x v="0"/>
    <x v="16"/>
    <x v="3"/>
    <x v="4"/>
    <x v="0"/>
    <x v="1"/>
    <n v="6.5491374000000005E-2"/>
  </r>
  <r>
    <x v="0"/>
    <x v="16"/>
    <x v="0"/>
    <x v="5"/>
    <x v="0"/>
    <x v="0"/>
    <n v="726.26763516100004"/>
  </r>
  <r>
    <x v="0"/>
    <x v="16"/>
    <x v="1"/>
    <x v="5"/>
    <x v="0"/>
    <x v="1"/>
    <n v="7.1987369999999995E-2"/>
  </r>
  <r>
    <x v="0"/>
    <x v="16"/>
    <x v="2"/>
    <x v="5"/>
    <x v="0"/>
    <x v="1"/>
    <n v="606.85174567299998"/>
  </r>
  <r>
    <x v="0"/>
    <x v="16"/>
    <x v="3"/>
    <x v="5"/>
    <x v="0"/>
    <x v="1"/>
    <n v="4.4941810999999998E-2"/>
  </r>
  <r>
    <x v="0"/>
    <x v="16"/>
    <x v="0"/>
    <x v="6"/>
    <x v="0"/>
    <x v="0"/>
    <n v="244.86348977"/>
  </r>
  <r>
    <x v="0"/>
    <x v="16"/>
    <x v="1"/>
    <x v="6"/>
    <x v="0"/>
    <x v="1"/>
    <n v="6.5725573999999995E-2"/>
  </r>
  <r>
    <x v="0"/>
    <x v="16"/>
    <x v="2"/>
    <x v="6"/>
    <x v="0"/>
    <x v="1"/>
    <n v="204.95417692000001"/>
  </r>
  <r>
    <x v="0"/>
    <x v="16"/>
    <x v="3"/>
    <x v="6"/>
    <x v="0"/>
    <x v="1"/>
    <n v="6.0873873000000002E-2"/>
  </r>
  <r>
    <x v="0"/>
    <x v="16"/>
    <x v="0"/>
    <x v="7"/>
    <x v="0"/>
    <x v="0"/>
    <n v="159.98664823999999"/>
  </r>
  <r>
    <x v="0"/>
    <x v="16"/>
    <x v="1"/>
    <x v="7"/>
    <x v="0"/>
    <x v="1"/>
    <n v="6.3486979999999998E-2"/>
  </r>
  <r>
    <x v="0"/>
    <x v="16"/>
    <x v="2"/>
    <x v="7"/>
    <x v="0"/>
    <x v="1"/>
    <n v="130.13083099799999"/>
  </r>
  <r>
    <x v="0"/>
    <x v="16"/>
    <x v="3"/>
    <x v="7"/>
    <x v="0"/>
    <x v="1"/>
    <n v="7.1926449000000003E-2"/>
  </r>
  <r>
    <x v="0"/>
    <x v="16"/>
    <x v="0"/>
    <x v="8"/>
    <x v="0"/>
    <x v="0"/>
    <n v="107.780261955"/>
  </r>
  <r>
    <x v="0"/>
    <x v="16"/>
    <x v="1"/>
    <x v="8"/>
    <x v="0"/>
    <x v="1"/>
    <n v="6.0178375999999999E-2"/>
  </r>
  <r>
    <x v="0"/>
    <x v="16"/>
    <x v="2"/>
    <x v="8"/>
    <x v="0"/>
    <x v="1"/>
    <n v="88.006795806"/>
  </r>
  <r>
    <x v="0"/>
    <x v="16"/>
    <x v="3"/>
    <x v="8"/>
    <x v="0"/>
    <x v="1"/>
    <n v="5.8310086999999997E-2"/>
  </r>
  <r>
    <x v="0"/>
    <x v="16"/>
    <x v="0"/>
    <x v="9"/>
    <x v="0"/>
    <x v="0"/>
    <n v="298.33662048299999"/>
  </r>
  <r>
    <x v="0"/>
    <x v="16"/>
    <x v="1"/>
    <x v="9"/>
    <x v="0"/>
    <x v="1"/>
    <n v="5.3878328000000003E-2"/>
  </r>
  <r>
    <x v="0"/>
    <x v="16"/>
    <x v="2"/>
    <x v="9"/>
    <x v="0"/>
    <x v="1"/>
    <n v="238.89578496300001"/>
  </r>
  <r>
    <x v="0"/>
    <x v="16"/>
    <x v="3"/>
    <x v="9"/>
    <x v="0"/>
    <x v="1"/>
    <n v="6.2647559000000005E-2"/>
  </r>
  <r>
    <x v="0"/>
    <x v="16"/>
    <x v="0"/>
    <x v="10"/>
    <x v="0"/>
    <x v="0"/>
    <n v="440.03381356099999"/>
  </r>
  <r>
    <x v="0"/>
    <x v="16"/>
    <x v="1"/>
    <x v="10"/>
    <x v="0"/>
    <x v="1"/>
    <n v="3.8549803000000001E-2"/>
  </r>
  <r>
    <x v="0"/>
    <x v="16"/>
    <x v="2"/>
    <x v="10"/>
    <x v="0"/>
    <x v="1"/>
    <n v="403.08918520200001"/>
  </r>
  <r>
    <x v="0"/>
    <x v="16"/>
    <x v="3"/>
    <x v="10"/>
    <x v="0"/>
    <x v="1"/>
    <n v="4.4738202999999997E-2"/>
  </r>
  <r>
    <x v="0"/>
    <x v="16"/>
    <x v="0"/>
    <x v="11"/>
    <x v="0"/>
    <x v="0"/>
    <n v="1171.3436574550001"/>
  </r>
  <r>
    <x v="0"/>
    <x v="16"/>
    <x v="1"/>
    <x v="11"/>
    <x v="0"/>
    <x v="1"/>
    <n v="4.7767735999999998E-2"/>
  </r>
  <r>
    <x v="0"/>
    <x v="16"/>
    <x v="2"/>
    <x v="11"/>
    <x v="0"/>
    <x v="1"/>
    <n v="984.23959249899997"/>
  </r>
  <r>
    <x v="0"/>
    <x v="16"/>
    <x v="3"/>
    <x v="11"/>
    <x v="0"/>
    <x v="1"/>
    <n v="4.0749885999999999E-2"/>
  </r>
  <r>
    <x v="0"/>
    <x v="16"/>
    <x v="0"/>
    <x v="12"/>
    <x v="0"/>
    <x v="0"/>
    <n v="281.10186738800002"/>
  </r>
  <r>
    <x v="0"/>
    <x v="16"/>
    <x v="1"/>
    <x v="12"/>
    <x v="0"/>
    <x v="1"/>
    <n v="4.8366254999999997E-2"/>
  </r>
  <r>
    <x v="0"/>
    <x v="16"/>
    <x v="2"/>
    <x v="12"/>
    <x v="0"/>
    <x v="1"/>
    <n v="225.20210919799999"/>
  </r>
  <r>
    <x v="0"/>
    <x v="16"/>
    <x v="3"/>
    <x v="12"/>
    <x v="0"/>
    <x v="1"/>
    <n v="5.3515194000000002E-2"/>
  </r>
  <r>
    <x v="0"/>
    <x v="16"/>
    <x v="0"/>
    <x v="13"/>
    <x v="0"/>
    <x v="0"/>
    <n v="818.39211305799995"/>
  </r>
  <r>
    <x v="0"/>
    <x v="16"/>
    <x v="1"/>
    <x v="13"/>
    <x v="0"/>
    <x v="1"/>
    <n v="3.9678923999999997E-2"/>
  </r>
  <r>
    <x v="0"/>
    <x v="16"/>
    <x v="2"/>
    <x v="13"/>
    <x v="0"/>
    <x v="1"/>
    <n v="694.54406465600005"/>
  </r>
  <r>
    <x v="0"/>
    <x v="16"/>
    <x v="3"/>
    <x v="13"/>
    <x v="0"/>
    <x v="1"/>
    <n v="3.5259634999999998E-2"/>
  </r>
  <r>
    <x v="0"/>
    <x v="16"/>
    <x v="0"/>
    <x v="14"/>
    <x v="0"/>
    <x v="0"/>
    <n v="226.92884872400001"/>
  </r>
  <r>
    <x v="0"/>
    <x v="16"/>
    <x v="1"/>
    <x v="14"/>
    <x v="0"/>
    <x v="1"/>
    <n v="4.5279445000000001E-2"/>
  </r>
  <r>
    <x v="0"/>
    <x v="16"/>
    <x v="2"/>
    <x v="14"/>
    <x v="0"/>
    <x v="1"/>
    <n v="189.39980287899999"/>
  </r>
  <r>
    <x v="0"/>
    <x v="16"/>
    <x v="3"/>
    <x v="14"/>
    <x v="0"/>
    <x v="1"/>
    <n v="5.7019501E-2"/>
  </r>
  <r>
    <x v="0"/>
    <x v="16"/>
    <x v="0"/>
    <x v="15"/>
    <x v="0"/>
    <x v="0"/>
    <n v="245.97984841900001"/>
  </r>
  <r>
    <x v="0"/>
    <x v="16"/>
    <x v="1"/>
    <x v="15"/>
    <x v="0"/>
    <x v="1"/>
    <n v="4.8673631000000002E-2"/>
  </r>
  <r>
    <x v="0"/>
    <x v="16"/>
    <x v="2"/>
    <x v="15"/>
    <x v="0"/>
    <x v="1"/>
    <n v="203.22565595200001"/>
  </r>
  <r>
    <x v="0"/>
    <x v="16"/>
    <x v="3"/>
    <x v="15"/>
    <x v="0"/>
    <x v="1"/>
    <n v="6.2197379999999997E-2"/>
  </r>
  <r>
    <x v="0"/>
    <x v="16"/>
    <x v="0"/>
    <x v="16"/>
    <x v="0"/>
    <x v="0"/>
    <n v="156.922698526"/>
  </r>
  <r>
    <x v="0"/>
    <x v="16"/>
    <x v="1"/>
    <x v="16"/>
    <x v="0"/>
    <x v="1"/>
    <n v="4.9314002000000003E-2"/>
  </r>
  <r>
    <x v="0"/>
    <x v="16"/>
    <x v="2"/>
    <x v="16"/>
    <x v="0"/>
    <x v="1"/>
    <n v="128.23581666499999"/>
  </r>
  <r>
    <x v="0"/>
    <x v="16"/>
    <x v="3"/>
    <x v="16"/>
    <x v="0"/>
    <x v="1"/>
    <n v="6.1422496E-2"/>
  </r>
  <r>
    <x v="0"/>
    <x v="16"/>
    <x v="0"/>
    <x v="17"/>
    <x v="0"/>
    <x v="0"/>
    <n v="369.10196351399998"/>
  </r>
  <r>
    <x v="0"/>
    <x v="16"/>
    <x v="1"/>
    <x v="17"/>
    <x v="0"/>
    <x v="1"/>
    <n v="4.9817661999999999E-2"/>
  </r>
  <r>
    <x v="0"/>
    <x v="16"/>
    <x v="2"/>
    <x v="17"/>
    <x v="0"/>
    <x v="1"/>
    <n v="308.68824208699999"/>
  </r>
  <r>
    <x v="0"/>
    <x v="16"/>
    <x v="3"/>
    <x v="17"/>
    <x v="0"/>
    <x v="1"/>
    <n v="5.9485112999999999E-2"/>
  </r>
  <r>
    <x v="0"/>
    <x v="16"/>
    <x v="0"/>
    <x v="18"/>
    <x v="0"/>
    <x v="0"/>
    <n v="319.39948959200001"/>
  </r>
  <r>
    <x v="0"/>
    <x v="16"/>
    <x v="1"/>
    <x v="18"/>
    <x v="0"/>
    <x v="1"/>
    <n v="4.5277261999999999E-2"/>
  </r>
  <r>
    <x v="0"/>
    <x v="16"/>
    <x v="2"/>
    <x v="18"/>
    <x v="0"/>
    <x v="1"/>
    <n v="274.038300617"/>
  </r>
  <r>
    <x v="0"/>
    <x v="16"/>
    <x v="3"/>
    <x v="18"/>
    <x v="0"/>
    <x v="1"/>
    <n v="4.9148600000000001E-2"/>
  </r>
  <r>
    <x v="0"/>
    <x v="16"/>
    <x v="0"/>
    <x v="19"/>
    <x v="0"/>
    <x v="0"/>
    <n v="387.43262516700003"/>
  </r>
  <r>
    <x v="0"/>
    <x v="16"/>
    <x v="1"/>
    <x v="19"/>
    <x v="0"/>
    <x v="1"/>
    <n v="5.0137059999999997E-2"/>
  </r>
  <r>
    <x v="0"/>
    <x v="16"/>
    <x v="2"/>
    <x v="19"/>
    <x v="0"/>
    <x v="1"/>
    <n v="328.40209927199999"/>
  </r>
  <r>
    <x v="0"/>
    <x v="16"/>
    <x v="3"/>
    <x v="19"/>
    <x v="0"/>
    <x v="1"/>
    <n v="6.7196557000000004E-2"/>
  </r>
  <r>
    <x v="0"/>
    <x v="16"/>
    <x v="0"/>
    <x v="20"/>
    <x v="0"/>
    <x v="0"/>
    <n v="52.553083934999997"/>
  </r>
  <r>
    <x v="0"/>
    <x v="16"/>
    <x v="1"/>
    <x v="20"/>
    <x v="0"/>
    <x v="1"/>
    <n v="4.8524615E-2"/>
  </r>
  <r>
    <x v="0"/>
    <x v="16"/>
    <x v="2"/>
    <x v="20"/>
    <x v="0"/>
    <x v="1"/>
    <n v="42.134314902"/>
  </r>
  <r>
    <x v="0"/>
    <x v="16"/>
    <x v="3"/>
    <x v="20"/>
    <x v="0"/>
    <x v="1"/>
    <n v="5.5693666000000003E-2"/>
  </r>
  <r>
    <x v="0"/>
    <x v="16"/>
    <x v="0"/>
    <x v="21"/>
    <x v="0"/>
    <x v="0"/>
    <n v="21.38068556"/>
  </r>
  <r>
    <x v="0"/>
    <x v="16"/>
    <x v="1"/>
    <x v="21"/>
    <x v="0"/>
    <x v="1"/>
    <n v="5.5083135999999998E-2"/>
  </r>
  <r>
    <x v="0"/>
    <x v="16"/>
    <x v="2"/>
    <x v="21"/>
    <x v="0"/>
    <x v="1"/>
    <n v="17.511306075"/>
  </r>
  <r>
    <x v="0"/>
    <x v="16"/>
    <x v="3"/>
    <x v="21"/>
    <x v="0"/>
    <x v="1"/>
    <n v="6.4190408000000004E-2"/>
  </r>
  <r>
    <x v="0"/>
    <x v="16"/>
    <x v="0"/>
    <x v="22"/>
    <x v="0"/>
    <x v="0"/>
    <n v="92.740333703000005"/>
  </r>
  <r>
    <x v="0"/>
    <x v="16"/>
    <x v="1"/>
    <x v="22"/>
    <x v="0"/>
    <x v="1"/>
    <n v="1.1249619000000001E-2"/>
  </r>
  <r>
    <x v="0"/>
    <x v="16"/>
    <x v="2"/>
    <x v="22"/>
    <x v="0"/>
    <x v="1"/>
    <n v="22.287094251999999"/>
  </r>
  <r>
    <x v="0"/>
    <x v="16"/>
    <x v="3"/>
    <x v="22"/>
    <x v="0"/>
    <x v="1"/>
    <n v="2.221874E-3"/>
  </r>
  <r>
    <x v="0"/>
    <x v="16"/>
    <x v="0"/>
    <x v="23"/>
    <x v="0"/>
    <x v="0"/>
    <n v="9.2087153480000001"/>
  </r>
  <r>
    <x v="0"/>
    <x v="16"/>
    <x v="1"/>
    <x v="23"/>
    <x v="0"/>
    <x v="1"/>
    <n v="5.5580298E-2"/>
  </r>
  <r>
    <x v="0"/>
    <x v="16"/>
    <x v="2"/>
    <x v="23"/>
    <x v="0"/>
    <x v="1"/>
    <n v="7.5940029950000003"/>
  </r>
  <r>
    <x v="0"/>
    <x v="16"/>
    <x v="3"/>
    <x v="23"/>
    <x v="0"/>
    <x v="1"/>
    <n v="9.9598390999999994E-2"/>
  </r>
  <r>
    <x v="0"/>
    <x v="16"/>
    <x v="0"/>
    <x v="24"/>
    <x v="0"/>
    <x v="0"/>
    <n v="486.60310254400002"/>
  </r>
  <r>
    <x v="0"/>
    <x v="16"/>
    <x v="1"/>
    <x v="24"/>
    <x v="0"/>
    <x v="1"/>
    <n v="4.2564665000000002E-2"/>
  </r>
  <r>
    <x v="0"/>
    <x v="16"/>
    <x v="2"/>
    <x v="24"/>
    <x v="0"/>
    <x v="1"/>
    <n v="381.63076131600002"/>
  </r>
  <r>
    <x v="0"/>
    <x v="16"/>
    <x v="3"/>
    <x v="24"/>
    <x v="0"/>
    <x v="1"/>
    <n v="3.1661224000000002E-2"/>
  </r>
  <r>
    <x v="0"/>
    <x v="16"/>
    <x v="0"/>
    <x v="25"/>
    <x v="0"/>
    <x v="0"/>
    <n v="26.282764886999999"/>
  </r>
  <r>
    <x v="0"/>
    <x v="16"/>
    <x v="1"/>
    <x v="25"/>
    <x v="0"/>
    <x v="1"/>
    <n v="3.653592E-2"/>
  </r>
  <r>
    <x v="0"/>
    <x v="16"/>
    <x v="2"/>
    <x v="25"/>
    <x v="0"/>
    <x v="1"/>
    <n v="21.177596137999998"/>
  </r>
  <r>
    <x v="0"/>
    <x v="16"/>
    <x v="3"/>
    <x v="25"/>
    <x v="0"/>
    <x v="1"/>
    <n v="2.8519890999999999E-2"/>
  </r>
  <r>
    <x v="0"/>
    <x v="16"/>
    <x v="0"/>
    <x v="26"/>
    <x v="0"/>
    <x v="0"/>
    <n v="12.619039989999999"/>
  </r>
  <r>
    <x v="0"/>
    <x v="16"/>
    <x v="1"/>
    <x v="26"/>
    <x v="0"/>
    <x v="1"/>
    <n v="5.3642632000000003E-2"/>
  </r>
  <r>
    <x v="0"/>
    <x v="16"/>
    <x v="2"/>
    <x v="26"/>
    <x v="0"/>
    <x v="1"/>
    <n v="7.4711618509999997"/>
  </r>
  <r>
    <x v="0"/>
    <x v="16"/>
    <x v="3"/>
    <x v="26"/>
    <x v="0"/>
    <x v="1"/>
    <n v="6.1715682000000001E-2"/>
  </r>
  <r>
    <x v="0"/>
    <x v="16"/>
    <x v="0"/>
    <x v="27"/>
    <x v="0"/>
    <x v="0"/>
    <n v="551.78034460799995"/>
  </r>
  <r>
    <x v="0"/>
    <x v="16"/>
    <x v="1"/>
    <x v="27"/>
    <x v="0"/>
    <x v="1"/>
    <n v="5.5556730999999998E-2"/>
  </r>
  <r>
    <x v="0"/>
    <x v="16"/>
    <x v="2"/>
    <x v="27"/>
    <x v="0"/>
    <x v="1"/>
    <n v="425.65746755599997"/>
  </r>
  <r>
    <x v="0"/>
    <x v="16"/>
    <x v="3"/>
    <x v="27"/>
    <x v="0"/>
    <x v="1"/>
    <n v="8.4804277999999997E-2"/>
  </r>
  <r>
    <x v="0"/>
    <x v="16"/>
    <x v="0"/>
    <x v="28"/>
    <x v="0"/>
    <x v="0"/>
    <n v="721.993891244"/>
  </r>
  <r>
    <x v="0"/>
    <x v="16"/>
    <x v="1"/>
    <x v="28"/>
    <x v="0"/>
    <x v="1"/>
    <n v="4.4726993999999999E-2"/>
  </r>
  <r>
    <x v="0"/>
    <x v="16"/>
    <x v="2"/>
    <x v="28"/>
    <x v="0"/>
    <x v="1"/>
    <n v="386.55569605699998"/>
  </r>
  <r>
    <x v="0"/>
    <x v="16"/>
    <x v="3"/>
    <x v="28"/>
    <x v="0"/>
    <x v="1"/>
    <n v="4.4647314E-2"/>
  </r>
  <r>
    <x v="0"/>
    <x v="16"/>
    <x v="0"/>
    <x v="29"/>
    <x v="0"/>
    <x v="0"/>
    <n v="653.70031671699996"/>
  </r>
  <r>
    <x v="0"/>
    <x v="16"/>
    <x v="1"/>
    <x v="29"/>
    <x v="0"/>
    <x v="1"/>
    <n v="4.8931833000000001E-2"/>
  </r>
  <r>
    <x v="0"/>
    <x v="16"/>
    <x v="2"/>
    <x v="29"/>
    <x v="0"/>
    <x v="1"/>
    <n v="419.56954710399998"/>
  </r>
  <r>
    <x v="0"/>
    <x v="16"/>
    <x v="3"/>
    <x v="29"/>
    <x v="0"/>
    <x v="1"/>
    <n v="5.2466699999999998E-2"/>
  </r>
  <r>
    <x v="0"/>
    <x v="16"/>
    <x v="0"/>
    <x v="30"/>
    <x v="0"/>
    <x v="0"/>
    <n v="169.75659551999999"/>
  </r>
  <r>
    <x v="0"/>
    <x v="16"/>
    <x v="1"/>
    <x v="30"/>
    <x v="0"/>
    <x v="1"/>
    <n v="7.6215414999999995E-2"/>
  </r>
  <r>
    <x v="0"/>
    <x v="16"/>
    <x v="2"/>
    <x v="30"/>
    <x v="0"/>
    <x v="1"/>
    <n v="106.62379673"/>
  </r>
  <r>
    <x v="0"/>
    <x v="16"/>
    <x v="3"/>
    <x v="30"/>
    <x v="0"/>
    <x v="1"/>
    <n v="8.9118548000000006E-2"/>
  </r>
  <r>
    <x v="0"/>
    <x v="16"/>
    <x v="0"/>
    <x v="31"/>
    <x v="0"/>
    <x v="0"/>
    <n v="236.53642628399999"/>
  </r>
  <r>
    <x v="0"/>
    <x v="16"/>
    <x v="1"/>
    <x v="31"/>
    <x v="0"/>
    <x v="1"/>
    <n v="3.8298844999999998E-2"/>
  </r>
  <r>
    <x v="0"/>
    <x v="16"/>
    <x v="2"/>
    <x v="31"/>
    <x v="0"/>
    <x v="1"/>
    <n v="130.06053929300001"/>
  </r>
  <r>
    <x v="0"/>
    <x v="16"/>
    <x v="3"/>
    <x v="31"/>
    <x v="0"/>
    <x v="1"/>
    <n v="2.9393010000000001E-2"/>
  </r>
  <r>
    <x v="0"/>
    <x v="16"/>
    <x v="0"/>
    <x v="32"/>
    <x v="0"/>
    <x v="0"/>
    <n v="756.811107365"/>
  </r>
  <r>
    <x v="0"/>
    <x v="16"/>
    <x v="1"/>
    <x v="32"/>
    <x v="0"/>
    <x v="1"/>
    <n v="3.9596230000000003E-2"/>
  </r>
  <r>
    <x v="0"/>
    <x v="16"/>
    <x v="2"/>
    <x v="32"/>
    <x v="0"/>
    <x v="1"/>
    <n v="355.97167734300001"/>
  </r>
  <r>
    <x v="0"/>
    <x v="16"/>
    <x v="3"/>
    <x v="32"/>
    <x v="0"/>
    <x v="1"/>
    <n v="3.2935921E-2"/>
  </r>
  <r>
    <x v="0"/>
    <x v="16"/>
    <x v="0"/>
    <x v="33"/>
    <x v="0"/>
    <x v="0"/>
    <n v="674.76361553200002"/>
  </r>
  <r>
    <x v="0"/>
    <x v="16"/>
    <x v="1"/>
    <x v="33"/>
    <x v="0"/>
    <x v="1"/>
    <n v="2.3146252999999999E-2"/>
  </r>
  <r>
    <x v="0"/>
    <x v="16"/>
    <x v="2"/>
    <x v="33"/>
    <x v="0"/>
    <x v="1"/>
    <n v="259.97750076599999"/>
  </r>
  <r>
    <x v="0"/>
    <x v="16"/>
    <x v="3"/>
    <x v="33"/>
    <x v="0"/>
    <x v="1"/>
    <n v="1.0355079999999999E-2"/>
  </r>
  <r>
    <x v="0"/>
    <x v="16"/>
    <x v="0"/>
    <x v="34"/>
    <x v="0"/>
    <x v="0"/>
    <n v="382.02170804000002"/>
  </r>
  <r>
    <x v="0"/>
    <x v="16"/>
    <x v="1"/>
    <x v="34"/>
    <x v="0"/>
    <x v="1"/>
    <n v="5.2989134E-2"/>
  </r>
  <r>
    <x v="0"/>
    <x v="16"/>
    <x v="2"/>
    <x v="34"/>
    <x v="0"/>
    <x v="1"/>
    <n v="270.02998799300002"/>
  </r>
  <r>
    <x v="0"/>
    <x v="16"/>
    <x v="3"/>
    <x v="34"/>
    <x v="0"/>
    <x v="1"/>
    <n v="5.9909773999999999E-2"/>
  </r>
  <r>
    <x v="0"/>
    <x v="16"/>
    <x v="0"/>
    <x v="35"/>
    <x v="0"/>
    <x v="0"/>
    <n v="311.260194345"/>
  </r>
  <r>
    <x v="0"/>
    <x v="16"/>
    <x v="1"/>
    <x v="35"/>
    <x v="0"/>
    <x v="1"/>
    <n v="5.5314399E-2"/>
  </r>
  <r>
    <x v="0"/>
    <x v="16"/>
    <x v="2"/>
    <x v="35"/>
    <x v="0"/>
    <x v="1"/>
    <n v="204.35340330299999"/>
  </r>
  <r>
    <x v="0"/>
    <x v="16"/>
    <x v="3"/>
    <x v="35"/>
    <x v="0"/>
    <x v="1"/>
    <n v="6.4619199000000002E-2"/>
  </r>
  <r>
    <x v="0"/>
    <x v="16"/>
    <x v="0"/>
    <x v="36"/>
    <x v="0"/>
    <x v="0"/>
    <n v="110.939679072"/>
  </r>
  <r>
    <x v="0"/>
    <x v="16"/>
    <x v="1"/>
    <x v="36"/>
    <x v="0"/>
    <x v="1"/>
    <n v="6.0313040999999998E-2"/>
  </r>
  <r>
    <x v="0"/>
    <x v="16"/>
    <x v="2"/>
    <x v="36"/>
    <x v="0"/>
    <x v="1"/>
    <n v="65.534681223000007"/>
  </r>
  <r>
    <x v="0"/>
    <x v="16"/>
    <x v="3"/>
    <x v="36"/>
    <x v="0"/>
    <x v="1"/>
    <n v="6.7131995E-2"/>
  </r>
  <r>
    <x v="0"/>
    <x v="16"/>
    <x v="0"/>
    <x v="37"/>
    <x v="0"/>
    <x v="0"/>
    <n v="120.572381189"/>
  </r>
  <r>
    <x v="0"/>
    <x v="16"/>
    <x v="1"/>
    <x v="37"/>
    <x v="0"/>
    <x v="1"/>
    <n v="6.8038213E-2"/>
  </r>
  <r>
    <x v="0"/>
    <x v="16"/>
    <x v="2"/>
    <x v="37"/>
    <x v="0"/>
    <x v="1"/>
    <n v="63.368028101"/>
  </r>
  <r>
    <x v="0"/>
    <x v="16"/>
    <x v="3"/>
    <x v="37"/>
    <x v="0"/>
    <x v="1"/>
    <n v="8.9618316000000003E-2"/>
  </r>
  <r>
    <x v="0"/>
    <x v="16"/>
    <x v="0"/>
    <x v="38"/>
    <x v="0"/>
    <x v="0"/>
    <n v="396.01622433900002"/>
  </r>
  <r>
    <x v="0"/>
    <x v="16"/>
    <x v="1"/>
    <x v="38"/>
    <x v="0"/>
    <x v="1"/>
    <n v="9.5335426000000001E-2"/>
  </r>
  <r>
    <x v="0"/>
    <x v="16"/>
    <x v="2"/>
    <x v="38"/>
    <x v="0"/>
    <x v="1"/>
    <n v="106.951747875"/>
  </r>
  <r>
    <x v="0"/>
    <x v="16"/>
    <x v="3"/>
    <x v="38"/>
    <x v="0"/>
    <x v="1"/>
    <n v="0.110553044"/>
  </r>
  <r>
    <x v="0"/>
    <x v="16"/>
    <x v="0"/>
    <x v="39"/>
    <x v="0"/>
    <x v="0"/>
    <n v="216.717288365"/>
  </r>
  <r>
    <x v="0"/>
    <x v="16"/>
    <x v="1"/>
    <x v="39"/>
    <x v="0"/>
    <x v="1"/>
    <n v="7.3972246000000005E-2"/>
  </r>
  <r>
    <x v="0"/>
    <x v="16"/>
    <x v="2"/>
    <x v="39"/>
    <x v="0"/>
    <x v="1"/>
    <n v="124.034753717"/>
  </r>
  <r>
    <x v="0"/>
    <x v="16"/>
    <x v="3"/>
    <x v="39"/>
    <x v="0"/>
    <x v="1"/>
    <n v="0.107403869"/>
  </r>
  <r>
    <x v="0"/>
    <x v="16"/>
    <x v="0"/>
    <x v="40"/>
    <x v="0"/>
    <x v="0"/>
    <n v="77.169034123000003"/>
  </r>
  <r>
    <x v="0"/>
    <x v="16"/>
    <x v="1"/>
    <x v="40"/>
    <x v="0"/>
    <x v="1"/>
    <n v="6.0375566999999998E-2"/>
  </r>
  <r>
    <x v="0"/>
    <x v="16"/>
    <x v="2"/>
    <x v="40"/>
    <x v="0"/>
    <x v="1"/>
    <n v="41.359278240000002"/>
  </r>
  <r>
    <x v="0"/>
    <x v="16"/>
    <x v="3"/>
    <x v="40"/>
    <x v="0"/>
    <x v="1"/>
    <n v="6.6359788000000003E-2"/>
  </r>
  <r>
    <x v="0"/>
    <x v="16"/>
    <x v="0"/>
    <x v="41"/>
    <x v="0"/>
    <x v="0"/>
    <n v="847.55536208599995"/>
  </r>
  <r>
    <x v="0"/>
    <x v="16"/>
    <x v="1"/>
    <x v="41"/>
    <x v="0"/>
    <x v="1"/>
    <n v="8.8711189999999995E-2"/>
  </r>
  <r>
    <x v="0"/>
    <x v="16"/>
    <x v="2"/>
    <x v="41"/>
    <x v="0"/>
    <x v="1"/>
    <n v="341.07379606199999"/>
  </r>
  <r>
    <x v="0"/>
    <x v="16"/>
    <x v="3"/>
    <x v="41"/>
    <x v="0"/>
    <x v="1"/>
    <n v="0.111927399"/>
  </r>
  <r>
    <x v="0"/>
    <x v="16"/>
    <x v="4"/>
    <x v="0"/>
    <x v="1"/>
    <x v="0"/>
    <n v="285.12576468399999"/>
  </r>
  <r>
    <x v="0"/>
    <x v="16"/>
    <x v="5"/>
    <x v="0"/>
    <x v="1"/>
    <x v="1"/>
    <n v="1.9403999999999999E-5"/>
  </r>
  <r>
    <x v="0"/>
    <x v="16"/>
    <x v="6"/>
    <x v="0"/>
    <x v="1"/>
    <x v="1"/>
    <n v="0.59472251200000004"/>
  </r>
  <r>
    <x v="0"/>
    <x v="16"/>
    <x v="4"/>
    <x v="1"/>
    <x v="1"/>
    <x v="0"/>
    <n v="426.75776352399998"/>
  </r>
  <r>
    <x v="0"/>
    <x v="16"/>
    <x v="5"/>
    <x v="1"/>
    <x v="1"/>
    <x v="1"/>
    <n v="2.4572000000000001E-5"/>
  </r>
  <r>
    <x v="0"/>
    <x v="16"/>
    <x v="6"/>
    <x v="1"/>
    <x v="1"/>
    <x v="1"/>
    <n v="0.59472251200000004"/>
  </r>
  <r>
    <x v="0"/>
    <x v="16"/>
    <x v="4"/>
    <x v="2"/>
    <x v="1"/>
    <x v="0"/>
    <n v="674.629787867"/>
  </r>
  <r>
    <x v="0"/>
    <x v="16"/>
    <x v="5"/>
    <x v="2"/>
    <x v="1"/>
    <x v="1"/>
    <n v="6.4721999999999995E-5"/>
  </r>
  <r>
    <x v="0"/>
    <x v="16"/>
    <x v="6"/>
    <x v="2"/>
    <x v="1"/>
    <x v="1"/>
    <n v="0.59472251200000004"/>
  </r>
  <r>
    <x v="0"/>
    <x v="16"/>
    <x v="4"/>
    <x v="3"/>
    <x v="1"/>
    <x v="0"/>
    <n v="249.47582831599999"/>
  </r>
  <r>
    <x v="0"/>
    <x v="16"/>
    <x v="5"/>
    <x v="3"/>
    <x v="1"/>
    <x v="1"/>
    <n v="2.1702999999999999E-5"/>
  </r>
  <r>
    <x v="0"/>
    <x v="16"/>
    <x v="6"/>
    <x v="3"/>
    <x v="1"/>
    <x v="1"/>
    <n v="0.59472251200000004"/>
  </r>
  <r>
    <x v="0"/>
    <x v="16"/>
    <x v="4"/>
    <x v="4"/>
    <x v="1"/>
    <x v="0"/>
    <n v="111.240504289"/>
  </r>
  <r>
    <x v="0"/>
    <x v="16"/>
    <x v="5"/>
    <x v="4"/>
    <x v="1"/>
    <x v="1"/>
    <n v="2.0948999999999999E-5"/>
  </r>
  <r>
    <x v="0"/>
    <x v="16"/>
    <x v="6"/>
    <x v="4"/>
    <x v="1"/>
    <x v="1"/>
    <n v="0.59472251200000004"/>
  </r>
  <r>
    <x v="0"/>
    <x v="16"/>
    <x v="4"/>
    <x v="5"/>
    <x v="1"/>
    <x v="0"/>
    <n v="828.80001695999999"/>
  </r>
  <r>
    <x v="0"/>
    <x v="16"/>
    <x v="5"/>
    <x v="5"/>
    <x v="1"/>
    <x v="1"/>
    <n v="9.8500000000000006E-6"/>
  </r>
  <r>
    <x v="0"/>
    <x v="16"/>
    <x v="6"/>
    <x v="5"/>
    <x v="1"/>
    <x v="1"/>
    <n v="0.59472251200000004"/>
  </r>
  <r>
    <x v="0"/>
    <x v="16"/>
    <x v="4"/>
    <x v="6"/>
    <x v="1"/>
    <x v="0"/>
    <n v="253.50052058700001"/>
  </r>
  <r>
    <x v="0"/>
    <x v="16"/>
    <x v="5"/>
    <x v="6"/>
    <x v="1"/>
    <x v="1"/>
    <n v="7.6559999999999992E-6"/>
  </r>
  <r>
    <x v="0"/>
    <x v="16"/>
    <x v="6"/>
    <x v="6"/>
    <x v="1"/>
    <x v="1"/>
    <n v="0.59472251200000004"/>
  </r>
  <r>
    <x v="0"/>
    <x v="16"/>
    <x v="4"/>
    <x v="7"/>
    <x v="1"/>
    <x v="0"/>
    <n v="178.83398585200001"/>
  </r>
  <r>
    <x v="0"/>
    <x v="16"/>
    <x v="5"/>
    <x v="7"/>
    <x v="1"/>
    <x v="1"/>
    <n v="5.5310000000000001E-6"/>
  </r>
  <r>
    <x v="0"/>
    <x v="16"/>
    <x v="6"/>
    <x v="7"/>
    <x v="1"/>
    <x v="1"/>
    <n v="0.59472251200000004"/>
  </r>
  <r>
    <x v="0"/>
    <x v="16"/>
    <x v="4"/>
    <x v="8"/>
    <x v="1"/>
    <x v="0"/>
    <n v="139.044642831"/>
  </r>
  <r>
    <x v="0"/>
    <x v="16"/>
    <x v="5"/>
    <x v="8"/>
    <x v="1"/>
    <x v="1"/>
    <n v="5.7010000000000001E-6"/>
  </r>
  <r>
    <x v="0"/>
    <x v="16"/>
    <x v="6"/>
    <x v="8"/>
    <x v="1"/>
    <x v="1"/>
    <n v="0.59472251200000004"/>
  </r>
  <r>
    <x v="0"/>
    <x v="16"/>
    <x v="4"/>
    <x v="9"/>
    <x v="1"/>
    <x v="0"/>
    <n v="305.28966845600002"/>
  </r>
  <r>
    <x v="0"/>
    <x v="16"/>
    <x v="5"/>
    <x v="9"/>
    <x v="1"/>
    <x v="1"/>
    <n v="1.6560000000000001E-5"/>
  </r>
  <r>
    <x v="0"/>
    <x v="16"/>
    <x v="6"/>
    <x v="9"/>
    <x v="1"/>
    <x v="1"/>
    <n v="0.59472251200000004"/>
  </r>
  <r>
    <x v="0"/>
    <x v="16"/>
    <x v="4"/>
    <x v="10"/>
    <x v="1"/>
    <x v="0"/>
    <n v="225.68263447199999"/>
  </r>
  <r>
    <x v="0"/>
    <x v="16"/>
    <x v="5"/>
    <x v="10"/>
    <x v="1"/>
    <x v="1"/>
    <n v="1.6552999999999999E-5"/>
  </r>
  <r>
    <x v="0"/>
    <x v="16"/>
    <x v="6"/>
    <x v="10"/>
    <x v="1"/>
    <x v="1"/>
    <n v="0.59472251200000004"/>
  </r>
  <r>
    <x v="0"/>
    <x v="16"/>
    <x v="4"/>
    <x v="11"/>
    <x v="1"/>
    <x v="0"/>
    <n v="1259.2281054600001"/>
  </r>
  <r>
    <x v="0"/>
    <x v="16"/>
    <x v="5"/>
    <x v="11"/>
    <x v="1"/>
    <x v="1"/>
    <n v="1.2602999999999999E-5"/>
  </r>
  <r>
    <x v="0"/>
    <x v="16"/>
    <x v="6"/>
    <x v="11"/>
    <x v="1"/>
    <x v="1"/>
    <n v="0.59472251200000004"/>
  </r>
  <r>
    <x v="0"/>
    <x v="16"/>
    <x v="4"/>
    <x v="12"/>
    <x v="1"/>
    <x v="0"/>
    <n v="407.48213730200001"/>
  </r>
  <r>
    <x v="0"/>
    <x v="16"/>
    <x v="5"/>
    <x v="12"/>
    <x v="1"/>
    <x v="1"/>
    <n v="5.998E-6"/>
  </r>
  <r>
    <x v="0"/>
    <x v="16"/>
    <x v="6"/>
    <x v="12"/>
    <x v="1"/>
    <x v="1"/>
    <n v="0.59472251200000004"/>
  </r>
  <r>
    <x v="0"/>
    <x v="16"/>
    <x v="4"/>
    <x v="13"/>
    <x v="1"/>
    <x v="0"/>
    <n v="987.17733674700003"/>
  </r>
  <r>
    <x v="0"/>
    <x v="16"/>
    <x v="5"/>
    <x v="13"/>
    <x v="1"/>
    <x v="1"/>
    <n v="7.3220000000000004E-6"/>
  </r>
  <r>
    <x v="0"/>
    <x v="16"/>
    <x v="6"/>
    <x v="13"/>
    <x v="1"/>
    <x v="1"/>
    <n v="0.59472251200000004"/>
  </r>
  <r>
    <x v="0"/>
    <x v="16"/>
    <x v="4"/>
    <x v="14"/>
    <x v="1"/>
    <x v="0"/>
    <n v="244.58464307899999"/>
  </r>
  <r>
    <x v="0"/>
    <x v="16"/>
    <x v="5"/>
    <x v="14"/>
    <x v="1"/>
    <x v="1"/>
    <n v="8.1659999999999994E-6"/>
  </r>
  <r>
    <x v="0"/>
    <x v="16"/>
    <x v="6"/>
    <x v="14"/>
    <x v="1"/>
    <x v="1"/>
    <n v="0.59472251200000004"/>
  </r>
  <r>
    <x v="0"/>
    <x v="16"/>
    <x v="4"/>
    <x v="15"/>
    <x v="1"/>
    <x v="0"/>
    <n v="284.215934753"/>
  </r>
  <r>
    <x v="0"/>
    <x v="16"/>
    <x v="5"/>
    <x v="15"/>
    <x v="1"/>
    <x v="1"/>
    <n v="6.0039999999999996E-6"/>
  </r>
  <r>
    <x v="0"/>
    <x v="16"/>
    <x v="6"/>
    <x v="15"/>
    <x v="1"/>
    <x v="1"/>
    <n v="0.59472251200000004"/>
  </r>
  <r>
    <x v="0"/>
    <x v="16"/>
    <x v="4"/>
    <x v="16"/>
    <x v="1"/>
    <x v="0"/>
    <n v="205.93207467600001"/>
  </r>
  <r>
    <x v="0"/>
    <x v="16"/>
    <x v="5"/>
    <x v="16"/>
    <x v="1"/>
    <x v="1"/>
    <n v="4.5719999999999996E-6"/>
  </r>
  <r>
    <x v="0"/>
    <x v="16"/>
    <x v="6"/>
    <x v="16"/>
    <x v="1"/>
    <x v="1"/>
    <n v="0.59472251200000004"/>
  </r>
  <r>
    <x v="0"/>
    <x v="16"/>
    <x v="4"/>
    <x v="17"/>
    <x v="1"/>
    <x v="0"/>
    <n v="419.89930539400001"/>
  </r>
  <r>
    <x v="0"/>
    <x v="16"/>
    <x v="5"/>
    <x v="17"/>
    <x v="1"/>
    <x v="1"/>
    <n v="5.677E-6"/>
  </r>
  <r>
    <x v="0"/>
    <x v="16"/>
    <x v="6"/>
    <x v="17"/>
    <x v="1"/>
    <x v="1"/>
    <n v="0.59472251200000004"/>
  </r>
  <r>
    <x v="0"/>
    <x v="16"/>
    <x v="4"/>
    <x v="18"/>
    <x v="1"/>
    <x v="0"/>
    <n v="338.375969946"/>
  </r>
  <r>
    <x v="0"/>
    <x v="16"/>
    <x v="5"/>
    <x v="18"/>
    <x v="1"/>
    <x v="1"/>
    <n v="6.4189999999999999E-6"/>
  </r>
  <r>
    <x v="0"/>
    <x v="16"/>
    <x v="6"/>
    <x v="18"/>
    <x v="1"/>
    <x v="1"/>
    <n v="0.59472251200000004"/>
  </r>
  <r>
    <x v="0"/>
    <x v="16"/>
    <x v="4"/>
    <x v="19"/>
    <x v="1"/>
    <x v="0"/>
    <n v="361.97259424399999"/>
  </r>
  <r>
    <x v="0"/>
    <x v="16"/>
    <x v="5"/>
    <x v="19"/>
    <x v="1"/>
    <x v="1"/>
    <n v="6.4989999999999999E-6"/>
  </r>
  <r>
    <x v="0"/>
    <x v="16"/>
    <x v="6"/>
    <x v="19"/>
    <x v="1"/>
    <x v="1"/>
    <n v="0.59472251200000004"/>
  </r>
  <r>
    <x v="0"/>
    <x v="16"/>
    <x v="4"/>
    <x v="20"/>
    <x v="1"/>
    <x v="0"/>
    <n v="59.957240642000002"/>
  </r>
  <r>
    <x v="0"/>
    <x v="16"/>
    <x v="5"/>
    <x v="20"/>
    <x v="1"/>
    <x v="1"/>
    <n v="1.4212E-5"/>
  </r>
  <r>
    <x v="0"/>
    <x v="16"/>
    <x v="6"/>
    <x v="20"/>
    <x v="1"/>
    <x v="1"/>
    <n v="0.59472251200000004"/>
  </r>
  <r>
    <x v="0"/>
    <x v="16"/>
    <x v="4"/>
    <x v="21"/>
    <x v="1"/>
    <x v="0"/>
    <n v="21.093553839999998"/>
  </r>
  <r>
    <x v="0"/>
    <x v="16"/>
    <x v="5"/>
    <x v="21"/>
    <x v="1"/>
    <x v="1"/>
    <n v="1.2108E-5"/>
  </r>
  <r>
    <x v="0"/>
    <x v="16"/>
    <x v="6"/>
    <x v="21"/>
    <x v="1"/>
    <x v="1"/>
    <n v="0.59472251200000004"/>
  </r>
  <r>
    <x v="0"/>
    <x v="16"/>
    <x v="4"/>
    <x v="22"/>
    <x v="1"/>
    <x v="0"/>
    <n v="357.84270887100001"/>
  </r>
  <r>
    <x v="0"/>
    <x v="16"/>
    <x v="5"/>
    <x v="22"/>
    <x v="1"/>
    <x v="1"/>
    <n v="1.5123000000000001E-5"/>
  </r>
  <r>
    <x v="0"/>
    <x v="16"/>
    <x v="6"/>
    <x v="22"/>
    <x v="1"/>
    <x v="1"/>
    <n v="0.59472251200000004"/>
  </r>
  <r>
    <x v="0"/>
    <x v="16"/>
    <x v="4"/>
    <x v="23"/>
    <x v="1"/>
    <x v="0"/>
    <n v="4.1570648190000004"/>
  </r>
  <r>
    <x v="0"/>
    <x v="16"/>
    <x v="5"/>
    <x v="23"/>
    <x v="1"/>
    <x v="1"/>
    <n v="1.8621999999999999E-5"/>
  </r>
  <r>
    <x v="0"/>
    <x v="16"/>
    <x v="6"/>
    <x v="23"/>
    <x v="1"/>
    <x v="1"/>
    <n v="0.59472251200000004"/>
  </r>
  <r>
    <x v="0"/>
    <x v="16"/>
    <x v="4"/>
    <x v="24"/>
    <x v="1"/>
    <x v="0"/>
    <n v="753.76501223399998"/>
  </r>
  <r>
    <x v="0"/>
    <x v="16"/>
    <x v="5"/>
    <x v="24"/>
    <x v="1"/>
    <x v="1"/>
    <n v="1.1966E-5"/>
  </r>
  <r>
    <x v="0"/>
    <x v="16"/>
    <x v="6"/>
    <x v="24"/>
    <x v="1"/>
    <x v="1"/>
    <n v="0.59472251200000004"/>
  </r>
  <r>
    <x v="0"/>
    <x v="16"/>
    <x v="4"/>
    <x v="25"/>
    <x v="1"/>
    <x v="0"/>
    <n v="40.586736010000003"/>
  </r>
  <r>
    <x v="0"/>
    <x v="16"/>
    <x v="5"/>
    <x v="25"/>
    <x v="1"/>
    <x v="1"/>
    <n v="8.3639999999999999E-6"/>
  </r>
  <r>
    <x v="0"/>
    <x v="16"/>
    <x v="6"/>
    <x v="25"/>
    <x v="1"/>
    <x v="1"/>
    <n v="0.59472251200000004"/>
  </r>
  <r>
    <x v="0"/>
    <x v="16"/>
    <x v="4"/>
    <x v="26"/>
    <x v="1"/>
    <x v="0"/>
    <n v="30.869318562"/>
  </r>
  <r>
    <x v="0"/>
    <x v="16"/>
    <x v="5"/>
    <x v="26"/>
    <x v="1"/>
    <x v="1"/>
    <n v="9.2830000000000007E-6"/>
  </r>
  <r>
    <x v="0"/>
    <x v="16"/>
    <x v="6"/>
    <x v="26"/>
    <x v="1"/>
    <x v="1"/>
    <n v="0.59472251200000004"/>
  </r>
  <r>
    <x v="0"/>
    <x v="16"/>
    <x v="4"/>
    <x v="27"/>
    <x v="1"/>
    <x v="0"/>
    <n v="691.42117413899996"/>
  </r>
  <r>
    <x v="0"/>
    <x v="16"/>
    <x v="5"/>
    <x v="27"/>
    <x v="1"/>
    <x v="1"/>
    <n v="3.4149999999999999E-6"/>
  </r>
  <r>
    <x v="0"/>
    <x v="16"/>
    <x v="6"/>
    <x v="27"/>
    <x v="1"/>
    <x v="1"/>
    <n v="0.59472251200000004"/>
  </r>
  <r>
    <x v="0"/>
    <x v="16"/>
    <x v="4"/>
    <x v="28"/>
    <x v="1"/>
    <x v="0"/>
    <n v="2140.4942225569998"/>
  </r>
  <r>
    <x v="0"/>
    <x v="16"/>
    <x v="5"/>
    <x v="28"/>
    <x v="1"/>
    <x v="1"/>
    <n v="1.3929E-5"/>
  </r>
  <r>
    <x v="0"/>
    <x v="16"/>
    <x v="6"/>
    <x v="28"/>
    <x v="1"/>
    <x v="1"/>
    <n v="0.59472251200000004"/>
  </r>
  <r>
    <x v="0"/>
    <x v="16"/>
    <x v="4"/>
    <x v="29"/>
    <x v="1"/>
    <x v="0"/>
    <n v="1341.0343802919999"/>
  </r>
  <r>
    <x v="0"/>
    <x v="16"/>
    <x v="5"/>
    <x v="29"/>
    <x v="1"/>
    <x v="1"/>
    <n v="1.6435000000000001E-5"/>
  </r>
  <r>
    <x v="0"/>
    <x v="16"/>
    <x v="6"/>
    <x v="29"/>
    <x v="1"/>
    <x v="1"/>
    <n v="0.59472251200000004"/>
  </r>
  <r>
    <x v="0"/>
    <x v="16"/>
    <x v="4"/>
    <x v="30"/>
    <x v="1"/>
    <x v="0"/>
    <n v="240.76242870600001"/>
  </r>
  <r>
    <x v="0"/>
    <x v="16"/>
    <x v="5"/>
    <x v="30"/>
    <x v="1"/>
    <x v="1"/>
    <n v="1.0429E-5"/>
  </r>
  <r>
    <x v="0"/>
    <x v="16"/>
    <x v="6"/>
    <x v="30"/>
    <x v="1"/>
    <x v="1"/>
    <n v="0.59472251200000004"/>
  </r>
  <r>
    <x v="0"/>
    <x v="16"/>
    <x v="4"/>
    <x v="31"/>
    <x v="1"/>
    <x v="0"/>
    <n v="798.81366636400003"/>
  </r>
  <r>
    <x v="0"/>
    <x v="16"/>
    <x v="5"/>
    <x v="31"/>
    <x v="1"/>
    <x v="1"/>
    <n v="1.0421000000000001E-5"/>
  </r>
  <r>
    <x v="0"/>
    <x v="16"/>
    <x v="6"/>
    <x v="31"/>
    <x v="1"/>
    <x v="1"/>
    <n v="0.59472251200000004"/>
  </r>
  <r>
    <x v="0"/>
    <x v="16"/>
    <x v="4"/>
    <x v="32"/>
    <x v="1"/>
    <x v="0"/>
    <n v="2544.8916497079999"/>
  </r>
  <r>
    <x v="0"/>
    <x v="16"/>
    <x v="5"/>
    <x v="32"/>
    <x v="1"/>
    <x v="1"/>
    <n v="1.9159000000000001E-5"/>
  </r>
  <r>
    <x v="0"/>
    <x v="16"/>
    <x v="6"/>
    <x v="32"/>
    <x v="1"/>
    <x v="1"/>
    <n v="0.59472251200000004"/>
  </r>
  <r>
    <x v="0"/>
    <x v="16"/>
    <x v="4"/>
    <x v="33"/>
    <x v="1"/>
    <x v="0"/>
    <n v="2669.831486432"/>
  </r>
  <r>
    <x v="0"/>
    <x v="16"/>
    <x v="5"/>
    <x v="33"/>
    <x v="1"/>
    <x v="1"/>
    <n v="1.7305000000000001E-5"/>
  </r>
  <r>
    <x v="0"/>
    <x v="16"/>
    <x v="6"/>
    <x v="33"/>
    <x v="1"/>
    <x v="1"/>
    <n v="0.59472251200000004"/>
  </r>
  <r>
    <x v="0"/>
    <x v="16"/>
    <x v="4"/>
    <x v="34"/>
    <x v="1"/>
    <x v="0"/>
    <n v="572.80039536499999"/>
  </r>
  <r>
    <x v="0"/>
    <x v="16"/>
    <x v="5"/>
    <x v="34"/>
    <x v="1"/>
    <x v="1"/>
    <n v="1.9085000000000001E-5"/>
  </r>
  <r>
    <x v="0"/>
    <x v="16"/>
    <x v="6"/>
    <x v="34"/>
    <x v="1"/>
    <x v="1"/>
    <n v="0.59472251200000004"/>
  </r>
  <r>
    <x v="0"/>
    <x v="16"/>
    <x v="4"/>
    <x v="35"/>
    <x v="1"/>
    <x v="0"/>
    <n v="487.15768129200001"/>
  </r>
  <r>
    <x v="0"/>
    <x v="16"/>
    <x v="5"/>
    <x v="35"/>
    <x v="1"/>
    <x v="1"/>
    <n v="2.438E-5"/>
  </r>
  <r>
    <x v="0"/>
    <x v="16"/>
    <x v="6"/>
    <x v="35"/>
    <x v="1"/>
    <x v="1"/>
    <n v="0.59472251200000004"/>
  </r>
  <r>
    <x v="0"/>
    <x v="16"/>
    <x v="4"/>
    <x v="36"/>
    <x v="1"/>
    <x v="0"/>
    <n v="169.35544484799999"/>
  </r>
  <r>
    <x v="0"/>
    <x v="16"/>
    <x v="5"/>
    <x v="36"/>
    <x v="1"/>
    <x v="1"/>
    <n v="4.8198999999999997E-5"/>
  </r>
  <r>
    <x v="0"/>
    <x v="16"/>
    <x v="6"/>
    <x v="36"/>
    <x v="1"/>
    <x v="1"/>
    <n v="0.59472251200000004"/>
  </r>
  <r>
    <x v="0"/>
    <x v="16"/>
    <x v="4"/>
    <x v="37"/>
    <x v="1"/>
    <x v="0"/>
    <n v="210.691419293"/>
  </r>
  <r>
    <x v="0"/>
    <x v="16"/>
    <x v="5"/>
    <x v="37"/>
    <x v="1"/>
    <x v="1"/>
    <n v="1.1505000000000001E-5"/>
  </r>
  <r>
    <x v="0"/>
    <x v="16"/>
    <x v="6"/>
    <x v="37"/>
    <x v="1"/>
    <x v="1"/>
    <n v="0.59472251200000004"/>
  </r>
  <r>
    <x v="0"/>
    <x v="16"/>
    <x v="4"/>
    <x v="38"/>
    <x v="1"/>
    <x v="0"/>
    <n v="389.08430433199999"/>
  </r>
  <r>
    <x v="0"/>
    <x v="16"/>
    <x v="5"/>
    <x v="38"/>
    <x v="1"/>
    <x v="1"/>
    <n v="5.8829000000000002E-5"/>
  </r>
  <r>
    <x v="0"/>
    <x v="16"/>
    <x v="6"/>
    <x v="38"/>
    <x v="1"/>
    <x v="1"/>
    <n v="0.59472251200000004"/>
  </r>
  <r>
    <x v="0"/>
    <x v="16"/>
    <x v="4"/>
    <x v="39"/>
    <x v="1"/>
    <x v="0"/>
    <n v="180.161324538"/>
  </r>
  <r>
    <x v="0"/>
    <x v="16"/>
    <x v="5"/>
    <x v="39"/>
    <x v="1"/>
    <x v="1"/>
    <n v="2.1637999999999998E-5"/>
  </r>
  <r>
    <x v="0"/>
    <x v="16"/>
    <x v="6"/>
    <x v="39"/>
    <x v="1"/>
    <x v="1"/>
    <n v="0.59472251200000004"/>
  </r>
  <r>
    <x v="0"/>
    <x v="16"/>
    <x v="4"/>
    <x v="40"/>
    <x v="1"/>
    <x v="0"/>
    <n v="168.49463143"/>
  </r>
  <r>
    <x v="0"/>
    <x v="16"/>
    <x v="5"/>
    <x v="40"/>
    <x v="1"/>
    <x v="1"/>
    <n v="1.9647E-5"/>
  </r>
  <r>
    <x v="0"/>
    <x v="16"/>
    <x v="6"/>
    <x v="40"/>
    <x v="1"/>
    <x v="1"/>
    <n v="0.59472251200000004"/>
  </r>
  <r>
    <x v="0"/>
    <x v="16"/>
    <x v="4"/>
    <x v="41"/>
    <x v="1"/>
    <x v="0"/>
    <n v="552.87183596700004"/>
  </r>
  <r>
    <x v="0"/>
    <x v="16"/>
    <x v="5"/>
    <x v="41"/>
    <x v="1"/>
    <x v="1"/>
    <n v="1.09214E-4"/>
  </r>
  <r>
    <x v="0"/>
    <x v="16"/>
    <x v="6"/>
    <x v="41"/>
    <x v="1"/>
    <x v="1"/>
    <n v="0.59472251200000004"/>
  </r>
  <r>
    <x v="0"/>
    <x v="16"/>
    <x v="7"/>
    <x v="0"/>
    <x v="2"/>
    <x v="2"/>
    <n v="415.779877602"/>
  </r>
  <r>
    <x v="0"/>
    <x v="16"/>
    <x v="7"/>
    <x v="1"/>
    <x v="2"/>
    <x v="2"/>
    <n v="50.402254407000001"/>
  </r>
  <r>
    <x v="0"/>
    <x v="16"/>
    <x v="7"/>
    <x v="2"/>
    <x v="2"/>
    <x v="2"/>
    <n v="23.009262178"/>
  </r>
  <r>
    <x v="0"/>
    <x v="16"/>
    <x v="7"/>
    <x v="3"/>
    <x v="2"/>
    <x v="2"/>
    <n v="17.270263542999999"/>
  </r>
  <r>
    <x v="0"/>
    <x v="16"/>
    <x v="7"/>
    <x v="4"/>
    <x v="2"/>
    <x v="2"/>
    <n v="9.9383827880000002"/>
  </r>
  <r>
    <x v="0"/>
    <x v="16"/>
    <x v="7"/>
    <x v="5"/>
    <x v="2"/>
    <x v="2"/>
    <n v="34.679887497999999"/>
  </r>
  <r>
    <x v="0"/>
    <x v="16"/>
    <x v="7"/>
    <x v="6"/>
    <x v="2"/>
    <x v="2"/>
    <n v="15.563349650999999"/>
  </r>
  <r>
    <x v="0"/>
    <x v="16"/>
    <x v="7"/>
    <x v="7"/>
    <x v="2"/>
    <x v="2"/>
    <n v="13.684947564"/>
  </r>
  <r>
    <x v="0"/>
    <x v="16"/>
    <x v="7"/>
    <x v="8"/>
    <x v="2"/>
    <x v="2"/>
    <n v="7.3973474489999997"/>
  </r>
  <r>
    <x v="0"/>
    <x v="16"/>
    <x v="7"/>
    <x v="9"/>
    <x v="2"/>
    <x v="2"/>
    <n v="23.819519808999999"/>
  </r>
  <r>
    <x v="0"/>
    <x v="16"/>
    <x v="7"/>
    <x v="10"/>
    <x v="2"/>
    <x v="2"/>
    <n v="10.673955116"/>
  </r>
  <r>
    <x v="0"/>
    <x v="16"/>
    <x v="7"/>
    <x v="11"/>
    <x v="2"/>
    <x v="2"/>
    <n v="49.382755592999999"/>
  </r>
  <r>
    <x v="0"/>
    <x v="16"/>
    <x v="7"/>
    <x v="12"/>
    <x v="2"/>
    <x v="2"/>
    <n v="19.242274403"/>
  </r>
  <r>
    <x v="0"/>
    <x v="16"/>
    <x v="7"/>
    <x v="13"/>
    <x v="2"/>
    <x v="2"/>
    <n v="28.413086641"/>
  </r>
  <r>
    <x v="0"/>
    <x v="16"/>
    <x v="7"/>
    <x v="14"/>
    <x v="2"/>
    <x v="2"/>
    <n v="13.735411341000001"/>
  </r>
  <r>
    <x v="0"/>
    <x v="16"/>
    <x v="7"/>
    <x v="15"/>
    <x v="2"/>
    <x v="2"/>
    <n v="17.026051943999999"/>
  </r>
  <r>
    <x v="0"/>
    <x v="16"/>
    <x v="7"/>
    <x v="16"/>
    <x v="2"/>
    <x v="2"/>
    <n v="11.287533052000001"/>
  </r>
  <r>
    <x v="0"/>
    <x v="16"/>
    <x v="7"/>
    <x v="17"/>
    <x v="2"/>
    <x v="2"/>
    <n v="23.042302891999999"/>
  </r>
  <r>
    <x v="0"/>
    <x v="16"/>
    <x v="7"/>
    <x v="18"/>
    <x v="2"/>
    <x v="2"/>
    <n v="14.375867958000001"/>
  </r>
  <r>
    <x v="0"/>
    <x v="16"/>
    <x v="7"/>
    <x v="19"/>
    <x v="2"/>
    <x v="2"/>
    <n v="25.333535207000001"/>
  </r>
  <r>
    <x v="0"/>
    <x v="16"/>
    <x v="7"/>
    <x v="20"/>
    <x v="2"/>
    <x v="2"/>
    <n v="3.7252851530000002"/>
  </r>
  <r>
    <x v="0"/>
    <x v="16"/>
    <x v="7"/>
    <x v="21"/>
    <x v="2"/>
    <x v="2"/>
    <n v="1.588010701"/>
  </r>
  <r>
    <x v="0"/>
    <x v="16"/>
    <x v="7"/>
    <x v="22"/>
    <x v="2"/>
    <x v="2"/>
    <n v="1.0514933040000001"/>
  </r>
  <r>
    <x v="0"/>
    <x v="16"/>
    <x v="7"/>
    <x v="23"/>
    <x v="2"/>
    <x v="2"/>
    <n v="1.0125690000000001"/>
  </r>
  <r>
    <x v="0"/>
    <x v="16"/>
    <x v="7"/>
    <x v="24"/>
    <x v="2"/>
    <x v="2"/>
    <n v="21.666313032000001"/>
  </r>
  <r>
    <x v="0"/>
    <x v="16"/>
    <x v="7"/>
    <x v="25"/>
    <x v="2"/>
    <x v="2"/>
    <n v="0.95224542400000001"/>
  </r>
  <r>
    <x v="0"/>
    <x v="16"/>
    <x v="7"/>
    <x v="26"/>
    <x v="2"/>
    <x v="2"/>
    <n v="2.0341457620000001"/>
  </r>
  <r>
    <x v="0"/>
    <x v="16"/>
    <x v="7"/>
    <x v="27"/>
    <x v="2"/>
    <x v="2"/>
    <n v="67.778411800000001"/>
  </r>
  <r>
    <x v="0"/>
    <x v="16"/>
    <x v="7"/>
    <x v="28"/>
    <x v="2"/>
    <x v="2"/>
    <n v="96.749609012999997"/>
  </r>
  <r>
    <x v="0"/>
    <x v="16"/>
    <x v="7"/>
    <x v="29"/>
    <x v="2"/>
    <x v="2"/>
    <n v="78.985209021000003"/>
  </r>
  <r>
    <x v="0"/>
    <x v="16"/>
    <x v="7"/>
    <x v="30"/>
    <x v="2"/>
    <x v="2"/>
    <n v="35.579294883000003"/>
  </r>
  <r>
    <x v="0"/>
    <x v="16"/>
    <x v="7"/>
    <x v="31"/>
    <x v="2"/>
    <x v="2"/>
    <n v="20.444906589999999"/>
  </r>
  <r>
    <x v="0"/>
    <x v="16"/>
    <x v="7"/>
    <x v="32"/>
    <x v="2"/>
    <x v="2"/>
    <n v="85.884075844999998"/>
  </r>
  <r>
    <x v="0"/>
    <x v="16"/>
    <x v="7"/>
    <x v="33"/>
    <x v="2"/>
    <x v="2"/>
    <n v="28.568904321000002"/>
  </r>
  <r>
    <x v="0"/>
    <x v="16"/>
    <x v="7"/>
    <x v="34"/>
    <x v="2"/>
    <x v="2"/>
    <n v="42.967330441999998"/>
  </r>
  <r>
    <x v="0"/>
    <x v="16"/>
    <x v="7"/>
    <x v="35"/>
    <x v="2"/>
    <x v="2"/>
    <n v="44.127317372999997"/>
  </r>
  <r>
    <x v="0"/>
    <x v="16"/>
    <x v="7"/>
    <x v="36"/>
    <x v="2"/>
    <x v="2"/>
    <n v="19.426621707999999"/>
  </r>
  <r>
    <x v="0"/>
    <x v="16"/>
    <x v="7"/>
    <x v="37"/>
    <x v="2"/>
    <x v="2"/>
    <n v="32.411288286999998"/>
  </r>
  <r>
    <x v="0"/>
    <x v="16"/>
    <x v="7"/>
    <x v="38"/>
    <x v="2"/>
    <x v="2"/>
    <n v="200.29188141200001"/>
  </r>
  <r>
    <x v="0"/>
    <x v="16"/>
    <x v="7"/>
    <x v="39"/>
    <x v="2"/>
    <x v="2"/>
    <n v="62.486968972"/>
  </r>
  <r>
    <x v="0"/>
    <x v="16"/>
    <x v="7"/>
    <x v="40"/>
    <x v="2"/>
    <x v="2"/>
    <n v="15.170755961999999"/>
  </r>
  <r>
    <x v="0"/>
    <x v="16"/>
    <x v="7"/>
    <x v="41"/>
    <x v="2"/>
    <x v="2"/>
    <n v="354.98914926100002"/>
  </r>
  <r>
    <x v="0"/>
    <x v="16"/>
    <x v="8"/>
    <x v="0"/>
    <x v="2"/>
    <x v="3"/>
    <n v="8.1366197000000001E-2"/>
  </r>
  <r>
    <x v="0"/>
    <x v="16"/>
    <x v="8"/>
    <x v="1"/>
    <x v="2"/>
    <x v="3"/>
    <n v="8.1366197000000001E-2"/>
  </r>
  <r>
    <x v="0"/>
    <x v="16"/>
    <x v="8"/>
    <x v="2"/>
    <x v="2"/>
    <x v="3"/>
    <n v="8.1366197000000001E-2"/>
  </r>
  <r>
    <x v="0"/>
    <x v="16"/>
    <x v="8"/>
    <x v="3"/>
    <x v="2"/>
    <x v="3"/>
    <n v="8.1366197000000001E-2"/>
  </r>
  <r>
    <x v="0"/>
    <x v="16"/>
    <x v="8"/>
    <x v="4"/>
    <x v="2"/>
    <x v="3"/>
    <n v="8.1366197000000001E-2"/>
  </r>
  <r>
    <x v="0"/>
    <x v="16"/>
    <x v="8"/>
    <x v="5"/>
    <x v="2"/>
    <x v="3"/>
    <n v="8.1366197000000001E-2"/>
  </r>
  <r>
    <x v="0"/>
    <x v="16"/>
    <x v="8"/>
    <x v="6"/>
    <x v="2"/>
    <x v="3"/>
    <n v="8.1366197000000001E-2"/>
  </r>
  <r>
    <x v="0"/>
    <x v="16"/>
    <x v="8"/>
    <x v="7"/>
    <x v="2"/>
    <x v="3"/>
    <n v="8.1366197000000001E-2"/>
  </r>
  <r>
    <x v="0"/>
    <x v="16"/>
    <x v="8"/>
    <x v="8"/>
    <x v="2"/>
    <x v="3"/>
    <n v="8.1366197000000001E-2"/>
  </r>
  <r>
    <x v="0"/>
    <x v="16"/>
    <x v="8"/>
    <x v="9"/>
    <x v="2"/>
    <x v="3"/>
    <n v="8.1366197000000001E-2"/>
  </r>
  <r>
    <x v="0"/>
    <x v="16"/>
    <x v="8"/>
    <x v="10"/>
    <x v="2"/>
    <x v="3"/>
    <n v="8.1366197000000001E-2"/>
  </r>
  <r>
    <x v="0"/>
    <x v="16"/>
    <x v="8"/>
    <x v="11"/>
    <x v="2"/>
    <x v="3"/>
    <n v="8.1366197000000001E-2"/>
  </r>
  <r>
    <x v="0"/>
    <x v="16"/>
    <x v="8"/>
    <x v="12"/>
    <x v="2"/>
    <x v="3"/>
    <n v="8.1366197000000001E-2"/>
  </r>
  <r>
    <x v="0"/>
    <x v="16"/>
    <x v="8"/>
    <x v="13"/>
    <x v="2"/>
    <x v="3"/>
    <n v="8.1366197000000001E-2"/>
  </r>
  <r>
    <x v="0"/>
    <x v="16"/>
    <x v="8"/>
    <x v="14"/>
    <x v="2"/>
    <x v="3"/>
    <n v="8.1366197000000001E-2"/>
  </r>
  <r>
    <x v="0"/>
    <x v="16"/>
    <x v="8"/>
    <x v="15"/>
    <x v="2"/>
    <x v="3"/>
    <n v="8.1366197000000001E-2"/>
  </r>
  <r>
    <x v="0"/>
    <x v="16"/>
    <x v="8"/>
    <x v="16"/>
    <x v="2"/>
    <x v="3"/>
    <n v="8.1366197000000001E-2"/>
  </r>
  <r>
    <x v="0"/>
    <x v="16"/>
    <x v="8"/>
    <x v="17"/>
    <x v="2"/>
    <x v="3"/>
    <n v="8.1366197000000001E-2"/>
  </r>
  <r>
    <x v="0"/>
    <x v="16"/>
    <x v="8"/>
    <x v="18"/>
    <x v="2"/>
    <x v="3"/>
    <n v="8.1366197000000001E-2"/>
  </r>
  <r>
    <x v="0"/>
    <x v="16"/>
    <x v="8"/>
    <x v="19"/>
    <x v="2"/>
    <x v="3"/>
    <n v="8.1366197000000001E-2"/>
  </r>
  <r>
    <x v="0"/>
    <x v="16"/>
    <x v="8"/>
    <x v="20"/>
    <x v="2"/>
    <x v="3"/>
    <n v="8.1366197000000001E-2"/>
  </r>
  <r>
    <x v="0"/>
    <x v="16"/>
    <x v="8"/>
    <x v="21"/>
    <x v="2"/>
    <x v="3"/>
    <n v="8.1366197000000001E-2"/>
  </r>
  <r>
    <x v="0"/>
    <x v="16"/>
    <x v="8"/>
    <x v="22"/>
    <x v="2"/>
    <x v="3"/>
    <n v="8.1366197000000001E-2"/>
  </r>
  <r>
    <x v="0"/>
    <x v="16"/>
    <x v="8"/>
    <x v="23"/>
    <x v="2"/>
    <x v="3"/>
    <n v="8.1366197000000001E-2"/>
  </r>
  <r>
    <x v="0"/>
    <x v="16"/>
    <x v="8"/>
    <x v="24"/>
    <x v="2"/>
    <x v="3"/>
    <n v="8.1366197000000001E-2"/>
  </r>
  <r>
    <x v="0"/>
    <x v="16"/>
    <x v="8"/>
    <x v="25"/>
    <x v="2"/>
    <x v="3"/>
    <n v="8.1366197000000001E-2"/>
  </r>
  <r>
    <x v="0"/>
    <x v="16"/>
    <x v="8"/>
    <x v="26"/>
    <x v="2"/>
    <x v="3"/>
    <n v="8.1366197000000001E-2"/>
  </r>
  <r>
    <x v="0"/>
    <x v="16"/>
    <x v="8"/>
    <x v="27"/>
    <x v="2"/>
    <x v="3"/>
    <n v="8.1366197000000001E-2"/>
  </r>
  <r>
    <x v="0"/>
    <x v="16"/>
    <x v="8"/>
    <x v="28"/>
    <x v="2"/>
    <x v="3"/>
    <n v="8.1366197000000001E-2"/>
  </r>
  <r>
    <x v="0"/>
    <x v="16"/>
    <x v="8"/>
    <x v="29"/>
    <x v="2"/>
    <x v="3"/>
    <n v="8.1366197000000001E-2"/>
  </r>
  <r>
    <x v="0"/>
    <x v="16"/>
    <x v="8"/>
    <x v="30"/>
    <x v="2"/>
    <x v="3"/>
    <n v="8.1366197000000001E-2"/>
  </r>
  <r>
    <x v="0"/>
    <x v="16"/>
    <x v="8"/>
    <x v="31"/>
    <x v="2"/>
    <x v="3"/>
    <n v="8.1366197000000001E-2"/>
  </r>
  <r>
    <x v="0"/>
    <x v="16"/>
    <x v="8"/>
    <x v="32"/>
    <x v="2"/>
    <x v="3"/>
    <n v="8.1366197000000001E-2"/>
  </r>
  <r>
    <x v="0"/>
    <x v="16"/>
    <x v="8"/>
    <x v="33"/>
    <x v="2"/>
    <x v="3"/>
    <n v="8.1366197000000001E-2"/>
  </r>
  <r>
    <x v="0"/>
    <x v="16"/>
    <x v="8"/>
    <x v="34"/>
    <x v="2"/>
    <x v="3"/>
    <n v="8.1366197000000001E-2"/>
  </r>
  <r>
    <x v="0"/>
    <x v="16"/>
    <x v="8"/>
    <x v="35"/>
    <x v="2"/>
    <x v="3"/>
    <n v="8.1366197000000001E-2"/>
  </r>
  <r>
    <x v="0"/>
    <x v="16"/>
    <x v="8"/>
    <x v="36"/>
    <x v="2"/>
    <x v="3"/>
    <n v="8.1366197000000001E-2"/>
  </r>
  <r>
    <x v="0"/>
    <x v="16"/>
    <x v="8"/>
    <x v="37"/>
    <x v="2"/>
    <x v="3"/>
    <n v="8.1366197000000001E-2"/>
  </r>
  <r>
    <x v="0"/>
    <x v="16"/>
    <x v="8"/>
    <x v="38"/>
    <x v="2"/>
    <x v="3"/>
    <n v="8.1366197000000001E-2"/>
  </r>
  <r>
    <x v="0"/>
    <x v="16"/>
    <x v="8"/>
    <x v="39"/>
    <x v="2"/>
    <x v="3"/>
    <n v="8.1366197000000001E-2"/>
  </r>
  <r>
    <x v="0"/>
    <x v="16"/>
    <x v="8"/>
    <x v="40"/>
    <x v="2"/>
    <x v="3"/>
    <n v="8.1366197000000001E-2"/>
  </r>
  <r>
    <x v="0"/>
    <x v="16"/>
    <x v="8"/>
    <x v="41"/>
    <x v="2"/>
    <x v="3"/>
    <n v="8.1366197000000001E-2"/>
  </r>
  <r>
    <x v="0"/>
    <x v="16"/>
    <x v="7"/>
    <x v="0"/>
    <x v="3"/>
    <x v="2"/>
    <n v="417.618877532"/>
  </r>
  <r>
    <x v="0"/>
    <x v="16"/>
    <x v="7"/>
    <x v="1"/>
    <x v="3"/>
    <x v="2"/>
    <n v="48.428423658"/>
  </r>
  <r>
    <x v="0"/>
    <x v="16"/>
    <x v="7"/>
    <x v="2"/>
    <x v="3"/>
    <x v="2"/>
    <n v="20.670093857000001"/>
  </r>
  <r>
    <x v="0"/>
    <x v="16"/>
    <x v="7"/>
    <x v="3"/>
    <x v="3"/>
    <x v="2"/>
    <n v="16.270732048999999"/>
  </r>
  <r>
    <x v="0"/>
    <x v="16"/>
    <x v="7"/>
    <x v="4"/>
    <x v="3"/>
    <x v="2"/>
    <n v="9.4649220019999998"/>
  </r>
  <r>
    <x v="0"/>
    <x v="16"/>
    <x v="7"/>
    <x v="5"/>
    <x v="3"/>
    <x v="2"/>
    <n v="32.219107528000002"/>
  </r>
  <r>
    <x v="0"/>
    <x v="16"/>
    <x v="7"/>
    <x v="6"/>
    <x v="3"/>
    <x v="2"/>
    <n v="14.747383624999999"/>
  </r>
  <r>
    <x v="0"/>
    <x v="16"/>
    <x v="7"/>
    <x v="7"/>
    <x v="3"/>
    <x v="2"/>
    <n v="13.118905698000001"/>
  </r>
  <r>
    <x v="0"/>
    <x v="16"/>
    <x v="7"/>
    <x v="8"/>
    <x v="3"/>
    <x v="2"/>
    <n v="6.9891753809999999"/>
  </r>
  <r>
    <x v="0"/>
    <x v="16"/>
    <x v="7"/>
    <x v="9"/>
    <x v="3"/>
    <x v="2"/>
    <n v="22.615374821"/>
  </r>
  <r>
    <x v="0"/>
    <x v="16"/>
    <x v="7"/>
    <x v="10"/>
    <x v="3"/>
    <x v="2"/>
    <n v="9.9140504220000008"/>
  </r>
  <r>
    <x v="0"/>
    <x v="16"/>
    <x v="7"/>
    <x v="11"/>
    <x v="3"/>
    <x v="2"/>
    <n v="45.601397980000002"/>
  </r>
  <r>
    <x v="0"/>
    <x v="16"/>
    <x v="7"/>
    <x v="12"/>
    <x v="3"/>
    <x v="2"/>
    <n v="18.077571442"/>
  </r>
  <r>
    <x v="0"/>
    <x v="16"/>
    <x v="7"/>
    <x v="13"/>
    <x v="3"/>
    <x v="2"/>
    <n v="26.007431739000001"/>
  </r>
  <r>
    <x v="0"/>
    <x v="16"/>
    <x v="7"/>
    <x v="14"/>
    <x v="3"/>
    <x v="2"/>
    <n v="12.95824833"/>
  </r>
  <r>
    <x v="0"/>
    <x v="16"/>
    <x v="7"/>
    <x v="15"/>
    <x v="3"/>
    <x v="2"/>
    <n v="16.156944186"/>
  </r>
  <r>
    <x v="0"/>
    <x v="16"/>
    <x v="7"/>
    <x v="16"/>
    <x v="3"/>
    <x v="2"/>
    <n v="10.702159825000001"/>
  </r>
  <r>
    <x v="0"/>
    <x v="16"/>
    <x v="7"/>
    <x v="17"/>
    <x v="3"/>
    <x v="2"/>
    <n v="21.800063600000001"/>
  </r>
  <r>
    <x v="0"/>
    <x v="16"/>
    <x v="7"/>
    <x v="18"/>
    <x v="3"/>
    <x v="2"/>
    <n v="13.431535757000001"/>
  </r>
  <r>
    <x v="0"/>
    <x v="16"/>
    <x v="7"/>
    <x v="19"/>
    <x v="3"/>
    <x v="2"/>
    <n v="24.169133761000001"/>
  </r>
  <r>
    <x v="0"/>
    <x v="16"/>
    <x v="7"/>
    <x v="20"/>
    <x v="3"/>
    <x v="2"/>
    <n v="3.50909358"/>
  </r>
  <r>
    <x v="0"/>
    <x v="16"/>
    <x v="7"/>
    <x v="21"/>
    <x v="3"/>
    <x v="2"/>
    <n v="1.510235867"/>
  </r>
  <r>
    <x v="0"/>
    <x v="16"/>
    <x v="7"/>
    <x v="22"/>
    <x v="3"/>
    <x v="2"/>
    <n v="0.83277947100000005"/>
  </r>
  <r>
    <x v="0"/>
    <x v="16"/>
    <x v="7"/>
    <x v="23"/>
    <x v="3"/>
    <x v="2"/>
    <n v="0.99516839300000004"/>
  </r>
  <r>
    <x v="0"/>
    <x v="16"/>
    <x v="7"/>
    <x v="24"/>
    <x v="3"/>
    <x v="2"/>
    <n v="19.706498584999999"/>
  </r>
  <r>
    <x v="0"/>
    <x v="16"/>
    <x v="7"/>
    <x v="25"/>
    <x v="3"/>
    <x v="2"/>
    <n v="0.86082676000000002"/>
  </r>
  <r>
    <x v="0"/>
    <x v="16"/>
    <x v="7"/>
    <x v="26"/>
    <x v="3"/>
    <x v="2"/>
    <n v="1.9293062969999999"/>
  </r>
  <r>
    <x v="0"/>
    <x v="16"/>
    <x v="7"/>
    <x v="27"/>
    <x v="3"/>
    <x v="2"/>
    <n v="65.770028866000004"/>
  </r>
  <r>
    <x v="0"/>
    <x v="16"/>
    <x v="7"/>
    <x v="28"/>
    <x v="3"/>
    <x v="2"/>
    <n v="89.849271607999995"/>
  </r>
  <r>
    <x v="0"/>
    <x v="16"/>
    <x v="7"/>
    <x v="29"/>
    <x v="3"/>
    <x v="2"/>
    <n v="74.111439071999996"/>
  </r>
  <r>
    <x v="0"/>
    <x v="16"/>
    <x v="7"/>
    <x v="30"/>
    <x v="3"/>
    <x v="2"/>
    <n v="34.657718308"/>
  </r>
  <r>
    <x v="0"/>
    <x v="16"/>
    <x v="7"/>
    <x v="31"/>
    <x v="3"/>
    <x v="2"/>
    <n v="18.514809030999999"/>
  </r>
  <r>
    <x v="0"/>
    <x v="16"/>
    <x v="7"/>
    <x v="32"/>
    <x v="3"/>
    <x v="2"/>
    <n v="78.301279909000002"/>
  </r>
  <r>
    <x v="0"/>
    <x v="16"/>
    <x v="7"/>
    <x v="33"/>
    <x v="3"/>
    <x v="2"/>
    <n v="24.440878745999999"/>
  </r>
  <r>
    <x v="0"/>
    <x v="16"/>
    <x v="7"/>
    <x v="34"/>
    <x v="3"/>
    <x v="2"/>
    <n v="40.671901458000001"/>
  </r>
  <r>
    <x v="0"/>
    <x v="16"/>
    <x v="7"/>
    <x v="35"/>
    <x v="3"/>
    <x v="2"/>
    <n v="41.986454831000003"/>
  </r>
  <r>
    <x v="0"/>
    <x v="16"/>
    <x v="7"/>
    <x v="36"/>
    <x v="3"/>
    <x v="2"/>
    <n v="18.533818595"/>
  </r>
  <r>
    <x v="0"/>
    <x v="16"/>
    <x v="7"/>
    <x v="37"/>
    <x v="3"/>
    <x v="2"/>
    <n v="31.585588820000002"/>
  </r>
  <r>
    <x v="0"/>
    <x v="16"/>
    <x v="7"/>
    <x v="38"/>
    <x v="3"/>
    <x v="2"/>
    <n v="198.59918891300001"/>
  </r>
  <r>
    <x v="0"/>
    <x v="16"/>
    <x v="7"/>
    <x v="39"/>
    <x v="3"/>
    <x v="2"/>
    <n v="61.803792063000003"/>
  </r>
  <r>
    <x v="0"/>
    <x v="16"/>
    <x v="7"/>
    <x v="40"/>
    <x v="3"/>
    <x v="2"/>
    <n v="14.461211625000001"/>
  </r>
  <r>
    <x v="0"/>
    <x v="16"/>
    <x v="7"/>
    <x v="41"/>
    <x v="3"/>
    <x v="2"/>
    <n v="352.37194126499998"/>
  </r>
  <r>
    <x v="0"/>
    <x v="16"/>
    <x v="8"/>
    <x v="0"/>
    <x v="3"/>
    <x v="3"/>
    <n v="7.8736876999999997E-2"/>
  </r>
  <r>
    <x v="0"/>
    <x v="16"/>
    <x v="8"/>
    <x v="1"/>
    <x v="3"/>
    <x v="3"/>
    <n v="7.8736876999999997E-2"/>
  </r>
  <r>
    <x v="0"/>
    <x v="16"/>
    <x v="8"/>
    <x v="2"/>
    <x v="3"/>
    <x v="3"/>
    <n v="7.8736876999999997E-2"/>
  </r>
  <r>
    <x v="0"/>
    <x v="16"/>
    <x v="8"/>
    <x v="3"/>
    <x v="3"/>
    <x v="3"/>
    <n v="7.8736876999999997E-2"/>
  </r>
  <r>
    <x v="0"/>
    <x v="16"/>
    <x v="8"/>
    <x v="4"/>
    <x v="3"/>
    <x v="3"/>
    <n v="7.8736876999999997E-2"/>
  </r>
  <r>
    <x v="0"/>
    <x v="16"/>
    <x v="8"/>
    <x v="5"/>
    <x v="3"/>
    <x v="3"/>
    <n v="7.8736876999999997E-2"/>
  </r>
  <r>
    <x v="0"/>
    <x v="16"/>
    <x v="8"/>
    <x v="6"/>
    <x v="3"/>
    <x v="3"/>
    <n v="7.8736876999999997E-2"/>
  </r>
  <r>
    <x v="0"/>
    <x v="16"/>
    <x v="8"/>
    <x v="7"/>
    <x v="3"/>
    <x v="3"/>
    <n v="7.8736876999999997E-2"/>
  </r>
  <r>
    <x v="0"/>
    <x v="16"/>
    <x v="8"/>
    <x v="8"/>
    <x v="3"/>
    <x v="3"/>
    <n v="7.8736876999999997E-2"/>
  </r>
  <r>
    <x v="0"/>
    <x v="16"/>
    <x v="8"/>
    <x v="9"/>
    <x v="3"/>
    <x v="3"/>
    <n v="7.8736876999999997E-2"/>
  </r>
  <r>
    <x v="0"/>
    <x v="16"/>
    <x v="8"/>
    <x v="10"/>
    <x v="3"/>
    <x v="3"/>
    <n v="7.8736876999999997E-2"/>
  </r>
  <r>
    <x v="0"/>
    <x v="16"/>
    <x v="8"/>
    <x v="11"/>
    <x v="3"/>
    <x v="3"/>
    <n v="7.8736876999999997E-2"/>
  </r>
  <r>
    <x v="0"/>
    <x v="16"/>
    <x v="8"/>
    <x v="12"/>
    <x v="3"/>
    <x v="3"/>
    <n v="7.8736876999999997E-2"/>
  </r>
  <r>
    <x v="0"/>
    <x v="16"/>
    <x v="8"/>
    <x v="13"/>
    <x v="3"/>
    <x v="3"/>
    <n v="7.8736876999999997E-2"/>
  </r>
  <r>
    <x v="0"/>
    <x v="16"/>
    <x v="8"/>
    <x v="14"/>
    <x v="3"/>
    <x v="3"/>
    <n v="7.8736876999999997E-2"/>
  </r>
  <r>
    <x v="0"/>
    <x v="16"/>
    <x v="8"/>
    <x v="15"/>
    <x v="3"/>
    <x v="3"/>
    <n v="7.8736876999999997E-2"/>
  </r>
  <r>
    <x v="0"/>
    <x v="16"/>
    <x v="8"/>
    <x v="16"/>
    <x v="3"/>
    <x v="3"/>
    <n v="7.8736876999999997E-2"/>
  </r>
  <r>
    <x v="0"/>
    <x v="16"/>
    <x v="8"/>
    <x v="17"/>
    <x v="3"/>
    <x v="3"/>
    <n v="7.8736876999999997E-2"/>
  </r>
  <r>
    <x v="0"/>
    <x v="16"/>
    <x v="8"/>
    <x v="18"/>
    <x v="3"/>
    <x v="3"/>
    <n v="7.8736876999999997E-2"/>
  </r>
  <r>
    <x v="0"/>
    <x v="16"/>
    <x v="8"/>
    <x v="19"/>
    <x v="3"/>
    <x v="3"/>
    <n v="7.8736876999999997E-2"/>
  </r>
  <r>
    <x v="0"/>
    <x v="16"/>
    <x v="8"/>
    <x v="20"/>
    <x v="3"/>
    <x v="3"/>
    <n v="7.8736876999999997E-2"/>
  </r>
  <r>
    <x v="0"/>
    <x v="16"/>
    <x v="8"/>
    <x v="21"/>
    <x v="3"/>
    <x v="3"/>
    <n v="7.8736876999999997E-2"/>
  </r>
  <r>
    <x v="0"/>
    <x v="16"/>
    <x v="8"/>
    <x v="22"/>
    <x v="3"/>
    <x v="3"/>
    <n v="7.8736876999999997E-2"/>
  </r>
  <r>
    <x v="0"/>
    <x v="16"/>
    <x v="8"/>
    <x v="23"/>
    <x v="3"/>
    <x v="3"/>
    <n v="7.8736876999999997E-2"/>
  </r>
  <r>
    <x v="0"/>
    <x v="16"/>
    <x v="8"/>
    <x v="24"/>
    <x v="3"/>
    <x v="3"/>
    <n v="7.8736876999999997E-2"/>
  </r>
  <r>
    <x v="0"/>
    <x v="16"/>
    <x v="8"/>
    <x v="25"/>
    <x v="3"/>
    <x v="3"/>
    <n v="7.8736876999999997E-2"/>
  </r>
  <r>
    <x v="0"/>
    <x v="16"/>
    <x v="8"/>
    <x v="26"/>
    <x v="3"/>
    <x v="3"/>
    <n v="7.8736876999999997E-2"/>
  </r>
  <r>
    <x v="0"/>
    <x v="16"/>
    <x v="8"/>
    <x v="27"/>
    <x v="3"/>
    <x v="3"/>
    <n v="7.8736876999999997E-2"/>
  </r>
  <r>
    <x v="0"/>
    <x v="16"/>
    <x v="8"/>
    <x v="28"/>
    <x v="3"/>
    <x v="3"/>
    <n v="7.8736876999999997E-2"/>
  </r>
  <r>
    <x v="0"/>
    <x v="16"/>
    <x v="8"/>
    <x v="29"/>
    <x v="3"/>
    <x v="3"/>
    <n v="7.8736876999999997E-2"/>
  </r>
  <r>
    <x v="0"/>
    <x v="16"/>
    <x v="8"/>
    <x v="30"/>
    <x v="3"/>
    <x v="3"/>
    <n v="7.8736876999999997E-2"/>
  </r>
  <r>
    <x v="0"/>
    <x v="16"/>
    <x v="8"/>
    <x v="31"/>
    <x v="3"/>
    <x v="3"/>
    <n v="7.8736876999999997E-2"/>
  </r>
  <r>
    <x v="0"/>
    <x v="16"/>
    <x v="8"/>
    <x v="32"/>
    <x v="3"/>
    <x v="3"/>
    <n v="7.8736876999999997E-2"/>
  </r>
  <r>
    <x v="0"/>
    <x v="16"/>
    <x v="8"/>
    <x v="33"/>
    <x v="3"/>
    <x v="3"/>
    <n v="7.8736876999999997E-2"/>
  </r>
  <r>
    <x v="0"/>
    <x v="16"/>
    <x v="8"/>
    <x v="34"/>
    <x v="3"/>
    <x v="3"/>
    <n v="7.8736876999999997E-2"/>
  </r>
  <r>
    <x v="0"/>
    <x v="16"/>
    <x v="8"/>
    <x v="35"/>
    <x v="3"/>
    <x v="3"/>
    <n v="7.8736876999999997E-2"/>
  </r>
  <r>
    <x v="0"/>
    <x v="16"/>
    <x v="8"/>
    <x v="36"/>
    <x v="3"/>
    <x v="3"/>
    <n v="7.8736876999999997E-2"/>
  </r>
  <r>
    <x v="0"/>
    <x v="16"/>
    <x v="8"/>
    <x v="37"/>
    <x v="3"/>
    <x v="3"/>
    <n v="7.8736876999999997E-2"/>
  </r>
  <r>
    <x v="0"/>
    <x v="16"/>
    <x v="8"/>
    <x v="38"/>
    <x v="3"/>
    <x v="3"/>
    <n v="7.8736876999999997E-2"/>
  </r>
  <r>
    <x v="0"/>
    <x v="16"/>
    <x v="8"/>
    <x v="39"/>
    <x v="3"/>
    <x v="3"/>
    <n v="7.8736876999999997E-2"/>
  </r>
  <r>
    <x v="0"/>
    <x v="16"/>
    <x v="8"/>
    <x v="40"/>
    <x v="3"/>
    <x v="3"/>
    <n v="7.8736876999999997E-2"/>
  </r>
  <r>
    <x v="0"/>
    <x v="16"/>
    <x v="8"/>
    <x v="41"/>
    <x v="3"/>
    <x v="3"/>
    <n v="7.8736876999999997E-2"/>
  </r>
  <r>
    <x v="0"/>
    <x v="16"/>
    <x v="9"/>
    <x v="42"/>
    <x v="4"/>
    <x v="4"/>
    <n v="80.913609562999994"/>
  </r>
  <r>
    <x v="0"/>
    <x v="16"/>
    <x v="9"/>
    <x v="42"/>
    <x v="5"/>
    <x v="4"/>
    <n v="1.1444088539999999"/>
  </r>
  <r>
    <x v="0"/>
    <x v="16"/>
    <x v="9"/>
    <x v="42"/>
    <x v="6"/>
    <x v="4"/>
    <n v="0"/>
  </r>
  <r>
    <x v="0"/>
    <x v="16"/>
    <x v="9"/>
    <x v="42"/>
    <x v="7"/>
    <x v="4"/>
    <n v="0"/>
  </r>
  <r>
    <x v="0"/>
    <x v="16"/>
    <x v="9"/>
    <x v="42"/>
    <x v="8"/>
    <x v="4"/>
    <n v="0"/>
  </r>
  <r>
    <x v="0"/>
    <x v="16"/>
    <x v="9"/>
    <x v="42"/>
    <x v="9"/>
    <x v="4"/>
    <n v="94.260276477000005"/>
  </r>
  <r>
    <x v="0"/>
    <x v="16"/>
    <x v="9"/>
    <x v="42"/>
    <x v="10"/>
    <x v="4"/>
    <n v="2.7795990289999999"/>
  </r>
  <r>
    <x v="0"/>
    <x v="16"/>
    <x v="9"/>
    <x v="42"/>
    <x v="11"/>
    <x v="4"/>
    <n v="16.726919833"/>
  </r>
  <r>
    <x v="0"/>
    <x v="16"/>
    <x v="9"/>
    <x v="42"/>
    <x v="12"/>
    <x v="4"/>
    <n v="2.4019673410000002"/>
  </r>
  <r>
    <x v="0"/>
    <x v="16"/>
    <x v="9"/>
    <x v="42"/>
    <x v="13"/>
    <x v="4"/>
    <n v="3.843197725"/>
  </r>
  <r>
    <x v="0"/>
    <x v="16"/>
    <x v="9"/>
    <x v="42"/>
    <x v="14"/>
    <x v="4"/>
    <n v="3.0273598879999999"/>
  </r>
  <r>
    <x v="0"/>
    <x v="16"/>
    <x v="9"/>
    <x v="42"/>
    <x v="15"/>
    <x v="4"/>
    <n v="13.341421734000001"/>
  </r>
  <r>
    <x v="0"/>
    <x v="16"/>
    <x v="9"/>
    <x v="42"/>
    <x v="16"/>
    <x v="4"/>
    <n v="1.8197775839999999"/>
  </r>
  <r>
    <x v="0"/>
    <x v="16"/>
    <x v="9"/>
    <x v="42"/>
    <x v="17"/>
    <x v="4"/>
    <n v="0"/>
  </r>
  <r>
    <x v="0"/>
    <x v="16"/>
    <x v="9"/>
    <x v="42"/>
    <x v="18"/>
    <x v="4"/>
    <n v="1.1145094689999999"/>
  </r>
  <r>
    <x v="0"/>
    <x v="16"/>
    <x v="9"/>
    <x v="42"/>
    <x v="19"/>
    <x v="4"/>
    <n v="0.57491397200000005"/>
  </r>
  <r>
    <x v="0"/>
    <x v="16"/>
    <x v="9"/>
    <x v="42"/>
    <x v="20"/>
    <x v="4"/>
    <n v="0.14630282"/>
  </r>
  <r>
    <x v="0"/>
    <x v="16"/>
    <x v="9"/>
    <x v="42"/>
    <x v="21"/>
    <x v="4"/>
    <n v="9.9057375079999996"/>
  </r>
  <r>
    <x v="0"/>
    <x v="16"/>
    <x v="9"/>
    <x v="42"/>
    <x v="22"/>
    <x v="4"/>
    <n v="10.568422629000001"/>
  </r>
  <r>
    <x v="0"/>
    <x v="16"/>
    <x v="9"/>
    <x v="42"/>
    <x v="23"/>
    <x v="4"/>
    <n v="9.612168402"/>
  </r>
  <r>
    <x v="0"/>
    <x v="16"/>
    <x v="9"/>
    <x v="42"/>
    <x v="24"/>
    <x v="4"/>
    <n v="0.69339574699999995"/>
  </r>
  <r>
    <x v="0"/>
    <x v="16"/>
    <x v="9"/>
    <x v="42"/>
    <x v="25"/>
    <x v="4"/>
    <n v="0.74776847599999996"/>
  </r>
  <r>
    <x v="0"/>
    <x v="16"/>
    <x v="9"/>
    <x v="42"/>
    <x v="26"/>
    <x v="4"/>
    <n v="0"/>
  </r>
  <r>
    <x v="0"/>
    <x v="16"/>
    <x v="9"/>
    <x v="42"/>
    <x v="27"/>
    <x v="4"/>
    <n v="0"/>
  </r>
  <r>
    <x v="0"/>
    <x v="16"/>
    <x v="9"/>
    <x v="42"/>
    <x v="28"/>
    <x v="4"/>
    <n v="11.072398945"/>
  </r>
  <r>
    <x v="0"/>
    <x v="16"/>
    <x v="9"/>
    <x v="42"/>
    <x v="29"/>
    <x v="4"/>
    <n v="1.475017348"/>
  </r>
  <r>
    <x v="0"/>
    <x v="16"/>
    <x v="9"/>
    <x v="42"/>
    <x v="30"/>
    <x v="4"/>
    <n v="0.72907767899999998"/>
  </r>
  <r>
    <x v="0"/>
    <x v="16"/>
    <x v="9"/>
    <x v="42"/>
    <x v="31"/>
    <x v="4"/>
    <n v="0"/>
  </r>
  <r>
    <x v="0"/>
    <x v="16"/>
    <x v="9"/>
    <x v="42"/>
    <x v="32"/>
    <x v="4"/>
    <n v="46.901629454000002"/>
  </r>
  <r>
    <x v="0"/>
    <x v="16"/>
    <x v="9"/>
    <x v="42"/>
    <x v="33"/>
    <x v="4"/>
    <n v="15.762818402000001"/>
  </r>
  <r>
    <x v="0"/>
    <x v="16"/>
    <x v="9"/>
    <x v="42"/>
    <x v="34"/>
    <x v="4"/>
    <n v="3.815035484"/>
  </r>
  <r>
    <x v="0"/>
    <x v="16"/>
    <x v="9"/>
    <x v="42"/>
    <x v="35"/>
    <x v="4"/>
    <n v="22.487782076999999"/>
  </r>
  <r>
    <x v="0"/>
    <x v="16"/>
    <x v="9"/>
    <x v="42"/>
    <x v="36"/>
    <x v="4"/>
    <n v="29.545276236999999"/>
  </r>
  <r>
    <x v="0"/>
    <x v="16"/>
    <x v="9"/>
    <x v="42"/>
    <x v="37"/>
    <x v="4"/>
    <n v="201.14817095199999"/>
  </r>
  <r>
    <x v="0"/>
    <x v="16"/>
    <x v="9"/>
    <x v="42"/>
    <x v="38"/>
    <x v="4"/>
    <n v="0.59100171000000001"/>
  </r>
  <r>
    <x v="0"/>
    <x v="16"/>
    <x v="9"/>
    <x v="42"/>
    <x v="39"/>
    <x v="4"/>
    <n v="0.27664982799999999"/>
  </r>
  <r>
    <x v="0"/>
    <x v="16"/>
    <x v="9"/>
    <x v="42"/>
    <x v="40"/>
    <x v="4"/>
    <n v="0.41511357700000001"/>
  </r>
  <r>
    <x v="0"/>
    <x v="16"/>
    <x v="9"/>
    <x v="42"/>
    <x v="41"/>
    <x v="4"/>
    <n v="5.2335000310000002"/>
  </r>
  <r>
    <x v="0"/>
    <x v="16"/>
    <x v="9"/>
    <x v="42"/>
    <x v="42"/>
    <x v="4"/>
    <n v="-3.5861027750000001"/>
  </r>
  <r>
    <x v="0"/>
    <x v="16"/>
    <x v="9"/>
    <x v="42"/>
    <x v="43"/>
    <x v="4"/>
    <n v="2.187237847"/>
  </r>
  <r>
    <x v="0"/>
    <x v="16"/>
    <x v="9"/>
    <x v="42"/>
    <x v="44"/>
    <x v="4"/>
    <n v="2.8524535640000002"/>
  </r>
  <r>
    <x v="0"/>
    <x v="16"/>
    <x v="9"/>
    <x v="42"/>
    <x v="45"/>
    <x v="4"/>
    <n v="-7.3934284000000003E-2"/>
  </r>
  <r>
    <x v="0"/>
    <x v="16"/>
    <x v="10"/>
    <x v="42"/>
    <x v="0"/>
    <x v="4"/>
    <n v="0.69432410899999997"/>
  </r>
  <r>
    <x v="0"/>
    <x v="16"/>
    <x v="11"/>
    <x v="42"/>
    <x v="0"/>
    <x v="4"/>
    <n v="16.719185034999999"/>
  </r>
  <r>
    <x v="0"/>
    <x v="16"/>
    <x v="9"/>
    <x v="43"/>
    <x v="4"/>
    <x v="4"/>
    <n v="143.82694392600001"/>
  </r>
  <r>
    <x v="0"/>
    <x v="16"/>
    <x v="9"/>
    <x v="43"/>
    <x v="5"/>
    <x v="4"/>
    <n v="0.73699147300000001"/>
  </r>
  <r>
    <x v="0"/>
    <x v="16"/>
    <x v="9"/>
    <x v="43"/>
    <x v="6"/>
    <x v="4"/>
    <n v="0"/>
  </r>
  <r>
    <x v="0"/>
    <x v="16"/>
    <x v="9"/>
    <x v="43"/>
    <x v="7"/>
    <x v="4"/>
    <n v="0"/>
  </r>
  <r>
    <x v="0"/>
    <x v="16"/>
    <x v="9"/>
    <x v="43"/>
    <x v="8"/>
    <x v="4"/>
    <n v="0"/>
  </r>
  <r>
    <x v="0"/>
    <x v="16"/>
    <x v="9"/>
    <x v="43"/>
    <x v="9"/>
    <x v="4"/>
    <n v="325.130261566"/>
  </r>
  <r>
    <x v="0"/>
    <x v="16"/>
    <x v="9"/>
    <x v="43"/>
    <x v="10"/>
    <x v="4"/>
    <n v="3.1123105139999998"/>
  </r>
  <r>
    <x v="0"/>
    <x v="16"/>
    <x v="9"/>
    <x v="43"/>
    <x v="11"/>
    <x v="4"/>
    <n v="62.242102283999998"/>
  </r>
  <r>
    <x v="0"/>
    <x v="16"/>
    <x v="9"/>
    <x v="43"/>
    <x v="12"/>
    <x v="4"/>
    <n v="5.7342805769999998"/>
  </r>
  <r>
    <x v="0"/>
    <x v="16"/>
    <x v="9"/>
    <x v="43"/>
    <x v="13"/>
    <x v="4"/>
    <n v="10.766411660999999"/>
  </r>
  <r>
    <x v="0"/>
    <x v="16"/>
    <x v="9"/>
    <x v="43"/>
    <x v="14"/>
    <x v="4"/>
    <n v="20.960034955000001"/>
  </r>
  <r>
    <x v="0"/>
    <x v="16"/>
    <x v="9"/>
    <x v="43"/>
    <x v="15"/>
    <x v="4"/>
    <n v="42.235340004999998"/>
  </r>
  <r>
    <x v="0"/>
    <x v="16"/>
    <x v="9"/>
    <x v="43"/>
    <x v="16"/>
    <x v="4"/>
    <n v="2.8338232859999999"/>
  </r>
  <r>
    <x v="0"/>
    <x v="16"/>
    <x v="9"/>
    <x v="43"/>
    <x v="17"/>
    <x v="4"/>
    <n v="0"/>
  </r>
  <r>
    <x v="0"/>
    <x v="16"/>
    <x v="9"/>
    <x v="43"/>
    <x v="18"/>
    <x v="4"/>
    <n v="3.340230837"/>
  </r>
  <r>
    <x v="0"/>
    <x v="16"/>
    <x v="9"/>
    <x v="43"/>
    <x v="19"/>
    <x v="4"/>
    <n v="0.88617301000000004"/>
  </r>
  <r>
    <x v="0"/>
    <x v="16"/>
    <x v="9"/>
    <x v="43"/>
    <x v="20"/>
    <x v="4"/>
    <n v="0.87729993900000003"/>
  </r>
  <r>
    <x v="0"/>
    <x v="16"/>
    <x v="9"/>
    <x v="43"/>
    <x v="21"/>
    <x v="4"/>
    <n v="50.774598730999998"/>
  </r>
  <r>
    <x v="0"/>
    <x v="16"/>
    <x v="9"/>
    <x v="43"/>
    <x v="22"/>
    <x v="4"/>
    <n v="22.168150047000001"/>
  </r>
  <r>
    <x v="0"/>
    <x v="16"/>
    <x v="9"/>
    <x v="43"/>
    <x v="23"/>
    <x v="4"/>
    <n v="23.833362856000001"/>
  </r>
  <r>
    <x v="0"/>
    <x v="16"/>
    <x v="9"/>
    <x v="43"/>
    <x v="24"/>
    <x v="4"/>
    <n v="1.150927493"/>
  </r>
  <r>
    <x v="0"/>
    <x v="16"/>
    <x v="9"/>
    <x v="43"/>
    <x v="25"/>
    <x v="4"/>
    <n v="1.1186544970000001"/>
  </r>
  <r>
    <x v="0"/>
    <x v="16"/>
    <x v="9"/>
    <x v="43"/>
    <x v="26"/>
    <x v="4"/>
    <n v="0"/>
  </r>
  <r>
    <x v="0"/>
    <x v="16"/>
    <x v="9"/>
    <x v="43"/>
    <x v="27"/>
    <x v="4"/>
    <n v="0"/>
  </r>
  <r>
    <x v="0"/>
    <x v="16"/>
    <x v="9"/>
    <x v="43"/>
    <x v="28"/>
    <x v="4"/>
    <n v="11.62725902"/>
  </r>
  <r>
    <x v="0"/>
    <x v="16"/>
    <x v="9"/>
    <x v="43"/>
    <x v="29"/>
    <x v="4"/>
    <n v="9.7485312549999996"/>
  </r>
  <r>
    <x v="0"/>
    <x v="16"/>
    <x v="9"/>
    <x v="43"/>
    <x v="30"/>
    <x v="4"/>
    <n v="0.158064128"/>
  </r>
  <r>
    <x v="0"/>
    <x v="16"/>
    <x v="9"/>
    <x v="43"/>
    <x v="31"/>
    <x v="4"/>
    <n v="0"/>
  </r>
  <r>
    <x v="0"/>
    <x v="16"/>
    <x v="9"/>
    <x v="43"/>
    <x v="32"/>
    <x v="4"/>
    <n v="52.351484513000003"/>
  </r>
  <r>
    <x v="0"/>
    <x v="16"/>
    <x v="9"/>
    <x v="43"/>
    <x v="33"/>
    <x v="4"/>
    <n v="15.138206457000001"/>
  </r>
  <r>
    <x v="0"/>
    <x v="16"/>
    <x v="9"/>
    <x v="43"/>
    <x v="34"/>
    <x v="4"/>
    <n v="-21.931900408000001"/>
  </r>
  <r>
    <x v="0"/>
    <x v="16"/>
    <x v="9"/>
    <x v="43"/>
    <x v="35"/>
    <x v="4"/>
    <n v="33.374351705000002"/>
  </r>
  <r>
    <x v="0"/>
    <x v="16"/>
    <x v="9"/>
    <x v="43"/>
    <x v="36"/>
    <x v="4"/>
    <n v="65.107784780000003"/>
  </r>
  <r>
    <x v="0"/>
    <x v="16"/>
    <x v="9"/>
    <x v="43"/>
    <x v="37"/>
    <x v="4"/>
    <n v="322.72515246299997"/>
  </r>
  <r>
    <x v="0"/>
    <x v="16"/>
    <x v="9"/>
    <x v="43"/>
    <x v="38"/>
    <x v="4"/>
    <n v="1.1193994949999999"/>
  </r>
  <r>
    <x v="0"/>
    <x v="16"/>
    <x v="9"/>
    <x v="43"/>
    <x v="39"/>
    <x v="4"/>
    <n v="-5.8227960000000002E-2"/>
  </r>
  <r>
    <x v="0"/>
    <x v="16"/>
    <x v="9"/>
    <x v="43"/>
    <x v="40"/>
    <x v="4"/>
    <n v="-0.93611941099999996"/>
  </r>
  <r>
    <x v="0"/>
    <x v="16"/>
    <x v="9"/>
    <x v="43"/>
    <x v="41"/>
    <x v="4"/>
    <n v="-13.020245314"/>
  </r>
  <r>
    <x v="0"/>
    <x v="16"/>
    <x v="9"/>
    <x v="43"/>
    <x v="42"/>
    <x v="4"/>
    <n v="-32.001847198"/>
  </r>
  <r>
    <x v="0"/>
    <x v="16"/>
    <x v="9"/>
    <x v="43"/>
    <x v="43"/>
    <x v="4"/>
    <n v="-28.688495552999999"/>
  </r>
  <r>
    <x v="0"/>
    <x v="16"/>
    <x v="9"/>
    <x v="43"/>
    <x v="44"/>
    <x v="4"/>
    <n v="-1.3765782609999999"/>
  </r>
  <r>
    <x v="0"/>
    <x v="16"/>
    <x v="9"/>
    <x v="43"/>
    <x v="45"/>
    <x v="4"/>
    <n v="-2.0492257719999998"/>
  </r>
  <r>
    <x v="0"/>
    <x v="16"/>
    <x v="10"/>
    <x v="43"/>
    <x v="0"/>
    <x v="4"/>
    <n v="1.6908752199999999"/>
  </r>
  <r>
    <x v="0"/>
    <x v="16"/>
    <x v="11"/>
    <x v="43"/>
    <x v="0"/>
    <x v="4"/>
    <n v="43.072816701999997"/>
  </r>
  <r>
    <x v="0"/>
    <x v="16"/>
    <x v="12"/>
    <x v="0"/>
    <x v="0"/>
    <x v="0"/>
    <n v="881.04552532100001"/>
  </r>
  <r>
    <x v="0"/>
    <x v="16"/>
    <x v="13"/>
    <x v="0"/>
    <x v="0"/>
    <x v="0"/>
    <n v="318.26115594700002"/>
  </r>
  <r>
    <x v="0"/>
    <x v="16"/>
    <x v="14"/>
    <x v="0"/>
    <x v="0"/>
    <x v="0"/>
    <n v="1.1888411780000001"/>
  </r>
  <r>
    <x v="0"/>
    <x v="16"/>
    <x v="15"/>
    <x v="0"/>
    <x v="0"/>
    <x v="1"/>
    <n v="9.5169406999999998E-2"/>
  </r>
  <r>
    <x v="0"/>
    <x v="16"/>
    <x v="16"/>
    <x v="0"/>
    <x v="0"/>
    <x v="1"/>
    <n v="0.100936815"/>
  </r>
  <r>
    <x v="0"/>
    <x v="16"/>
    <x v="12"/>
    <x v="1"/>
    <x v="0"/>
    <x v="0"/>
    <n v="291.35068202500003"/>
  </r>
  <r>
    <x v="0"/>
    <x v="16"/>
    <x v="13"/>
    <x v="1"/>
    <x v="0"/>
    <x v="0"/>
    <n v="41.099673725000002"/>
  </r>
  <r>
    <x v="0"/>
    <x v="16"/>
    <x v="14"/>
    <x v="1"/>
    <x v="0"/>
    <x v="0"/>
    <n v="0.39377554799999998"/>
  </r>
  <r>
    <x v="0"/>
    <x v="16"/>
    <x v="15"/>
    <x v="1"/>
    <x v="0"/>
    <x v="1"/>
    <n v="5.4346532000000003E-2"/>
  </r>
  <r>
    <x v="0"/>
    <x v="16"/>
    <x v="16"/>
    <x v="1"/>
    <x v="0"/>
    <x v="1"/>
    <n v="5.5194943000000003E-2"/>
  </r>
  <r>
    <x v="0"/>
    <x v="16"/>
    <x v="12"/>
    <x v="2"/>
    <x v="0"/>
    <x v="0"/>
    <n v="389.19646993100002"/>
  </r>
  <r>
    <x v="0"/>
    <x v="16"/>
    <x v="13"/>
    <x v="2"/>
    <x v="0"/>
    <x v="0"/>
    <n v="113.964719137"/>
  </r>
  <r>
    <x v="0"/>
    <x v="16"/>
    <x v="14"/>
    <x v="2"/>
    <x v="0"/>
    <x v="0"/>
    <n v="3.0856379020000002"/>
  </r>
  <r>
    <x v="0"/>
    <x v="16"/>
    <x v="15"/>
    <x v="2"/>
    <x v="0"/>
    <x v="1"/>
    <n v="3.4155251999999997E-2"/>
  </r>
  <r>
    <x v="0"/>
    <x v="16"/>
    <x v="16"/>
    <x v="2"/>
    <x v="0"/>
    <x v="1"/>
    <n v="3.1119557999999999E-2"/>
  </r>
  <r>
    <x v="0"/>
    <x v="16"/>
    <x v="12"/>
    <x v="3"/>
    <x v="0"/>
    <x v="0"/>
    <n v="169.15139594300001"/>
  </r>
  <r>
    <x v="0"/>
    <x v="16"/>
    <x v="13"/>
    <x v="3"/>
    <x v="0"/>
    <x v="0"/>
    <n v="89.507328009000005"/>
  </r>
  <r>
    <x v="0"/>
    <x v="16"/>
    <x v="14"/>
    <x v="3"/>
    <x v="0"/>
    <x v="0"/>
    <n v="0.38179801600000002"/>
  </r>
  <r>
    <x v="0"/>
    <x v="16"/>
    <x v="15"/>
    <x v="3"/>
    <x v="0"/>
    <x v="1"/>
    <n v="4.3284515000000003E-2"/>
  </r>
  <r>
    <x v="0"/>
    <x v="16"/>
    <x v="16"/>
    <x v="3"/>
    <x v="0"/>
    <x v="1"/>
    <n v="4.3391817999999999E-2"/>
  </r>
  <r>
    <x v="0"/>
    <x v="16"/>
    <x v="12"/>
    <x v="4"/>
    <x v="0"/>
    <x v="0"/>
    <n v="76.244694737000003"/>
  </r>
  <r>
    <x v="0"/>
    <x v="16"/>
    <x v="13"/>
    <x v="4"/>
    <x v="0"/>
    <x v="0"/>
    <n v="7.3774579749999996"/>
  </r>
  <r>
    <x v="0"/>
    <x v="16"/>
    <x v="14"/>
    <x v="4"/>
    <x v="0"/>
    <x v="0"/>
    <n v="0.62852043899999999"/>
  </r>
  <r>
    <x v="0"/>
    <x v="16"/>
    <x v="15"/>
    <x v="4"/>
    <x v="0"/>
    <x v="1"/>
    <n v="4.9471151999999997E-2"/>
  </r>
  <r>
    <x v="0"/>
    <x v="16"/>
    <x v="16"/>
    <x v="4"/>
    <x v="0"/>
    <x v="1"/>
    <n v="4.9825089000000003E-2"/>
  </r>
  <r>
    <x v="0"/>
    <x v="16"/>
    <x v="12"/>
    <x v="5"/>
    <x v="0"/>
    <x v="0"/>
    <n v="699.36397983999996"/>
  </r>
  <r>
    <x v="0"/>
    <x v="16"/>
    <x v="13"/>
    <x v="5"/>
    <x v="0"/>
    <x v="0"/>
    <n v="163.338507126"/>
  </r>
  <r>
    <x v="0"/>
    <x v="16"/>
    <x v="14"/>
    <x v="5"/>
    <x v="0"/>
    <x v="0"/>
    <n v="6.146514947"/>
  </r>
  <r>
    <x v="0"/>
    <x v="16"/>
    <x v="15"/>
    <x v="5"/>
    <x v="0"/>
    <x v="1"/>
    <n v="7.1977659999999999E-2"/>
  </r>
  <r>
    <x v="0"/>
    <x v="16"/>
    <x v="16"/>
    <x v="5"/>
    <x v="0"/>
    <x v="1"/>
    <n v="7.4235224000000002E-2"/>
  </r>
  <r>
    <x v="0"/>
    <x v="16"/>
    <x v="12"/>
    <x v="6"/>
    <x v="0"/>
    <x v="0"/>
    <n v="233.15394527500001"/>
  </r>
  <r>
    <x v="0"/>
    <x v="16"/>
    <x v="13"/>
    <x v="6"/>
    <x v="0"/>
    <x v="0"/>
    <n v="27.210805803"/>
  </r>
  <r>
    <x v="0"/>
    <x v="16"/>
    <x v="14"/>
    <x v="6"/>
    <x v="0"/>
    <x v="0"/>
    <n v="11.764003963"/>
  </r>
  <r>
    <x v="0"/>
    <x v="16"/>
    <x v="15"/>
    <x v="6"/>
    <x v="0"/>
    <x v="1"/>
    <n v="6.5158605999999994E-2"/>
  </r>
  <r>
    <x v="0"/>
    <x v="16"/>
    <x v="16"/>
    <x v="6"/>
    <x v="0"/>
    <x v="1"/>
    <n v="6.6098259000000006E-2"/>
  </r>
  <r>
    <x v="0"/>
    <x v="16"/>
    <x v="12"/>
    <x v="7"/>
    <x v="0"/>
    <x v="0"/>
    <n v="124.502299006"/>
  </r>
  <r>
    <x v="0"/>
    <x v="16"/>
    <x v="13"/>
    <x v="7"/>
    <x v="0"/>
    <x v="0"/>
    <n v="42.140236473999998"/>
  </r>
  <r>
    <x v="0"/>
    <x v="16"/>
    <x v="14"/>
    <x v="7"/>
    <x v="0"/>
    <x v="0"/>
    <n v="24.083068373"/>
  </r>
  <r>
    <x v="0"/>
    <x v="16"/>
    <x v="15"/>
    <x v="7"/>
    <x v="0"/>
    <x v="1"/>
    <n v="6.7357209000000001E-2"/>
  </r>
  <r>
    <x v="0"/>
    <x v="16"/>
    <x v="16"/>
    <x v="7"/>
    <x v="0"/>
    <x v="1"/>
    <n v="7.0228501999999998E-2"/>
  </r>
  <r>
    <x v="0"/>
    <x v="16"/>
    <x v="12"/>
    <x v="8"/>
    <x v="0"/>
    <x v="0"/>
    <n v="97.277755510999995"/>
  </r>
  <r>
    <x v="0"/>
    <x v="16"/>
    <x v="13"/>
    <x v="8"/>
    <x v="0"/>
    <x v="0"/>
    <n v="11.250830354"/>
  </r>
  <r>
    <x v="0"/>
    <x v="16"/>
    <x v="14"/>
    <x v="8"/>
    <x v="0"/>
    <x v="0"/>
    <n v="9.150209254"/>
  </r>
  <r>
    <x v="0"/>
    <x v="16"/>
    <x v="15"/>
    <x v="8"/>
    <x v="0"/>
    <x v="1"/>
    <n v="6.0558964E-2"/>
  </r>
  <r>
    <x v="0"/>
    <x v="16"/>
    <x v="16"/>
    <x v="8"/>
    <x v="0"/>
    <x v="1"/>
    <n v="6.1370675E-2"/>
  </r>
  <r>
    <x v="0"/>
    <x v="16"/>
    <x v="12"/>
    <x v="9"/>
    <x v="0"/>
    <x v="0"/>
    <n v="275.785211377"/>
  </r>
  <r>
    <x v="0"/>
    <x v="16"/>
    <x v="13"/>
    <x v="9"/>
    <x v="0"/>
    <x v="0"/>
    <n v="42.743601726999998"/>
  </r>
  <r>
    <x v="0"/>
    <x v="16"/>
    <x v="14"/>
    <x v="9"/>
    <x v="0"/>
    <x v="0"/>
    <n v="22.16911245"/>
  </r>
  <r>
    <x v="0"/>
    <x v="16"/>
    <x v="15"/>
    <x v="9"/>
    <x v="0"/>
    <x v="1"/>
    <n v="5.3607637999999999E-2"/>
  </r>
  <r>
    <x v="0"/>
    <x v="16"/>
    <x v="16"/>
    <x v="9"/>
    <x v="0"/>
    <x v="1"/>
    <n v="5.4360944000000001E-2"/>
  </r>
  <r>
    <x v="0"/>
    <x v="16"/>
    <x v="12"/>
    <x v="10"/>
    <x v="0"/>
    <x v="0"/>
    <n v="439.418053837"/>
  </r>
  <r>
    <x v="0"/>
    <x v="16"/>
    <x v="13"/>
    <x v="10"/>
    <x v="0"/>
    <x v="0"/>
    <n v="40.092995379999998"/>
  </r>
  <r>
    <x v="0"/>
    <x v="16"/>
    <x v="14"/>
    <x v="10"/>
    <x v="0"/>
    <x v="0"/>
    <n v="8.3869176799999998"/>
  </r>
  <r>
    <x v="0"/>
    <x v="16"/>
    <x v="15"/>
    <x v="10"/>
    <x v="0"/>
    <x v="1"/>
    <n v="3.8130437000000003E-2"/>
  </r>
  <r>
    <x v="0"/>
    <x v="16"/>
    <x v="16"/>
    <x v="10"/>
    <x v="0"/>
    <x v="1"/>
    <n v="3.7843135999999999E-2"/>
  </r>
  <r>
    <x v="0"/>
    <x v="16"/>
    <x v="12"/>
    <x v="11"/>
    <x v="0"/>
    <x v="0"/>
    <n v="1145.709137905"/>
  </r>
  <r>
    <x v="0"/>
    <x v="16"/>
    <x v="13"/>
    <x v="11"/>
    <x v="0"/>
    <x v="0"/>
    <n v="229.869663086"/>
  </r>
  <r>
    <x v="0"/>
    <x v="16"/>
    <x v="14"/>
    <x v="11"/>
    <x v="0"/>
    <x v="0"/>
    <n v="46.963476272999998"/>
  </r>
  <r>
    <x v="0"/>
    <x v="16"/>
    <x v="15"/>
    <x v="11"/>
    <x v="0"/>
    <x v="1"/>
    <n v="4.6577295999999997E-2"/>
  </r>
  <r>
    <x v="0"/>
    <x v="16"/>
    <x v="16"/>
    <x v="11"/>
    <x v="0"/>
    <x v="1"/>
    <n v="4.6955897000000003E-2"/>
  </r>
  <r>
    <x v="0"/>
    <x v="16"/>
    <x v="12"/>
    <x v="12"/>
    <x v="0"/>
    <x v="0"/>
    <n v="277.48609242499998"/>
  </r>
  <r>
    <x v="0"/>
    <x v="16"/>
    <x v="13"/>
    <x v="12"/>
    <x v="0"/>
    <x v="0"/>
    <n v="8.0296902229999993"/>
  </r>
  <r>
    <x v="0"/>
    <x v="16"/>
    <x v="14"/>
    <x v="12"/>
    <x v="0"/>
    <x v="0"/>
    <n v="10.136350780000001"/>
  </r>
  <r>
    <x v="0"/>
    <x v="16"/>
    <x v="15"/>
    <x v="12"/>
    <x v="0"/>
    <x v="1"/>
    <n v="4.7128016000000002E-2"/>
  </r>
  <r>
    <x v="0"/>
    <x v="16"/>
    <x v="16"/>
    <x v="12"/>
    <x v="0"/>
    <x v="1"/>
    <n v="4.7190633000000003E-2"/>
  </r>
  <r>
    <x v="0"/>
    <x v="16"/>
    <x v="12"/>
    <x v="13"/>
    <x v="0"/>
    <x v="0"/>
    <n v="812.79035394100003"/>
  </r>
  <r>
    <x v="0"/>
    <x v="16"/>
    <x v="13"/>
    <x v="13"/>
    <x v="0"/>
    <x v="0"/>
    <n v="84.421869854999997"/>
  </r>
  <r>
    <x v="0"/>
    <x v="16"/>
    <x v="14"/>
    <x v="13"/>
    <x v="0"/>
    <x v="0"/>
    <n v="25.628479424999998"/>
  </r>
  <r>
    <x v="0"/>
    <x v="16"/>
    <x v="15"/>
    <x v="13"/>
    <x v="0"/>
    <x v="1"/>
    <n v="3.8873224999999997E-2"/>
  </r>
  <r>
    <x v="0"/>
    <x v="16"/>
    <x v="16"/>
    <x v="13"/>
    <x v="0"/>
    <x v="1"/>
    <n v="3.8601258999999999E-2"/>
  </r>
  <r>
    <x v="0"/>
    <x v="16"/>
    <x v="12"/>
    <x v="14"/>
    <x v="0"/>
    <x v="0"/>
    <n v="207.61229502800001"/>
  </r>
  <r>
    <x v="0"/>
    <x v="16"/>
    <x v="13"/>
    <x v="14"/>
    <x v="0"/>
    <x v="0"/>
    <n v="11.240239194000001"/>
  </r>
  <r>
    <x v="0"/>
    <x v="16"/>
    <x v="14"/>
    <x v="14"/>
    <x v="0"/>
    <x v="0"/>
    <n v="18.954251286000002"/>
  </r>
  <r>
    <x v="0"/>
    <x v="16"/>
    <x v="15"/>
    <x v="14"/>
    <x v="0"/>
    <x v="1"/>
    <n v="4.5178235999999997E-2"/>
  </r>
  <r>
    <x v="0"/>
    <x v="16"/>
    <x v="16"/>
    <x v="14"/>
    <x v="0"/>
    <x v="1"/>
    <n v="4.5240990000000002E-2"/>
  </r>
  <r>
    <x v="0"/>
    <x v="16"/>
    <x v="12"/>
    <x v="15"/>
    <x v="0"/>
    <x v="0"/>
    <n v="214.454040534"/>
  </r>
  <r>
    <x v="0"/>
    <x v="16"/>
    <x v="13"/>
    <x v="15"/>
    <x v="0"/>
    <x v="0"/>
    <n v="73.194909995000003"/>
  </r>
  <r>
    <x v="0"/>
    <x v="16"/>
    <x v="14"/>
    <x v="15"/>
    <x v="0"/>
    <x v="0"/>
    <n v="26.585364925"/>
  </r>
  <r>
    <x v="0"/>
    <x v="16"/>
    <x v="15"/>
    <x v="15"/>
    <x v="0"/>
    <x v="1"/>
    <n v="4.8665317E-2"/>
  </r>
  <r>
    <x v="0"/>
    <x v="16"/>
    <x v="16"/>
    <x v="15"/>
    <x v="0"/>
    <x v="1"/>
    <n v="4.9647757000000001E-2"/>
  </r>
  <r>
    <x v="0"/>
    <x v="16"/>
    <x v="12"/>
    <x v="16"/>
    <x v="0"/>
    <x v="0"/>
    <n v="135.32276900799999"/>
  </r>
  <r>
    <x v="0"/>
    <x v="16"/>
    <x v="13"/>
    <x v="16"/>
    <x v="0"/>
    <x v="0"/>
    <n v="62.246330024999999"/>
  </r>
  <r>
    <x v="0"/>
    <x v="16"/>
    <x v="14"/>
    <x v="16"/>
    <x v="0"/>
    <x v="0"/>
    <n v="12.448913182"/>
  </r>
  <r>
    <x v="0"/>
    <x v="16"/>
    <x v="15"/>
    <x v="16"/>
    <x v="0"/>
    <x v="1"/>
    <n v="5.0747942999999997E-2"/>
  </r>
  <r>
    <x v="0"/>
    <x v="16"/>
    <x v="16"/>
    <x v="16"/>
    <x v="0"/>
    <x v="1"/>
    <n v="5.2466106999999998E-2"/>
  </r>
  <r>
    <x v="0"/>
    <x v="16"/>
    <x v="12"/>
    <x v="17"/>
    <x v="0"/>
    <x v="0"/>
    <n v="332.99751895899999"/>
  </r>
  <r>
    <x v="0"/>
    <x v="16"/>
    <x v="13"/>
    <x v="17"/>
    <x v="0"/>
    <x v="0"/>
    <n v="104.356391445"/>
  </r>
  <r>
    <x v="0"/>
    <x v="16"/>
    <x v="14"/>
    <x v="17"/>
    <x v="0"/>
    <x v="0"/>
    <n v="20.608644231"/>
  </r>
  <r>
    <x v="0"/>
    <x v="16"/>
    <x v="15"/>
    <x v="17"/>
    <x v="0"/>
    <x v="1"/>
    <n v="5.0903432999999998E-2"/>
  </r>
  <r>
    <x v="0"/>
    <x v="16"/>
    <x v="16"/>
    <x v="17"/>
    <x v="0"/>
    <x v="1"/>
    <n v="5.2082824E-2"/>
  </r>
  <r>
    <x v="0"/>
    <x v="16"/>
    <x v="12"/>
    <x v="18"/>
    <x v="0"/>
    <x v="0"/>
    <n v="265.51820394600003"/>
  </r>
  <r>
    <x v="0"/>
    <x v="16"/>
    <x v="13"/>
    <x v="18"/>
    <x v="0"/>
    <x v="0"/>
    <n v="57.453024390000003"/>
  </r>
  <r>
    <x v="0"/>
    <x v="16"/>
    <x v="14"/>
    <x v="18"/>
    <x v="0"/>
    <x v="0"/>
    <n v="45.732186773999999"/>
  </r>
  <r>
    <x v="0"/>
    <x v="16"/>
    <x v="15"/>
    <x v="18"/>
    <x v="0"/>
    <x v="1"/>
    <n v="4.5993856E-2"/>
  </r>
  <r>
    <x v="0"/>
    <x v="16"/>
    <x v="16"/>
    <x v="18"/>
    <x v="0"/>
    <x v="1"/>
    <n v="4.6332587000000001E-2"/>
  </r>
  <r>
    <x v="0"/>
    <x v="16"/>
    <x v="12"/>
    <x v="19"/>
    <x v="0"/>
    <x v="0"/>
    <n v="267.84656085099999"/>
  </r>
  <r>
    <x v="0"/>
    <x v="16"/>
    <x v="13"/>
    <x v="19"/>
    <x v="0"/>
    <x v="0"/>
    <n v="335.767386837"/>
  </r>
  <r>
    <x v="0"/>
    <x v="16"/>
    <x v="14"/>
    <x v="19"/>
    <x v="0"/>
    <x v="0"/>
    <n v="115.570991746"/>
  </r>
  <r>
    <x v="0"/>
    <x v="16"/>
    <x v="15"/>
    <x v="19"/>
    <x v="0"/>
    <x v="1"/>
    <n v="4.7647496999999997E-2"/>
  </r>
  <r>
    <x v="0"/>
    <x v="16"/>
    <x v="16"/>
    <x v="19"/>
    <x v="0"/>
    <x v="1"/>
    <n v="5.0720922000000002E-2"/>
  </r>
  <r>
    <x v="0"/>
    <x v="16"/>
    <x v="12"/>
    <x v="20"/>
    <x v="0"/>
    <x v="0"/>
    <n v="44.366254765999997"/>
  </r>
  <r>
    <x v="0"/>
    <x v="16"/>
    <x v="13"/>
    <x v="20"/>
    <x v="0"/>
    <x v="0"/>
    <n v="48.164900873000001"/>
  </r>
  <r>
    <x v="0"/>
    <x v="16"/>
    <x v="14"/>
    <x v="20"/>
    <x v="0"/>
    <x v="0"/>
    <n v="9.3733846449999998"/>
  </r>
  <r>
    <x v="0"/>
    <x v="16"/>
    <x v="15"/>
    <x v="20"/>
    <x v="0"/>
    <x v="1"/>
    <n v="4.5842690999999998E-2"/>
  </r>
  <r>
    <x v="0"/>
    <x v="16"/>
    <x v="16"/>
    <x v="20"/>
    <x v="0"/>
    <x v="1"/>
    <n v="4.7687434000000001E-2"/>
  </r>
  <r>
    <x v="0"/>
    <x v="16"/>
    <x v="12"/>
    <x v="21"/>
    <x v="0"/>
    <x v="0"/>
    <n v="19.225377365"/>
  </r>
  <r>
    <x v="0"/>
    <x v="16"/>
    <x v="13"/>
    <x v="21"/>
    <x v="0"/>
    <x v="0"/>
    <n v="1.0313913649999999"/>
  </r>
  <r>
    <x v="0"/>
    <x v="16"/>
    <x v="14"/>
    <x v="21"/>
    <x v="0"/>
    <x v="0"/>
    <n v="1.689872678"/>
  </r>
  <r>
    <x v="0"/>
    <x v="16"/>
    <x v="15"/>
    <x v="21"/>
    <x v="0"/>
    <x v="1"/>
    <n v="5.6494807000000001E-2"/>
  </r>
  <r>
    <x v="0"/>
    <x v="16"/>
    <x v="16"/>
    <x v="21"/>
    <x v="0"/>
    <x v="1"/>
    <n v="5.6802278999999997E-2"/>
  </r>
  <r>
    <x v="0"/>
    <x v="16"/>
    <x v="12"/>
    <x v="22"/>
    <x v="0"/>
    <x v="0"/>
    <n v="99.304772997000001"/>
  </r>
  <r>
    <x v="0"/>
    <x v="16"/>
    <x v="13"/>
    <x v="22"/>
    <x v="0"/>
    <x v="0"/>
    <n v="1.4109607799999999"/>
  </r>
  <r>
    <x v="0"/>
    <x v="16"/>
    <x v="14"/>
    <x v="22"/>
    <x v="0"/>
    <x v="0"/>
    <n v="5.8321637529999997"/>
  </r>
  <r>
    <x v="0"/>
    <x v="16"/>
    <x v="15"/>
    <x v="22"/>
    <x v="0"/>
    <x v="1"/>
    <n v="1.125546E-2"/>
  </r>
  <r>
    <x v="0"/>
    <x v="16"/>
    <x v="16"/>
    <x v="22"/>
    <x v="0"/>
    <x v="1"/>
    <n v="9.4686990000000006E-3"/>
  </r>
  <r>
    <x v="0"/>
    <x v="16"/>
    <x v="12"/>
    <x v="23"/>
    <x v="0"/>
    <x v="0"/>
    <n v="9.4547687220000007"/>
  </r>
  <r>
    <x v="0"/>
    <x v="16"/>
    <x v="13"/>
    <x v="23"/>
    <x v="0"/>
    <x v="0"/>
    <n v="0"/>
  </r>
  <r>
    <x v="0"/>
    <x v="16"/>
    <x v="14"/>
    <x v="23"/>
    <x v="0"/>
    <x v="0"/>
    <n v="0"/>
  </r>
  <r>
    <x v="0"/>
    <x v="16"/>
    <x v="15"/>
    <x v="23"/>
    <x v="0"/>
    <x v="1"/>
    <n v="5.4133865000000003E-2"/>
  </r>
  <r>
    <x v="0"/>
    <x v="16"/>
    <x v="16"/>
    <x v="23"/>
    <x v="0"/>
    <x v="1"/>
    <n v="5.4133865000000003E-2"/>
  </r>
  <r>
    <x v="0"/>
    <x v="16"/>
    <x v="12"/>
    <x v="24"/>
    <x v="0"/>
    <x v="0"/>
    <n v="496.89341065899998"/>
  </r>
  <r>
    <x v="0"/>
    <x v="16"/>
    <x v="13"/>
    <x v="24"/>
    <x v="0"/>
    <x v="0"/>
    <n v="0.33181332699999999"/>
  </r>
  <r>
    <x v="0"/>
    <x v="16"/>
    <x v="14"/>
    <x v="24"/>
    <x v="0"/>
    <x v="0"/>
    <n v="0.45454007400000002"/>
  </r>
  <r>
    <x v="0"/>
    <x v="16"/>
    <x v="15"/>
    <x v="24"/>
    <x v="0"/>
    <x v="1"/>
    <n v="4.1644607E-2"/>
  </r>
  <r>
    <x v="0"/>
    <x v="16"/>
    <x v="16"/>
    <x v="24"/>
    <x v="0"/>
    <x v="1"/>
    <n v="4.1644067999999999E-2"/>
  </r>
  <r>
    <x v="0"/>
    <x v="16"/>
    <x v="12"/>
    <x v="25"/>
    <x v="0"/>
    <x v="0"/>
    <n v="25.479904654999999"/>
  </r>
  <r>
    <x v="0"/>
    <x v="16"/>
    <x v="13"/>
    <x v="25"/>
    <x v="0"/>
    <x v="0"/>
    <n v="1.9399999999999999E-7"/>
  </r>
  <r>
    <x v="0"/>
    <x v="16"/>
    <x v="14"/>
    <x v="25"/>
    <x v="0"/>
    <x v="0"/>
    <n v="0"/>
  </r>
  <r>
    <x v="0"/>
    <x v="16"/>
    <x v="15"/>
    <x v="25"/>
    <x v="0"/>
    <x v="1"/>
    <n v="3.7687150000000003E-2"/>
  </r>
  <r>
    <x v="0"/>
    <x v="16"/>
    <x v="16"/>
    <x v="25"/>
    <x v="0"/>
    <x v="1"/>
    <n v="3.7687150000000003E-2"/>
  </r>
  <r>
    <x v="0"/>
    <x v="16"/>
    <x v="12"/>
    <x v="26"/>
    <x v="0"/>
    <x v="0"/>
    <n v="12.668432150999999"/>
  </r>
  <r>
    <x v="0"/>
    <x v="16"/>
    <x v="13"/>
    <x v="26"/>
    <x v="0"/>
    <x v="0"/>
    <n v="0"/>
  </r>
  <r>
    <x v="0"/>
    <x v="16"/>
    <x v="14"/>
    <x v="26"/>
    <x v="0"/>
    <x v="0"/>
    <n v="0"/>
  </r>
  <r>
    <x v="0"/>
    <x v="16"/>
    <x v="15"/>
    <x v="26"/>
    <x v="0"/>
    <x v="1"/>
    <n v="5.3433484000000003E-2"/>
  </r>
  <r>
    <x v="0"/>
    <x v="16"/>
    <x v="16"/>
    <x v="26"/>
    <x v="0"/>
    <x v="1"/>
    <n v="5.3433484000000003E-2"/>
  </r>
  <r>
    <x v="0"/>
    <x v="16"/>
    <x v="12"/>
    <x v="27"/>
    <x v="0"/>
    <x v="0"/>
    <n v="497.91791786200002"/>
  </r>
  <r>
    <x v="0"/>
    <x v="16"/>
    <x v="13"/>
    <x v="27"/>
    <x v="0"/>
    <x v="0"/>
    <n v="4.7675676969999996"/>
  </r>
  <r>
    <x v="0"/>
    <x v="16"/>
    <x v="14"/>
    <x v="27"/>
    <x v="0"/>
    <x v="0"/>
    <n v="1.9374421070000001"/>
  </r>
  <r>
    <x v="0"/>
    <x v="16"/>
    <x v="15"/>
    <x v="27"/>
    <x v="0"/>
    <x v="1"/>
    <n v="6.1274897000000002E-2"/>
  </r>
  <r>
    <x v="0"/>
    <x v="16"/>
    <x v="16"/>
    <x v="27"/>
    <x v="0"/>
    <x v="1"/>
    <n v="6.1345649000000002E-2"/>
  </r>
  <r>
    <x v="0"/>
    <x v="16"/>
    <x v="12"/>
    <x v="28"/>
    <x v="0"/>
    <x v="0"/>
    <n v="666.15651006400003"/>
  </r>
  <r>
    <x v="0"/>
    <x v="16"/>
    <x v="13"/>
    <x v="28"/>
    <x v="0"/>
    <x v="0"/>
    <n v="0"/>
  </r>
  <r>
    <x v="0"/>
    <x v="16"/>
    <x v="14"/>
    <x v="28"/>
    <x v="0"/>
    <x v="0"/>
    <n v="84.083263019"/>
  </r>
  <r>
    <x v="0"/>
    <x v="16"/>
    <x v="15"/>
    <x v="28"/>
    <x v="0"/>
    <x v="1"/>
    <n v="4.2925178000000001E-2"/>
  </r>
  <r>
    <x v="0"/>
    <x v="16"/>
    <x v="16"/>
    <x v="28"/>
    <x v="0"/>
    <x v="1"/>
    <n v="4.2925178000000001E-2"/>
  </r>
  <r>
    <x v="0"/>
    <x v="16"/>
    <x v="12"/>
    <x v="29"/>
    <x v="0"/>
    <x v="0"/>
    <n v="636.82525147299998"/>
  </r>
  <r>
    <x v="0"/>
    <x v="16"/>
    <x v="13"/>
    <x v="29"/>
    <x v="0"/>
    <x v="0"/>
    <n v="64.492892245999997"/>
  </r>
  <r>
    <x v="0"/>
    <x v="16"/>
    <x v="14"/>
    <x v="29"/>
    <x v="0"/>
    <x v="0"/>
    <n v="29.216383831000002"/>
  </r>
  <r>
    <x v="0"/>
    <x v="16"/>
    <x v="15"/>
    <x v="29"/>
    <x v="0"/>
    <x v="1"/>
    <n v="4.7846430000000002E-2"/>
  </r>
  <r>
    <x v="0"/>
    <x v="16"/>
    <x v="16"/>
    <x v="29"/>
    <x v="0"/>
    <x v="1"/>
    <n v="4.8120561999999999E-2"/>
  </r>
  <r>
    <x v="0"/>
    <x v="16"/>
    <x v="12"/>
    <x v="30"/>
    <x v="0"/>
    <x v="0"/>
    <n v="166.85205324699999"/>
  </r>
  <r>
    <x v="0"/>
    <x v="16"/>
    <x v="13"/>
    <x v="30"/>
    <x v="0"/>
    <x v="0"/>
    <n v="44.128997661"/>
  </r>
  <r>
    <x v="0"/>
    <x v="16"/>
    <x v="14"/>
    <x v="30"/>
    <x v="0"/>
    <x v="0"/>
    <n v="1.183278534"/>
  </r>
  <r>
    <x v="0"/>
    <x v="16"/>
    <x v="15"/>
    <x v="30"/>
    <x v="0"/>
    <x v="1"/>
    <n v="7.4159883999999995E-2"/>
  </r>
  <r>
    <x v="0"/>
    <x v="16"/>
    <x v="16"/>
    <x v="30"/>
    <x v="0"/>
    <x v="1"/>
    <n v="7.7099547000000004E-2"/>
  </r>
  <r>
    <x v="0"/>
    <x v="16"/>
    <x v="12"/>
    <x v="31"/>
    <x v="0"/>
    <x v="0"/>
    <n v="225.831461905"/>
  </r>
  <r>
    <x v="0"/>
    <x v="16"/>
    <x v="13"/>
    <x v="31"/>
    <x v="0"/>
    <x v="0"/>
    <n v="8.9172930919999995"/>
  </r>
  <r>
    <x v="0"/>
    <x v="16"/>
    <x v="14"/>
    <x v="31"/>
    <x v="0"/>
    <x v="0"/>
    <n v="7.8363236499999998"/>
  </r>
  <r>
    <x v="0"/>
    <x v="16"/>
    <x v="15"/>
    <x v="31"/>
    <x v="0"/>
    <x v="1"/>
    <n v="3.8826927999999997E-2"/>
  </r>
  <r>
    <x v="0"/>
    <x v="16"/>
    <x v="16"/>
    <x v="31"/>
    <x v="0"/>
    <x v="1"/>
    <n v="3.8705885000000002E-2"/>
  </r>
  <r>
    <x v="0"/>
    <x v="16"/>
    <x v="12"/>
    <x v="32"/>
    <x v="0"/>
    <x v="0"/>
    <n v="793.77123861500002"/>
  </r>
  <r>
    <x v="0"/>
    <x v="16"/>
    <x v="13"/>
    <x v="32"/>
    <x v="0"/>
    <x v="0"/>
    <n v="4.9210889760000001"/>
  </r>
  <r>
    <x v="0"/>
    <x v="16"/>
    <x v="14"/>
    <x v="32"/>
    <x v="0"/>
    <x v="0"/>
    <n v="3.795546238"/>
  </r>
  <r>
    <x v="0"/>
    <x v="16"/>
    <x v="15"/>
    <x v="32"/>
    <x v="0"/>
    <x v="1"/>
    <n v="3.7590650000000003E-2"/>
  </r>
  <r>
    <x v="0"/>
    <x v="16"/>
    <x v="16"/>
    <x v="32"/>
    <x v="0"/>
    <x v="1"/>
    <n v="3.7563212999999998E-2"/>
  </r>
  <r>
    <x v="0"/>
    <x v="16"/>
    <x v="12"/>
    <x v="33"/>
    <x v="0"/>
    <x v="0"/>
    <n v="677.44534461000001"/>
  </r>
  <r>
    <x v="0"/>
    <x v="16"/>
    <x v="13"/>
    <x v="33"/>
    <x v="0"/>
    <x v="0"/>
    <n v="0"/>
  </r>
  <r>
    <x v="0"/>
    <x v="16"/>
    <x v="14"/>
    <x v="33"/>
    <x v="0"/>
    <x v="0"/>
    <n v="0"/>
  </r>
  <r>
    <x v="0"/>
    <x v="16"/>
    <x v="15"/>
    <x v="33"/>
    <x v="0"/>
    <x v="1"/>
    <n v="2.3052927000000001E-2"/>
  </r>
  <r>
    <x v="0"/>
    <x v="16"/>
    <x v="16"/>
    <x v="33"/>
    <x v="0"/>
    <x v="1"/>
    <n v="2.3052927000000001E-2"/>
  </r>
  <r>
    <x v="0"/>
    <x v="16"/>
    <x v="12"/>
    <x v="34"/>
    <x v="0"/>
    <x v="0"/>
    <n v="373.09325631299998"/>
  </r>
  <r>
    <x v="0"/>
    <x v="16"/>
    <x v="13"/>
    <x v="34"/>
    <x v="0"/>
    <x v="0"/>
    <n v="67.343955754999996"/>
  </r>
  <r>
    <x v="0"/>
    <x v="16"/>
    <x v="14"/>
    <x v="34"/>
    <x v="0"/>
    <x v="0"/>
    <n v="18.616565304000002"/>
  </r>
  <r>
    <x v="0"/>
    <x v="16"/>
    <x v="15"/>
    <x v="34"/>
    <x v="0"/>
    <x v="1"/>
    <n v="5.1126729000000003E-2"/>
  </r>
  <r>
    <x v="0"/>
    <x v="16"/>
    <x v="16"/>
    <x v="34"/>
    <x v="0"/>
    <x v="1"/>
    <n v="5.1875342999999997E-2"/>
  </r>
  <r>
    <x v="0"/>
    <x v="16"/>
    <x v="12"/>
    <x v="35"/>
    <x v="0"/>
    <x v="0"/>
    <n v="313.17453985700001"/>
  </r>
  <r>
    <x v="0"/>
    <x v="16"/>
    <x v="13"/>
    <x v="35"/>
    <x v="0"/>
    <x v="0"/>
    <n v="7.2556643159999998"/>
  </r>
  <r>
    <x v="0"/>
    <x v="16"/>
    <x v="14"/>
    <x v="35"/>
    <x v="0"/>
    <x v="0"/>
    <n v="0.116614315"/>
  </r>
  <r>
    <x v="0"/>
    <x v="16"/>
    <x v="15"/>
    <x v="35"/>
    <x v="0"/>
    <x v="1"/>
    <n v="5.4826588000000002E-2"/>
  </r>
  <r>
    <x v="0"/>
    <x v="16"/>
    <x v="16"/>
    <x v="35"/>
    <x v="0"/>
    <x v="1"/>
    <n v="5.4958364000000003E-2"/>
  </r>
  <r>
    <x v="0"/>
    <x v="16"/>
    <x v="12"/>
    <x v="36"/>
    <x v="0"/>
    <x v="0"/>
    <n v="105.20592241999999"/>
  </r>
  <r>
    <x v="0"/>
    <x v="16"/>
    <x v="13"/>
    <x v="36"/>
    <x v="0"/>
    <x v="0"/>
    <n v="16.351710387000001"/>
  </r>
  <r>
    <x v="0"/>
    <x v="16"/>
    <x v="14"/>
    <x v="36"/>
    <x v="0"/>
    <x v="0"/>
    <n v="0.49498361000000002"/>
  </r>
  <r>
    <x v="0"/>
    <x v="16"/>
    <x v="15"/>
    <x v="36"/>
    <x v="0"/>
    <x v="1"/>
    <n v="6.2088550999999999E-2"/>
  </r>
  <r>
    <x v="0"/>
    <x v="16"/>
    <x v="16"/>
    <x v="36"/>
    <x v="0"/>
    <x v="1"/>
    <n v="6.3374421E-2"/>
  </r>
  <r>
    <x v="0"/>
    <x v="16"/>
    <x v="12"/>
    <x v="37"/>
    <x v="0"/>
    <x v="0"/>
    <n v="120.359938763"/>
  </r>
  <r>
    <x v="0"/>
    <x v="16"/>
    <x v="13"/>
    <x v="37"/>
    <x v="0"/>
    <x v="0"/>
    <n v="3.8560740679999999"/>
  </r>
  <r>
    <x v="0"/>
    <x v="16"/>
    <x v="14"/>
    <x v="37"/>
    <x v="0"/>
    <x v="0"/>
    <n v="0.32231524900000003"/>
  </r>
  <r>
    <x v="0"/>
    <x v="16"/>
    <x v="15"/>
    <x v="37"/>
    <x v="0"/>
    <x v="1"/>
    <n v="6.7664585999999999E-2"/>
  </r>
  <r>
    <x v="0"/>
    <x v="16"/>
    <x v="16"/>
    <x v="37"/>
    <x v="0"/>
    <x v="1"/>
    <n v="6.8002838999999995E-2"/>
  </r>
  <r>
    <x v="0"/>
    <x v="16"/>
    <x v="12"/>
    <x v="38"/>
    <x v="0"/>
    <x v="0"/>
    <n v="382.26506239600002"/>
  </r>
  <r>
    <x v="0"/>
    <x v="16"/>
    <x v="13"/>
    <x v="38"/>
    <x v="0"/>
    <x v="0"/>
    <n v="18.147028657"/>
  </r>
  <r>
    <x v="0"/>
    <x v="16"/>
    <x v="14"/>
    <x v="38"/>
    <x v="0"/>
    <x v="0"/>
    <n v="0.112758845"/>
  </r>
  <r>
    <x v="0"/>
    <x v="16"/>
    <x v="15"/>
    <x v="38"/>
    <x v="0"/>
    <x v="1"/>
    <n v="9.7849696E-2"/>
  </r>
  <r>
    <x v="0"/>
    <x v="16"/>
    <x v="16"/>
    <x v="38"/>
    <x v="0"/>
    <x v="1"/>
    <n v="9.8746527000000001E-2"/>
  </r>
  <r>
    <x v="0"/>
    <x v="16"/>
    <x v="12"/>
    <x v="39"/>
    <x v="0"/>
    <x v="0"/>
    <n v="198.82162666599999"/>
  </r>
  <r>
    <x v="0"/>
    <x v="16"/>
    <x v="13"/>
    <x v="39"/>
    <x v="0"/>
    <x v="0"/>
    <n v="7.0541857419999996"/>
  </r>
  <r>
    <x v="0"/>
    <x v="16"/>
    <x v="14"/>
    <x v="39"/>
    <x v="0"/>
    <x v="0"/>
    <n v="0.10986539200000001"/>
  </r>
  <r>
    <x v="0"/>
    <x v="16"/>
    <x v="15"/>
    <x v="39"/>
    <x v="0"/>
    <x v="1"/>
    <n v="8.0149021000000001E-2"/>
  </r>
  <r>
    <x v="0"/>
    <x v="16"/>
    <x v="16"/>
    <x v="39"/>
    <x v="0"/>
    <x v="1"/>
    <n v="8.0598184000000003E-2"/>
  </r>
  <r>
    <x v="0"/>
    <x v="16"/>
    <x v="12"/>
    <x v="40"/>
    <x v="0"/>
    <x v="0"/>
    <n v="74.215478007000002"/>
  </r>
  <r>
    <x v="0"/>
    <x v="16"/>
    <x v="13"/>
    <x v="40"/>
    <x v="0"/>
    <x v="0"/>
    <n v="41.634711844999998"/>
  </r>
  <r>
    <x v="0"/>
    <x v="16"/>
    <x v="14"/>
    <x v="40"/>
    <x v="0"/>
    <x v="0"/>
    <n v="2.2526028139999998"/>
  </r>
  <r>
    <x v="0"/>
    <x v="16"/>
    <x v="15"/>
    <x v="40"/>
    <x v="0"/>
    <x v="1"/>
    <n v="5.7262365000000003E-2"/>
  </r>
  <r>
    <x v="0"/>
    <x v="16"/>
    <x v="16"/>
    <x v="40"/>
    <x v="0"/>
    <x v="1"/>
    <n v="6.1215587000000002E-2"/>
  </r>
  <r>
    <x v="0"/>
    <x v="16"/>
    <x v="12"/>
    <x v="41"/>
    <x v="0"/>
    <x v="0"/>
    <n v="797.37907560899998"/>
  </r>
  <r>
    <x v="0"/>
    <x v="16"/>
    <x v="13"/>
    <x v="41"/>
    <x v="0"/>
    <x v="0"/>
    <n v="14.217898807999999"/>
  </r>
  <r>
    <x v="0"/>
    <x v="16"/>
    <x v="14"/>
    <x v="41"/>
    <x v="0"/>
    <x v="0"/>
    <n v="0.19149334500000001"/>
  </r>
  <r>
    <x v="0"/>
    <x v="16"/>
    <x v="15"/>
    <x v="41"/>
    <x v="0"/>
    <x v="1"/>
    <n v="9.3983966000000002E-2"/>
  </r>
  <r>
    <x v="0"/>
    <x v="16"/>
    <x v="16"/>
    <x v="41"/>
    <x v="0"/>
    <x v="1"/>
    <n v="9.4279787000000004E-2"/>
  </r>
  <r>
    <x v="0"/>
    <x v="16"/>
    <x v="17"/>
    <x v="0"/>
    <x v="46"/>
    <x v="1"/>
    <n v="89.015709333999993"/>
  </r>
  <r>
    <x v="0"/>
    <x v="16"/>
    <x v="17"/>
    <x v="0"/>
    <x v="47"/>
    <x v="1"/>
    <n v="89.015709333999993"/>
  </r>
  <r>
    <x v="0"/>
    <x v="16"/>
    <x v="17"/>
    <x v="0"/>
    <x v="48"/>
    <x v="1"/>
    <n v="89.015709333999993"/>
  </r>
  <r>
    <x v="0"/>
    <x v="16"/>
    <x v="17"/>
    <x v="0"/>
    <x v="49"/>
    <x v="1"/>
    <n v="0"/>
  </r>
  <r>
    <x v="0"/>
    <x v="16"/>
    <x v="17"/>
    <x v="0"/>
    <x v="50"/>
    <x v="1"/>
    <n v="0"/>
  </r>
  <r>
    <x v="0"/>
    <x v="16"/>
    <x v="17"/>
    <x v="0"/>
    <x v="51"/>
    <x v="1"/>
    <n v="0"/>
  </r>
  <r>
    <x v="0"/>
    <x v="16"/>
    <x v="17"/>
    <x v="0"/>
    <x v="52"/>
    <x v="1"/>
    <n v="0"/>
  </r>
  <r>
    <x v="0"/>
    <x v="16"/>
    <x v="17"/>
    <x v="0"/>
    <x v="53"/>
    <x v="1"/>
    <n v="0"/>
  </r>
  <r>
    <x v="0"/>
    <x v="16"/>
    <x v="17"/>
    <x v="0"/>
    <x v="54"/>
    <x v="1"/>
    <n v="0"/>
  </r>
  <r>
    <x v="0"/>
    <x v="16"/>
    <x v="17"/>
    <x v="0"/>
    <x v="55"/>
    <x v="1"/>
    <n v="0"/>
  </r>
  <r>
    <x v="0"/>
    <x v="16"/>
    <x v="17"/>
    <x v="1"/>
    <x v="46"/>
    <x v="1"/>
    <n v="16.100797536000002"/>
  </r>
  <r>
    <x v="0"/>
    <x v="16"/>
    <x v="17"/>
    <x v="1"/>
    <x v="47"/>
    <x v="1"/>
    <n v="16.100797536000002"/>
  </r>
  <r>
    <x v="0"/>
    <x v="16"/>
    <x v="17"/>
    <x v="1"/>
    <x v="48"/>
    <x v="1"/>
    <n v="16.100797536000002"/>
  </r>
  <r>
    <x v="0"/>
    <x v="16"/>
    <x v="17"/>
    <x v="1"/>
    <x v="49"/>
    <x v="1"/>
    <n v="0"/>
  </r>
  <r>
    <x v="0"/>
    <x v="16"/>
    <x v="17"/>
    <x v="1"/>
    <x v="50"/>
    <x v="1"/>
    <n v="0"/>
  </r>
  <r>
    <x v="0"/>
    <x v="16"/>
    <x v="17"/>
    <x v="1"/>
    <x v="51"/>
    <x v="1"/>
    <n v="0"/>
  </r>
  <r>
    <x v="0"/>
    <x v="16"/>
    <x v="17"/>
    <x v="1"/>
    <x v="52"/>
    <x v="1"/>
    <n v="0"/>
  </r>
  <r>
    <x v="0"/>
    <x v="16"/>
    <x v="17"/>
    <x v="1"/>
    <x v="53"/>
    <x v="1"/>
    <n v="0"/>
  </r>
  <r>
    <x v="0"/>
    <x v="16"/>
    <x v="17"/>
    <x v="1"/>
    <x v="54"/>
    <x v="1"/>
    <n v="0"/>
  </r>
  <r>
    <x v="0"/>
    <x v="16"/>
    <x v="17"/>
    <x v="1"/>
    <x v="55"/>
    <x v="1"/>
    <n v="0"/>
  </r>
  <r>
    <x v="0"/>
    <x v="16"/>
    <x v="17"/>
    <x v="2"/>
    <x v="46"/>
    <x v="1"/>
    <n v="12.217969108"/>
  </r>
  <r>
    <x v="0"/>
    <x v="16"/>
    <x v="17"/>
    <x v="2"/>
    <x v="47"/>
    <x v="1"/>
    <n v="12.217969108"/>
  </r>
  <r>
    <x v="0"/>
    <x v="16"/>
    <x v="17"/>
    <x v="2"/>
    <x v="48"/>
    <x v="1"/>
    <n v="12.217969108"/>
  </r>
  <r>
    <x v="0"/>
    <x v="16"/>
    <x v="17"/>
    <x v="2"/>
    <x v="49"/>
    <x v="1"/>
    <n v="0"/>
  </r>
  <r>
    <x v="0"/>
    <x v="16"/>
    <x v="17"/>
    <x v="2"/>
    <x v="50"/>
    <x v="1"/>
    <n v="0"/>
  </r>
  <r>
    <x v="0"/>
    <x v="16"/>
    <x v="17"/>
    <x v="2"/>
    <x v="51"/>
    <x v="1"/>
    <n v="0"/>
  </r>
  <r>
    <x v="0"/>
    <x v="16"/>
    <x v="17"/>
    <x v="2"/>
    <x v="52"/>
    <x v="1"/>
    <n v="0"/>
  </r>
  <r>
    <x v="0"/>
    <x v="16"/>
    <x v="17"/>
    <x v="2"/>
    <x v="53"/>
    <x v="1"/>
    <n v="0"/>
  </r>
  <r>
    <x v="0"/>
    <x v="16"/>
    <x v="17"/>
    <x v="2"/>
    <x v="54"/>
    <x v="1"/>
    <n v="0"/>
  </r>
  <r>
    <x v="0"/>
    <x v="16"/>
    <x v="17"/>
    <x v="2"/>
    <x v="55"/>
    <x v="1"/>
    <n v="0"/>
  </r>
  <r>
    <x v="0"/>
    <x v="16"/>
    <x v="17"/>
    <x v="3"/>
    <x v="46"/>
    <x v="1"/>
    <n v="7.3569285469999999"/>
  </r>
  <r>
    <x v="0"/>
    <x v="16"/>
    <x v="17"/>
    <x v="3"/>
    <x v="47"/>
    <x v="1"/>
    <n v="7.3569285469999999"/>
  </r>
  <r>
    <x v="0"/>
    <x v="16"/>
    <x v="17"/>
    <x v="3"/>
    <x v="48"/>
    <x v="1"/>
    <n v="7.3569285469999999"/>
  </r>
  <r>
    <x v="0"/>
    <x v="16"/>
    <x v="17"/>
    <x v="3"/>
    <x v="49"/>
    <x v="1"/>
    <n v="0"/>
  </r>
  <r>
    <x v="0"/>
    <x v="16"/>
    <x v="17"/>
    <x v="3"/>
    <x v="50"/>
    <x v="1"/>
    <n v="0"/>
  </r>
  <r>
    <x v="0"/>
    <x v="16"/>
    <x v="17"/>
    <x v="3"/>
    <x v="51"/>
    <x v="1"/>
    <n v="0"/>
  </r>
  <r>
    <x v="0"/>
    <x v="16"/>
    <x v="17"/>
    <x v="3"/>
    <x v="52"/>
    <x v="1"/>
    <n v="0"/>
  </r>
  <r>
    <x v="0"/>
    <x v="16"/>
    <x v="17"/>
    <x v="3"/>
    <x v="53"/>
    <x v="1"/>
    <n v="0"/>
  </r>
  <r>
    <x v="0"/>
    <x v="16"/>
    <x v="17"/>
    <x v="3"/>
    <x v="54"/>
    <x v="1"/>
    <n v="0"/>
  </r>
  <r>
    <x v="0"/>
    <x v="16"/>
    <x v="17"/>
    <x v="3"/>
    <x v="55"/>
    <x v="1"/>
    <n v="0"/>
  </r>
  <r>
    <x v="0"/>
    <x v="16"/>
    <x v="17"/>
    <x v="4"/>
    <x v="46"/>
    <x v="1"/>
    <n v="3.8286805080000001"/>
  </r>
  <r>
    <x v="0"/>
    <x v="16"/>
    <x v="17"/>
    <x v="4"/>
    <x v="47"/>
    <x v="1"/>
    <n v="3.8286805080000001"/>
  </r>
  <r>
    <x v="0"/>
    <x v="16"/>
    <x v="17"/>
    <x v="4"/>
    <x v="48"/>
    <x v="1"/>
    <n v="3.8286805080000001"/>
  </r>
  <r>
    <x v="0"/>
    <x v="16"/>
    <x v="17"/>
    <x v="4"/>
    <x v="49"/>
    <x v="1"/>
    <n v="0"/>
  </r>
  <r>
    <x v="0"/>
    <x v="16"/>
    <x v="17"/>
    <x v="4"/>
    <x v="50"/>
    <x v="1"/>
    <n v="0"/>
  </r>
  <r>
    <x v="0"/>
    <x v="16"/>
    <x v="17"/>
    <x v="4"/>
    <x v="51"/>
    <x v="1"/>
    <n v="0"/>
  </r>
  <r>
    <x v="0"/>
    <x v="16"/>
    <x v="17"/>
    <x v="4"/>
    <x v="52"/>
    <x v="1"/>
    <n v="0"/>
  </r>
  <r>
    <x v="0"/>
    <x v="16"/>
    <x v="17"/>
    <x v="4"/>
    <x v="53"/>
    <x v="1"/>
    <n v="0"/>
  </r>
  <r>
    <x v="0"/>
    <x v="16"/>
    <x v="17"/>
    <x v="4"/>
    <x v="54"/>
    <x v="1"/>
    <n v="0"/>
  </r>
  <r>
    <x v="0"/>
    <x v="16"/>
    <x v="17"/>
    <x v="4"/>
    <x v="55"/>
    <x v="1"/>
    <n v="0"/>
  </r>
  <r>
    <x v="0"/>
    <x v="16"/>
    <x v="17"/>
    <x v="5"/>
    <x v="46"/>
    <x v="1"/>
    <n v="52.282096965999997"/>
  </r>
  <r>
    <x v="0"/>
    <x v="16"/>
    <x v="17"/>
    <x v="5"/>
    <x v="47"/>
    <x v="1"/>
    <n v="52.282096965999997"/>
  </r>
  <r>
    <x v="0"/>
    <x v="16"/>
    <x v="17"/>
    <x v="5"/>
    <x v="48"/>
    <x v="1"/>
    <n v="52.282096965999997"/>
  </r>
  <r>
    <x v="0"/>
    <x v="16"/>
    <x v="17"/>
    <x v="5"/>
    <x v="49"/>
    <x v="1"/>
    <n v="0"/>
  </r>
  <r>
    <x v="0"/>
    <x v="16"/>
    <x v="17"/>
    <x v="5"/>
    <x v="50"/>
    <x v="1"/>
    <n v="0"/>
  </r>
  <r>
    <x v="0"/>
    <x v="16"/>
    <x v="17"/>
    <x v="5"/>
    <x v="51"/>
    <x v="1"/>
    <n v="0"/>
  </r>
  <r>
    <x v="0"/>
    <x v="16"/>
    <x v="17"/>
    <x v="5"/>
    <x v="52"/>
    <x v="1"/>
    <n v="0"/>
  </r>
  <r>
    <x v="0"/>
    <x v="16"/>
    <x v="17"/>
    <x v="5"/>
    <x v="53"/>
    <x v="1"/>
    <n v="0"/>
  </r>
  <r>
    <x v="0"/>
    <x v="16"/>
    <x v="17"/>
    <x v="5"/>
    <x v="54"/>
    <x v="1"/>
    <n v="0"/>
  </r>
  <r>
    <x v="0"/>
    <x v="16"/>
    <x v="17"/>
    <x v="5"/>
    <x v="55"/>
    <x v="1"/>
    <n v="0"/>
  </r>
  <r>
    <x v="0"/>
    <x v="16"/>
    <x v="17"/>
    <x v="6"/>
    <x v="46"/>
    <x v="1"/>
    <n v="16.093793336000001"/>
  </r>
  <r>
    <x v="0"/>
    <x v="16"/>
    <x v="17"/>
    <x v="6"/>
    <x v="47"/>
    <x v="1"/>
    <n v="16.093793336000001"/>
  </r>
  <r>
    <x v="0"/>
    <x v="16"/>
    <x v="17"/>
    <x v="6"/>
    <x v="48"/>
    <x v="1"/>
    <n v="16.093793336000001"/>
  </r>
  <r>
    <x v="0"/>
    <x v="16"/>
    <x v="17"/>
    <x v="6"/>
    <x v="49"/>
    <x v="1"/>
    <n v="0"/>
  </r>
  <r>
    <x v="0"/>
    <x v="16"/>
    <x v="17"/>
    <x v="6"/>
    <x v="50"/>
    <x v="1"/>
    <n v="0"/>
  </r>
  <r>
    <x v="0"/>
    <x v="16"/>
    <x v="17"/>
    <x v="6"/>
    <x v="51"/>
    <x v="1"/>
    <n v="0"/>
  </r>
  <r>
    <x v="0"/>
    <x v="16"/>
    <x v="17"/>
    <x v="6"/>
    <x v="52"/>
    <x v="1"/>
    <n v="0"/>
  </r>
  <r>
    <x v="0"/>
    <x v="16"/>
    <x v="17"/>
    <x v="6"/>
    <x v="53"/>
    <x v="1"/>
    <n v="0"/>
  </r>
  <r>
    <x v="0"/>
    <x v="16"/>
    <x v="17"/>
    <x v="6"/>
    <x v="54"/>
    <x v="1"/>
    <n v="0"/>
  </r>
  <r>
    <x v="0"/>
    <x v="16"/>
    <x v="17"/>
    <x v="6"/>
    <x v="55"/>
    <x v="1"/>
    <n v="0"/>
  </r>
  <r>
    <x v="0"/>
    <x v="16"/>
    <x v="17"/>
    <x v="7"/>
    <x v="46"/>
    <x v="1"/>
    <n v="10.157069169"/>
  </r>
  <r>
    <x v="0"/>
    <x v="16"/>
    <x v="17"/>
    <x v="7"/>
    <x v="47"/>
    <x v="1"/>
    <n v="10.157069169"/>
  </r>
  <r>
    <x v="0"/>
    <x v="16"/>
    <x v="17"/>
    <x v="7"/>
    <x v="48"/>
    <x v="1"/>
    <n v="10.157069169"/>
  </r>
  <r>
    <x v="0"/>
    <x v="16"/>
    <x v="17"/>
    <x v="7"/>
    <x v="49"/>
    <x v="1"/>
    <n v="0"/>
  </r>
  <r>
    <x v="0"/>
    <x v="16"/>
    <x v="17"/>
    <x v="7"/>
    <x v="50"/>
    <x v="1"/>
    <n v="0"/>
  </r>
  <r>
    <x v="0"/>
    <x v="16"/>
    <x v="17"/>
    <x v="7"/>
    <x v="51"/>
    <x v="1"/>
    <n v="0"/>
  </r>
  <r>
    <x v="0"/>
    <x v="16"/>
    <x v="17"/>
    <x v="7"/>
    <x v="52"/>
    <x v="1"/>
    <n v="0"/>
  </r>
  <r>
    <x v="0"/>
    <x v="16"/>
    <x v="17"/>
    <x v="7"/>
    <x v="53"/>
    <x v="1"/>
    <n v="0"/>
  </r>
  <r>
    <x v="0"/>
    <x v="16"/>
    <x v="17"/>
    <x v="7"/>
    <x v="54"/>
    <x v="1"/>
    <n v="0"/>
  </r>
  <r>
    <x v="0"/>
    <x v="16"/>
    <x v="17"/>
    <x v="7"/>
    <x v="55"/>
    <x v="1"/>
    <n v="0"/>
  </r>
  <r>
    <x v="0"/>
    <x v="16"/>
    <x v="17"/>
    <x v="8"/>
    <x v="46"/>
    <x v="1"/>
    <n v="6.4860410760000002"/>
  </r>
  <r>
    <x v="0"/>
    <x v="16"/>
    <x v="17"/>
    <x v="8"/>
    <x v="47"/>
    <x v="1"/>
    <n v="6.4860410760000002"/>
  </r>
  <r>
    <x v="0"/>
    <x v="16"/>
    <x v="17"/>
    <x v="8"/>
    <x v="48"/>
    <x v="1"/>
    <n v="6.4860410760000002"/>
  </r>
  <r>
    <x v="0"/>
    <x v="16"/>
    <x v="17"/>
    <x v="8"/>
    <x v="49"/>
    <x v="1"/>
    <n v="0"/>
  </r>
  <r>
    <x v="0"/>
    <x v="16"/>
    <x v="17"/>
    <x v="8"/>
    <x v="50"/>
    <x v="1"/>
    <n v="0"/>
  </r>
  <r>
    <x v="0"/>
    <x v="16"/>
    <x v="17"/>
    <x v="8"/>
    <x v="51"/>
    <x v="1"/>
    <n v="0"/>
  </r>
  <r>
    <x v="0"/>
    <x v="16"/>
    <x v="17"/>
    <x v="8"/>
    <x v="52"/>
    <x v="1"/>
    <n v="0"/>
  </r>
  <r>
    <x v="0"/>
    <x v="16"/>
    <x v="17"/>
    <x v="8"/>
    <x v="53"/>
    <x v="1"/>
    <n v="0"/>
  </r>
  <r>
    <x v="0"/>
    <x v="16"/>
    <x v="17"/>
    <x v="8"/>
    <x v="54"/>
    <x v="1"/>
    <n v="0"/>
  </r>
  <r>
    <x v="0"/>
    <x v="16"/>
    <x v="17"/>
    <x v="8"/>
    <x v="55"/>
    <x v="1"/>
    <n v="0"/>
  </r>
  <r>
    <x v="0"/>
    <x v="16"/>
    <x v="17"/>
    <x v="9"/>
    <x v="46"/>
    <x v="1"/>
    <n v="16.073878293"/>
  </r>
  <r>
    <x v="0"/>
    <x v="16"/>
    <x v="17"/>
    <x v="9"/>
    <x v="47"/>
    <x v="1"/>
    <n v="16.073878293"/>
  </r>
  <r>
    <x v="0"/>
    <x v="16"/>
    <x v="17"/>
    <x v="9"/>
    <x v="48"/>
    <x v="1"/>
    <n v="16.073878293"/>
  </r>
  <r>
    <x v="0"/>
    <x v="16"/>
    <x v="17"/>
    <x v="9"/>
    <x v="49"/>
    <x v="1"/>
    <n v="0"/>
  </r>
  <r>
    <x v="0"/>
    <x v="16"/>
    <x v="17"/>
    <x v="9"/>
    <x v="50"/>
    <x v="1"/>
    <n v="0"/>
  </r>
  <r>
    <x v="0"/>
    <x v="16"/>
    <x v="17"/>
    <x v="9"/>
    <x v="51"/>
    <x v="1"/>
    <n v="0"/>
  </r>
  <r>
    <x v="0"/>
    <x v="16"/>
    <x v="17"/>
    <x v="9"/>
    <x v="52"/>
    <x v="1"/>
    <n v="0"/>
  </r>
  <r>
    <x v="0"/>
    <x v="16"/>
    <x v="17"/>
    <x v="9"/>
    <x v="53"/>
    <x v="1"/>
    <n v="0"/>
  </r>
  <r>
    <x v="0"/>
    <x v="16"/>
    <x v="17"/>
    <x v="9"/>
    <x v="54"/>
    <x v="1"/>
    <n v="0"/>
  </r>
  <r>
    <x v="0"/>
    <x v="16"/>
    <x v="17"/>
    <x v="9"/>
    <x v="55"/>
    <x v="1"/>
    <n v="0"/>
  </r>
  <r>
    <x v="0"/>
    <x v="16"/>
    <x v="17"/>
    <x v="10"/>
    <x v="46"/>
    <x v="1"/>
    <n v="16.963217027999999"/>
  </r>
  <r>
    <x v="0"/>
    <x v="16"/>
    <x v="17"/>
    <x v="10"/>
    <x v="47"/>
    <x v="1"/>
    <n v="16.963217027999999"/>
  </r>
  <r>
    <x v="0"/>
    <x v="16"/>
    <x v="17"/>
    <x v="10"/>
    <x v="48"/>
    <x v="1"/>
    <n v="16.963217027999999"/>
  </r>
  <r>
    <x v="0"/>
    <x v="16"/>
    <x v="17"/>
    <x v="10"/>
    <x v="49"/>
    <x v="1"/>
    <n v="0"/>
  </r>
  <r>
    <x v="0"/>
    <x v="16"/>
    <x v="17"/>
    <x v="10"/>
    <x v="50"/>
    <x v="1"/>
    <n v="0"/>
  </r>
  <r>
    <x v="0"/>
    <x v="16"/>
    <x v="17"/>
    <x v="10"/>
    <x v="51"/>
    <x v="1"/>
    <n v="0"/>
  </r>
  <r>
    <x v="0"/>
    <x v="16"/>
    <x v="17"/>
    <x v="10"/>
    <x v="52"/>
    <x v="1"/>
    <n v="0"/>
  </r>
  <r>
    <x v="0"/>
    <x v="16"/>
    <x v="17"/>
    <x v="10"/>
    <x v="53"/>
    <x v="1"/>
    <n v="0"/>
  </r>
  <r>
    <x v="0"/>
    <x v="16"/>
    <x v="17"/>
    <x v="10"/>
    <x v="54"/>
    <x v="1"/>
    <n v="0"/>
  </r>
  <r>
    <x v="0"/>
    <x v="16"/>
    <x v="17"/>
    <x v="10"/>
    <x v="55"/>
    <x v="1"/>
    <n v="0"/>
  </r>
  <r>
    <x v="0"/>
    <x v="16"/>
    <x v="17"/>
    <x v="11"/>
    <x v="46"/>
    <x v="1"/>
    <n v="55.952434228999998"/>
  </r>
  <r>
    <x v="0"/>
    <x v="16"/>
    <x v="17"/>
    <x v="11"/>
    <x v="47"/>
    <x v="1"/>
    <n v="55.952434228999998"/>
  </r>
  <r>
    <x v="0"/>
    <x v="16"/>
    <x v="17"/>
    <x v="11"/>
    <x v="48"/>
    <x v="1"/>
    <n v="55.952434228999998"/>
  </r>
  <r>
    <x v="0"/>
    <x v="16"/>
    <x v="17"/>
    <x v="11"/>
    <x v="49"/>
    <x v="1"/>
    <n v="0"/>
  </r>
  <r>
    <x v="0"/>
    <x v="16"/>
    <x v="17"/>
    <x v="11"/>
    <x v="50"/>
    <x v="1"/>
    <n v="0"/>
  </r>
  <r>
    <x v="0"/>
    <x v="16"/>
    <x v="17"/>
    <x v="11"/>
    <x v="51"/>
    <x v="1"/>
    <n v="0"/>
  </r>
  <r>
    <x v="0"/>
    <x v="16"/>
    <x v="17"/>
    <x v="11"/>
    <x v="52"/>
    <x v="1"/>
    <n v="0"/>
  </r>
  <r>
    <x v="0"/>
    <x v="16"/>
    <x v="17"/>
    <x v="11"/>
    <x v="53"/>
    <x v="1"/>
    <n v="0"/>
  </r>
  <r>
    <x v="0"/>
    <x v="16"/>
    <x v="17"/>
    <x v="11"/>
    <x v="54"/>
    <x v="1"/>
    <n v="0"/>
  </r>
  <r>
    <x v="0"/>
    <x v="16"/>
    <x v="17"/>
    <x v="11"/>
    <x v="55"/>
    <x v="1"/>
    <n v="0"/>
  </r>
  <r>
    <x v="0"/>
    <x v="16"/>
    <x v="17"/>
    <x v="12"/>
    <x v="46"/>
    <x v="1"/>
    <n v="13.595844505000001"/>
  </r>
  <r>
    <x v="0"/>
    <x v="16"/>
    <x v="17"/>
    <x v="12"/>
    <x v="47"/>
    <x v="1"/>
    <n v="13.595844505000001"/>
  </r>
  <r>
    <x v="0"/>
    <x v="16"/>
    <x v="17"/>
    <x v="12"/>
    <x v="48"/>
    <x v="1"/>
    <n v="13.595844505000001"/>
  </r>
  <r>
    <x v="0"/>
    <x v="16"/>
    <x v="17"/>
    <x v="12"/>
    <x v="49"/>
    <x v="1"/>
    <n v="0"/>
  </r>
  <r>
    <x v="0"/>
    <x v="16"/>
    <x v="17"/>
    <x v="12"/>
    <x v="50"/>
    <x v="1"/>
    <n v="0"/>
  </r>
  <r>
    <x v="0"/>
    <x v="16"/>
    <x v="17"/>
    <x v="12"/>
    <x v="51"/>
    <x v="1"/>
    <n v="0"/>
  </r>
  <r>
    <x v="0"/>
    <x v="16"/>
    <x v="17"/>
    <x v="12"/>
    <x v="52"/>
    <x v="1"/>
    <n v="0"/>
  </r>
  <r>
    <x v="0"/>
    <x v="16"/>
    <x v="17"/>
    <x v="12"/>
    <x v="53"/>
    <x v="1"/>
    <n v="0"/>
  </r>
  <r>
    <x v="0"/>
    <x v="16"/>
    <x v="17"/>
    <x v="12"/>
    <x v="54"/>
    <x v="1"/>
    <n v="0"/>
  </r>
  <r>
    <x v="0"/>
    <x v="16"/>
    <x v="17"/>
    <x v="12"/>
    <x v="55"/>
    <x v="1"/>
    <n v="0"/>
  </r>
  <r>
    <x v="0"/>
    <x v="16"/>
    <x v="17"/>
    <x v="13"/>
    <x v="46"/>
    <x v="1"/>
    <n v="32.472918847000003"/>
  </r>
  <r>
    <x v="0"/>
    <x v="16"/>
    <x v="17"/>
    <x v="13"/>
    <x v="47"/>
    <x v="1"/>
    <n v="32.472918847000003"/>
  </r>
  <r>
    <x v="0"/>
    <x v="16"/>
    <x v="17"/>
    <x v="13"/>
    <x v="48"/>
    <x v="1"/>
    <n v="32.472918847000003"/>
  </r>
  <r>
    <x v="0"/>
    <x v="16"/>
    <x v="17"/>
    <x v="13"/>
    <x v="49"/>
    <x v="1"/>
    <n v="0"/>
  </r>
  <r>
    <x v="0"/>
    <x v="16"/>
    <x v="17"/>
    <x v="13"/>
    <x v="50"/>
    <x v="1"/>
    <n v="0"/>
  </r>
  <r>
    <x v="0"/>
    <x v="16"/>
    <x v="17"/>
    <x v="13"/>
    <x v="51"/>
    <x v="1"/>
    <n v="0"/>
  </r>
  <r>
    <x v="0"/>
    <x v="16"/>
    <x v="17"/>
    <x v="13"/>
    <x v="52"/>
    <x v="1"/>
    <n v="0"/>
  </r>
  <r>
    <x v="0"/>
    <x v="16"/>
    <x v="17"/>
    <x v="13"/>
    <x v="53"/>
    <x v="1"/>
    <n v="0"/>
  </r>
  <r>
    <x v="0"/>
    <x v="16"/>
    <x v="17"/>
    <x v="13"/>
    <x v="54"/>
    <x v="1"/>
    <n v="0"/>
  </r>
  <r>
    <x v="0"/>
    <x v="16"/>
    <x v="17"/>
    <x v="13"/>
    <x v="55"/>
    <x v="1"/>
    <n v="0"/>
  </r>
  <r>
    <x v="0"/>
    <x v="16"/>
    <x v="17"/>
    <x v="14"/>
    <x v="46"/>
    <x v="1"/>
    <n v="10.275212433"/>
  </r>
  <r>
    <x v="0"/>
    <x v="16"/>
    <x v="17"/>
    <x v="14"/>
    <x v="47"/>
    <x v="1"/>
    <n v="10.275212433"/>
  </r>
  <r>
    <x v="0"/>
    <x v="16"/>
    <x v="17"/>
    <x v="14"/>
    <x v="48"/>
    <x v="1"/>
    <n v="10.275212433"/>
  </r>
  <r>
    <x v="0"/>
    <x v="16"/>
    <x v="17"/>
    <x v="14"/>
    <x v="49"/>
    <x v="1"/>
    <n v="0"/>
  </r>
  <r>
    <x v="0"/>
    <x v="16"/>
    <x v="17"/>
    <x v="14"/>
    <x v="50"/>
    <x v="1"/>
    <n v="0"/>
  </r>
  <r>
    <x v="0"/>
    <x v="16"/>
    <x v="17"/>
    <x v="14"/>
    <x v="51"/>
    <x v="1"/>
    <n v="0"/>
  </r>
  <r>
    <x v="0"/>
    <x v="16"/>
    <x v="17"/>
    <x v="14"/>
    <x v="52"/>
    <x v="1"/>
    <n v="0"/>
  </r>
  <r>
    <x v="0"/>
    <x v="16"/>
    <x v="17"/>
    <x v="14"/>
    <x v="53"/>
    <x v="1"/>
    <n v="0"/>
  </r>
  <r>
    <x v="0"/>
    <x v="16"/>
    <x v="17"/>
    <x v="14"/>
    <x v="54"/>
    <x v="1"/>
    <n v="0"/>
  </r>
  <r>
    <x v="0"/>
    <x v="16"/>
    <x v="17"/>
    <x v="14"/>
    <x v="55"/>
    <x v="1"/>
    <n v="0"/>
  </r>
  <r>
    <x v="0"/>
    <x v="16"/>
    <x v="17"/>
    <x v="15"/>
    <x v="46"/>
    <x v="1"/>
    <n v="11.972732368999999"/>
  </r>
  <r>
    <x v="0"/>
    <x v="16"/>
    <x v="17"/>
    <x v="15"/>
    <x v="47"/>
    <x v="1"/>
    <n v="11.972732368999999"/>
  </r>
  <r>
    <x v="0"/>
    <x v="16"/>
    <x v="17"/>
    <x v="15"/>
    <x v="48"/>
    <x v="1"/>
    <n v="11.972732368999999"/>
  </r>
  <r>
    <x v="0"/>
    <x v="16"/>
    <x v="17"/>
    <x v="15"/>
    <x v="49"/>
    <x v="1"/>
    <n v="0"/>
  </r>
  <r>
    <x v="0"/>
    <x v="16"/>
    <x v="17"/>
    <x v="15"/>
    <x v="50"/>
    <x v="1"/>
    <n v="0"/>
  </r>
  <r>
    <x v="0"/>
    <x v="16"/>
    <x v="17"/>
    <x v="15"/>
    <x v="51"/>
    <x v="1"/>
    <n v="0"/>
  </r>
  <r>
    <x v="0"/>
    <x v="16"/>
    <x v="17"/>
    <x v="15"/>
    <x v="52"/>
    <x v="1"/>
    <n v="0"/>
  </r>
  <r>
    <x v="0"/>
    <x v="16"/>
    <x v="17"/>
    <x v="15"/>
    <x v="53"/>
    <x v="1"/>
    <n v="0"/>
  </r>
  <r>
    <x v="0"/>
    <x v="16"/>
    <x v="17"/>
    <x v="15"/>
    <x v="54"/>
    <x v="1"/>
    <n v="0"/>
  </r>
  <r>
    <x v="0"/>
    <x v="16"/>
    <x v="17"/>
    <x v="15"/>
    <x v="55"/>
    <x v="1"/>
    <n v="0"/>
  </r>
  <r>
    <x v="0"/>
    <x v="16"/>
    <x v="17"/>
    <x v="16"/>
    <x v="46"/>
    <x v="1"/>
    <n v="7.7384862620000003"/>
  </r>
  <r>
    <x v="0"/>
    <x v="16"/>
    <x v="17"/>
    <x v="16"/>
    <x v="47"/>
    <x v="1"/>
    <n v="7.7384862620000003"/>
  </r>
  <r>
    <x v="0"/>
    <x v="16"/>
    <x v="17"/>
    <x v="16"/>
    <x v="48"/>
    <x v="1"/>
    <n v="7.7384862620000003"/>
  </r>
  <r>
    <x v="0"/>
    <x v="16"/>
    <x v="17"/>
    <x v="16"/>
    <x v="49"/>
    <x v="1"/>
    <n v="0"/>
  </r>
  <r>
    <x v="0"/>
    <x v="16"/>
    <x v="17"/>
    <x v="16"/>
    <x v="50"/>
    <x v="1"/>
    <n v="0"/>
  </r>
  <r>
    <x v="0"/>
    <x v="16"/>
    <x v="17"/>
    <x v="16"/>
    <x v="51"/>
    <x v="1"/>
    <n v="0"/>
  </r>
  <r>
    <x v="0"/>
    <x v="16"/>
    <x v="17"/>
    <x v="16"/>
    <x v="52"/>
    <x v="1"/>
    <n v="0"/>
  </r>
  <r>
    <x v="0"/>
    <x v="16"/>
    <x v="17"/>
    <x v="16"/>
    <x v="53"/>
    <x v="1"/>
    <n v="0"/>
  </r>
  <r>
    <x v="0"/>
    <x v="16"/>
    <x v="17"/>
    <x v="16"/>
    <x v="54"/>
    <x v="1"/>
    <n v="0"/>
  </r>
  <r>
    <x v="0"/>
    <x v="16"/>
    <x v="17"/>
    <x v="16"/>
    <x v="55"/>
    <x v="1"/>
    <n v="0"/>
  </r>
  <r>
    <x v="0"/>
    <x v="16"/>
    <x v="17"/>
    <x v="17"/>
    <x v="46"/>
    <x v="1"/>
    <n v="18.387796909999999"/>
  </r>
  <r>
    <x v="0"/>
    <x v="16"/>
    <x v="17"/>
    <x v="17"/>
    <x v="47"/>
    <x v="1"/>
    <n v="18.387796909999999"/>
  </r>
  <r>
    <x v="0"/>
    <x v="16"/>
    <x v="17"/>
    <x v="17"/>
    <x v="48"/>
    <x v="1"/>
    <n v="18.387796909999999"/>
  </r>
  <r>
    <x v="0"/>
    <x v="16"/>
    <x v="17"/>
    <x v="17"/>
    <x v="49"/>
    <x v="1"/>
    <n v="0"/>
  </r>
  <r>
    <x v="0"/>
    <x v="16"/>
    <x v="17"/>
    <x v="17"/>
    <x v="50"/>
    <x v="1"/>
    <n v="0"/>
  </r>
  <r>
    <x v="0"/>
    <x v="16"/>
    <x v="17"/>
    <x v="17"/>
    <x v="51"/>
    <x v="1"/>
    <n v="0"/>
  </r>
  <r>
    <x v="0"/>
    <x v="16"/>
    <x v="17"/>
    <x v="17"/>
    <x v="52"/>
    <x v="1"/>
    <n v="0"/>
  </r>
  <r>
    <x v="0"/>
    <x v="16"/>
    <x v="17"/>
    <x v="17"/>
    <x v="53"/>
    <x v="1"/>
    <n v="0"/>
  </r>
  <r>
    <x v="0"/>
    <x v="16"/>
    <x v="17"/>
    <x v="17"/>
    <x v="54"/>
    <x v="1"/>
    <n v="0"/>
  </r>
  <r>
    <x v="0"/>
    <x v="16"/>
    <x v="17"/>
    <x v="17"/>
    <x v="55"/>
    <x v="1"/>
    <n v="0"/>
  </r>
  <r>
    <x v="0"/>
    <x v="16"/>
    <x v="17"/>
    <x v="18"/>
    <x v="46"/>
    <x v="1"/>
    <n v="14.461534332999999"/>
  </r>
  <r>
    <x v="0"/>
    <x v="16"/>
    <x v="17"/>
    <x v="18"/>
    <x v="47"/>
    <x v="1"/>
    <n v="14.461534332999999"/>
  </r>
  <r>
    <x v="0"/>
    <x v="16"/>
    <x v="17"/>
    <x v="18"/>
    <x v="48"/>
    <x v="1"/>
    <n v="14.461534332999999"/>
  </r>
  <r>
    <x v="0"/>
    <x v="16"/>
    <x v="17"/>
    <x v="18"/>
    <x v="49"/>
    <x v="1"/>
    <n v="0"/>
  </r>
  <r>
    <x v="0"/>
    <x v="16"/>
    <x v="17"/>
    <x v="18"/>
    <x v="50"/>
    <x v="1"/>
    <n v="0"/>
  </r>
  <r>
    <x v="0"/>
    <x v="16"/>
    <x v="17"/>
    <x v="18"/>
    <x v="51"/>
    <x v="1"/>
    <n v="0"/>
  </r>
  <r>
    <x v="0"/>
    <x v="16"/>
    <x v="17"/>
    <x v="18"/>
    <x v="52"/>
    <x v="1"/>
    <n v="0"/>
  </r>
  <r>
    <x v="0"/>
    <x v="16"/>
    <x v="17"/>
    <x v="18"/>
    <x v="53"/>
    <x v="1"/>
    <n v="0"/>
  </r>
  <r>
    <x v="0"/>
    <x v="16"/>
    <x v="17"/>
    <x v="18"/>
    <x v="54"/>
    <x v="1"/>
    <n v="0"/>
  </r>
  <r>
    <x v="0"/>
    <x v="16"/>
    <x v="17"/>
    <x v="18"/>
    <x v="55"/>
    <x v="1"/>
    <n v="0"/>
  </r>
  <r>
    <x v="0"/>
    <x v="16"/>
    <x v="17"/>
    <x v="19"/>
    <x v="46"/>
    <x v="1"/>
    <n v="19.424732707"/>
  </r>
  <r>
    <x v="0"/>
    <x v="16"/>
    <x v="17"/>
    <x v="19"/>
    <x v="47"/>
    <x v="1"/>
    <n v="19.424732707"/>
  </r>
  <r>
    <x v="0"/>
    <x v="16"/>
    <x v="17"/>
    <x v="19"/>
    <x v="48"/>
    <x v="1"/>
    <n v="19.424732707"/>
  </r>
  <r>
    <x v="0"/>
    <x v="16"/>
    <x v="17"/>
    <x v="19"/>
    <x v="49"/>
    <x v="1"/>
    <n v="0"/>
  </r>
  <r>
    <x v="0"/>
    <x v="16"/>
    <x v="17"/>
    <x v="19"/>
    <x v="50"/>
    <x v="1"/>
    <n v="0"/>
  </r>
  <r>
    <x v="0"/>
    <x v="16"/>
    <x v="17"/>
    <x v="19"/>
    <x v="51"/>
    <x v="1"/>
    <n v="0"/>
  </r>
  <r>
    <x v="0"/>
    <x v="16"/>
    <x v="17"/>
    <x v="19"/>
    <x v="52"/>
    <x v="1"/>
    <n v="0"/>
  </r>
  <r>
    <x v="0"/>
    <x v="16"/>
    <x v="17"/>
    <x v="19"/>
    <x v="53"/>
    <x v="1"/>
    <n v="0"/>
  </r>
  <r>
    <x v="0"/>
    <x v="16"/>
    <x v="17"/>
    <x v="19"/>
    <x v="54"/>
    <x v="1"/>
    <n v="0"/>
  </r>
  <r>
    <x v="0"/>
    <x v="16"/>
    <x v="17"/>
    <x v="19"/>
    <x v="55"/>
    <x v="1"/>
    <n v="0"/>
  </r>
  <r>
    <x v="0"/>
    <x v="16"/>
    <x v="17"/>
    <x v="20"/>
    <x v="46"/>
    <x v="1"/>
    <n v="2.550118179"/>
  </r>
  <r>
    <x v="0"/>
    <x v="16"/>
    <x v="17"/>
    <x v="20"/>
    <x v="47"/>
    <x v="1"/>
    <n v="2.550118179"/>
  </r>
  <r>
    <x v="0"/>
    <x v="16"/>
    <x v="17"/>
    <x v="20"/>
    <x v="48"/>
    <x v="1"/>
    <n v="2.550118179"/>
  </r>
  <r>
    <x v="0"/>
    <x v="16"/>
    <x v="17"/>
    <x v="20"/>
    <x v="49"/>
    <x v="1"/>
    <n v="0"/>
  </r>
  <r>
    <x v="0"/>
    <x v="16"/>
    <x v="17"/>
    <x v="20"/>
    <x v="50"/>
    <x v="1"/>
    <n v="0"/>
  </r>
  <r>
    <x v="0"/>
    <x v="16"/>
    <x v="17"/>
    <x v="20"/>
    <x v="51"/>
    <x v="1"/>
    <n v="0"/>
  </r>
  <r>
    <x v="0"/>
    <x v="16"/>
    <x v="17"/>
    <x v="20"/>
    <x v="52"/>
    <x v="1"/>
    <n v="0"/>
  </r>
  <r>
    <x v="0"/>
    <x v="16"/>
    <x v="17"/>
    <x v="20"/>
    <x v="53"/>
    <x v="1"/>
    <n v="0"/>
  </r>
  <r>
    <x v="0"/>
    <x v="16"/>
    <x v="17"/>
    <x v="20"/>
    <x v="54"/>
    <x v="1"/>
    <n v="0"/>
  </r>
  <r>
    <x v="0"/>
    <x v="16"/>
    <x v="17"/>
    <x v="20"/>
    <x v="55"/>
    <x v="1"/>
    <n v="0"/>
  </r>
  <r>
    <x v="0"/>
    <x v="16"/>
    <x v="17"/>
    <x v="21"/>
    <x v="46"/>
    <x v="1"/>
    <n v="1.1777152099999999"/>
  </r>
  <r>
    <x v="0"/>
    <x v="16"/>
    <x v="17"/>
    <x v="21"/>
    <x v="47"/>
    <x v="1"/>
    <n v="1.1777152099999999"/>
  </r>
  <r>
    <x v="0"/>
    <x v="16"/>
    <x v="17"/>
    <x v="21"/>
    <x v="48"/>
    <x v="1"/>
    <n v="1.1777152099999999"/>
  </r>
  <r>
    <x v="0"/>
    <x v="16"/>
    <x v="17"/>
    <x v="21"/>
    <x v="49"/>
    <x v="1"/>
    <n v="0"/>
  </r>
  <r>
    <x v="0"/>
    <x v="16"/>
    <x v="17"/>
    <x v="21"/>
    <x v="50"/>
    <x v="1"/>
    <n v="0"/>
  </r>
  <r>
    <x v="0"/>
    <x v="16"/>
    <x v="17"/>
    <x v="21"/>
    <x v="51"/>
    <x v="1"/>
    <n v="0"/>
  </r>
  <r>
    <x v="0"/>
    <x v="16"/>
    <x v="17"/>
    <x v="21"/>
    <x v="52"/>
    <x v="1"/>
    <n v="0"/>
  </r>
  <r>
    <x v="0"/>
    <x v="16"/>
    <x v="17"/>
    <x v="21"/>
    <x v="53"/>
    <x v="1"/>
    <n v="0"/>
  </r>
  <r>
    <x v="0"/>
    <x v="16"/>
    <x v="17"/>
    <x v="21"/>
    <x v="54"/>
    <x v="1"/>
    <n v="0"/>
  </r>
  <r>
    <x v="0"/>
    <x v="16"/>
    <x v="17"/>
    <x v="21"/>
    <x v="55"/>
    <x v="1"/>
    <n v="0"/>
  </r>
  <r>
    <x v="0"/>
    <x v="16"/>
    <x v="17"/>
    <x v="22"/>
    <x v="46"/>
    <x v="1"/>
    <n v="1.043293384"/>
  </r>
  <r>
    <x v="0"/>
    <x v="16"/>
    <x v="17"/>
    <x v="22"/>
    <x v="47"/>
    <x v="1"/>
    <n v="1.043293384"/>
  </r>
  <r>
    <x v="0"/>
    <x v="16"/>
    <x v="17"/>
    <x v="22"/>
    <x v="48"/>
    <x v="1"/>
    <n v="1.043293384"/>
  </r>
  <r>
    <x v="0"/>
    <x v="16"/>
    <x v="17"/>
    <x v="22"/>
    <x v="49"/>
    <x v="1"/>
    <n v="0"/>
  </r>
  <r>
    <x v="0"/>
    <x v="16"/>
    <x v="17"/>
    <x v="22"/>
    <x v="50"/>
    <x v="1"/>
    <n v="0"/>
  </r>
  <r>
    <x v="0"/>
    <x v="16"/>
    <x v="17"/>
    <x v="22"/>
    <x v="51"/>
    <x v="1"/>
    <n v="0"/>
  </r>
  <r>
    <x v="0"/>
    <x v="16"/>
    <x v="17"/>
    <x v="22"/>
    <x v="52"/>
    <x v="1"/>
    <n v="0"/>
  </r>
  <r>
    <x v="0"/>
    <x v="16"/>
    <x v="17"/>
    <x v="22"/>
    <x v="53"/>
    <x v="1"/>
    <n v="0"/>
  </r>
  <r>
    <x v="0"/>
    <x v="16"/>
    <x v="17"/>
    <x v="22"/>
    <x v="54"/>
    <x v="1"/>
    <n v="0"/>
  </r>
  <r>
    <x v="0"/>
    <x v="16"/>
    <x v="17"/>
    <x v="22"/>
    <x v="55"/>
    <x v="1"/>
    <n v="0"/>
  </r>
  <r>
    <x v="0"/>
    <x v="16"/>
    <x v="17"/>
    <x v="23"/>
    <x v="46"/>
    <x v="1"/>
    <n v="0.51182313999999995"/>
  </r>
  <r>
    <x v="0"/>
    <x v="16"/>
    <x v="17"/>
    <x v="23"/>
    <x v="47"/>
    <x v="1"/>
    <n v="0.51182313999999995"/>
  </r>
  <r>
    <x v="0"/>
    <x v="16"/>
    <x v="17"/>
    <x v="23"/>
    <x v="48"/>
    <x v="1"/>
    <n v="0.51182313999999995"/>
  </r>
  <r>
    <x v="0"/>
    <x v="16"/>
    <x v="17"/>
    <x v="23"/>
    <x v="49"/>
    <x v="1"/>
    <n v="0"/>
  </r>
  <r>
    <x v="0"/>
    <x v="16"/>
    <x v="17"/>
    <x v="23"/>
    <x v="50"/>
    <x v="1"/>
    <n v="0"/>
  </r>
  <r>
    <x v="0"/>
    <x v="16"/>
    <x v="17"/>
    <x v="23"/>
    <x v="51"/>
    <x v="1"/>
    <n v="0"/>
  </r>
  <r>
    <x v="0"/>
    <x v="16"/>
    <x v="17"/>
    <x v="23"/>
    <x v="52"/>
    <x v="1"/>
    <n v="0"/>
  </r>
  <r>
    <x v="0"/>
    <x v="16"/>
    <x v="17"/>
    <x v="23"/>
    <x v="53"/>
    <x v="1"/>
    <n v="0"/>
  </r>
  <r>
    <x v="0"/>
    <x v="16"/>
    <x v="17"/>
    <x v="23"/>
    <x v="54"/>
    <x v="1"/>
    <n v="0"/>
  </r>
  <r>
    <x v="0"/>
    <x v="16"/>
    <x v="17"/>
    <x v="23"/>
    <x v="55"/>
    <x v="1"/>
    <n v="0"/>
  </r>
  <r>
    <x v="0"/>
    <x v="16"/>
    <x v="17"/>
    <x v="24"/>
    <x v="46"/>
    <x v="1"/>
    <n v="20.712097806999999"/>
  </r>
  <r>
    <x v="0"/>
    <x v="16"/>
    <x v="17"/>
    <x v="24"/>
    <x v="47"/>
    <x v="1"/>
    <n v="20.712097806999999"/>
  </r>
  <r>
    <x v="0"/>
    <x v="16"/>
    <x v="17"/>
    <x v="24"/>
    <x v="48"/>
    <x v="1"/>
    <n v="20.712097806999999"/>
  </r>
  <r>
    <x v="0"/>
    <x v="16"/>
    <x v="17"/>
    <x v="24"/>
    <x v="49"/>
    <x v="1"/>
    <n v="0"/>
  </r>
  <r>
    <x v="0"/>
    <x v="16"/>
    <x v="17"/>
    <x v="24"/>
    <x v="50"/>
    <x v="1"/>
    <n v="0"/>
  </r>
  <r>
    <x v="0"/>
    <x v="16"/>
    <x v="17"/>
    <x v="24"/>
    <x v="51"/>
    <x v="1"/>
    <n v="0"/>
  </r>
  <r>
    <x v="0"/>
    <x v="16"/>
    <x v="17"/>
    <x v="24"/>
    <x v="52"/>
    <x v="1"/>
    <n v="0"/>
  </r>
  <r>
    <x v="0"/>
    <x v="16"/>
    <x v="17"/>
    <x v="24"/>
    <x v="53"/>
    <x v="1"/>
    <n v="0"/>
  </r>
  <r>
    <x v="0"/>
    <x v="16"/>
    <x v="17"/>
    <x v="24"/>
    <x v="54"/>
    <x v="1"/>
    <n v="0"/>
  </r>
  <r>
    <x v="0"/>
    <x v="16"/>
    <x v="17"/>
    <x v="24"/>
    <x v="55"/>
    <x v="1"/>
    <n v="0"/>
  </r>
  <r>
    <x v="0"/>
    <x v="16"/>
    <x v="17"/>
    <x v="25"/>
    <x v="46"/>
    <x v="1"/>
    <n v="0.96026499200000004"/>
  </r>
  <r>
    <x v="0"/>
    <x v="16"/>
    <x v="17"/>
    <x v="25"/>
    <x v="47"/>
    <x v="1"/>
    <n v="0.96026499200000004"/>
  </r>
  <r>
    <x v="0"/>
    <x v="16"/>
    <x v="17"/>
    <x v="25"/>
    <x v="48"/>
    <x v="1"/>
    <n v="0.96026499200000004"/>
  </r>
  <r>
    <x v="0"/>
    <x v="16"/>
    <x v="17"/>
    <x v="25"/>
    <x v="49"/>
    <x v="1"/>
    <n v="0"/>
  </r>
  <r>
    <x v="0"/>
    <x v="16"/>
    <x v="17"/>
    <x v="25"/>
    <x v="50"/>
    <x v="1"/>
    <n v="0"/>
  </r>
  <r>
    <x v="0"/>
    <x v="16"/>
    <x v="17"/>
    <x v="25"/>
    <x v="51"/>
    <x v="1"/>
    <n v="0"/>
  </r>
  <r>
    <x v="0"/>
    <x v="16"/>
    <x v="17"/>
    <x v="25"/>
    <x v="52"/>
    <x v="1"/>
    <n v="0"/>
  </r>
  <r>
    <x v="0"/>
    <x v="16"/>
    <x v="17"/>
    <x v="25"/>
    <x v="53"/>
    <x v="1"/>
    <n v="0"/>
  </r>
  <r>
    <x v="0"/>
    <x v="16"/>
    <x v="17"/>
    <x v="25"/>
    <x v="54"/>
    <x v="1"/>
    <n v="0"/>
  </r>
  <r>
    <x v="0"/>
    <x v="16"/>
    <x v="17"/>
    <x v="25"/>
    <x v="55"/>
    <x v="1"/>
    <n v="0"/>
  </r>
  <r>
    <x v="0"/>
    <x v="16"/>
    <x v="17"/>
    <x v="26"/>
    <x v="46"/>
    <x v="1"/>
    <n v="0.67691852100000005"/>
  </r>
  <r>
    <x v="0"/>
    <x v="16"/>
    <x v="17"/>
    <x v="26"/>
    <x v="47"/>
    <x v="1"/>
    <n v="0.67691852100000005"/>
  </r>
  <r>
    <x v="0"/>
    <x v="16"/>
    <x v="17"/>
    <x v="26"/>
    <x v="48"/>
    <x v="1"/>
    <n v="0.67691852100000005"/>
  </r>
  <r>
    <x v="0"/>
    <x v="16"/>
    <x v="17"/>
    <x v="26"/>
    <x v="49"/>
    <x v="1"/>
    <n v="0"/>
  </r>
  <r>
    <x v="0"/>
    <x v="16"/>
    <x v="17"/>
    <x v="26"/>
    <x v="50"/>
    <x v="1"/>
    <n v="0"/>
  </r>
  <r>
    <x v="0"/>
    <x v="16"/>
    <x v="17"/>
    <x v="26"/>
    <x v="51"/>
    <x v="1"/>
    <n v="0"/>
  </r>
  <r>
    <x v="0"/>
    <x v="16"/>
    <x v="17"/>
    <x v="26"/>
    <x v="52"/>
    <x v="1"/>
    <n v="0"/>
  </r>
  <r>
    <x v="0"/>
    <x v="16"/>
    <x v="17"/>
    <x v="26"/>
    <x v="53"/>
    <x v="1"/>
    <n v="0"/>
  </r>
  <r>
    <x v="0"/>
    <x v="16"/>
    <x v="17"/>
    <x v="26"/>
    <x v="54"/>
    <x v="1"/>
    <n v="0"/>
  </r>
  <r>
    <x v="0"/>
    <x v="16"/>
    <x v="17"/>
    <x v="26"/>
    <x v="55"/>
    <x v="1"/>
    <n v="0"/>
  </r>
  <r>
    <x v="0"/>
    <x v="16"/>
    <x v="17"/>
    <x v="27"/>
    <x v="46"/>
    <x v="1"/>
    <n v="30.655112353"/>
  </r>
  <r>
    <x v="0"/>
    <x v="16"/>
    <x v="17"/>
    <x v="27"/>
    <x v="47"/>
    <x v="1"/>
    <n v="30.655112353"/>
  </r>
  <r>
    <x v="0"/>
    <x v="16"/>
    <x v="17"/>
    <x v="27"/>
    <x v="48"/>
    <x v="1"/>
    <n v="30.655112353"/>
  </r>
  <r>
    <x v="0"/>
    <x v="16"/>
    <x v="17"/>
    <x v="27"/>
    <x v="49"/>
    <x v="1"/>
    <n v="0"/>
  </r>
  <r>
    <x v="0"/>
    <x v="16"/>
    <x v="17"/>
    <x v="27"/>
    <x v="50"/>
    <x v="1"/>
    <n v="0"/>
  </r>
  <r>
    <x v="0"/>
    <x v="16"/>
    <x v="17"/>
    <x v="27"/>
    <x v="51"/>
    <x v="1"/>
    <n v="0"/>
  </r>
  <r>
    <x v="0"/>
    <x v="16"/>
    <x v="17"/>
    <x v="27"/>
    <x v="52"/>
    <x v="1"/>
    <n v="0"/>
  </r>
  <r>
    <x v="0"/>
    <x v="16"/>
    <x v="17"/>
    <x v="27"/>
    <x v="53"/>
    <x v="1"/>
    <n v="0"/>
  </r>
  <r>
    <x v="0"/>
    <x v="16"/>
    <x v="17"/>
    <x v="27"/>
    <x v="54"/>
    <x v="1"/>
    <n v="0"/>
  </r>
  <r>
    <x v="0"/>
    <x v="16"/>
    <x v="17"/>
    <x v="27"/>
    <x v="55"/>
    <x v="1"/>
    <n v="0"/>
  </r>
  <r>
    <x v="0"/>
    <x v="16"/>
    <x v="17"/>
    <x v="28"/>
    <x v="46"/>
    <x v="1"/>
    <n v="32.292616326999998"/>
  </r>
  <r>
    <x v="0"/>
    <x v="16"/>
    <x v="17"/>
    <x v="28"/>
    <x v="47"/>
    <x v="1"/>
    <n v="32.292616326999998"/>
  </r>
  <r>
    <x v="0"/>
    <x v="16"/>
    <x v="17"/>
    <x v="28"/>
    <x v="48"/>
    <x v="1"/>
    <n v="32.292616326999998"/>
  </r>
  <r>
    <x v="0"/>
    <x v="16"/>
    <x v="17"/>
    <x v="28"/>
    <x v="49"/>
    <x v="1"/>
    <n v="0"/>
  </r>
  <r>
    <x v="0"/>
    <x v="16"/>
    <x v="17"/>
    <x v="28"/>
    <x v="50"/>
    <x v="1"/>
    <n v="0"/>
  </r>
  <r>
    <x v="0"/>
    <x v="16"/>
    <x v="17"/>
    <x v="28"/>
    <x v="51"/>
    <x v="1"/>
    <n v="0"/>
  </r>
  <r>
    <x v="0"/>
    <x v="16"/>
    <x v="17"/>
    <x v="28"/>
    <x v="52"/>
    <x v="1"/>
    <n v="0"/>
  </r>
  <r>
    <x v="0"/>
    <x v="16"/>
    <x v="17"/>
    <x v="28"/>
    <x v="53"/>
    <x v="1"/>
    <n v="0"/>
  </r>
  <r>
    <x v="0"/>
    <x v="16"/>
    <x v="17"/>
    <x v="28"/>
    <x v="54"/>
    <x v="1"/>
    <n v="0"/>
  </r>
  <r>
    <x v="0"/>
    <x v="16"/>
    <x v="17"/>
    <x v="28"/>
    <x v="55"/>
    <x v="1"/>
    <n v="0"/>
  </r>
  <r>
    <x v="0"/>
    <x v="16"/>
    <x v="17"/>
    <x v="29"/>
    <x v="46"/>
    <x v="1"/>
    <n v="31.986754641000001"/>
  </r>
  <r>
    <x v="0"/>
    <x v="16"/>
    <x v="17"/>
    <x v="29"/>
    <x v="47"/>
    <x v="1"/>
    <n v="31.986754641000001"/>
  </r>
  <r>
    <x v="0"/>
    <x v="16"/>
    <x v="17"/>
    <x v="29"/>
    <x v="48"/>
    <x v="1"/>
    <n v="31.986754641000001"/>
  </r>
  <r>
    <x v="0"/>
    <x v="16"/>
    <x v="17"/>
    <x v="29"/>
    <x v="49"/>
    <x v="1"/>
    <n v="0"/>
  </r>
  <r>
    <x v="0"/>
    <x v="16"/>
    <x v="17"/>
    <x v="29"/>
    <x v="50"/>
    <x v="1"/>
    <n v="0"/>
  </r>
  <r>
    <x v="0"/>
    <x v="16"/>
    <x v="17"/>
    <x v="29"/>
    <x v="51"/>
    <x v="1"/>
    <n v="0"/>
  </r>
  <r>
    <x v="0"/>
    <x v="16"/>
    <x v="17"/>
    <x v="29"/>
    <x v="52"/>
    <x v="1"/>
    <n v="0"/>
  </r>
  <r>
    <x v="0"/>
    <x v="16"/>
    <x v="17"/>
    <x v="29"/>
    <x v="53"/>
    <x v="1"/>
    <n v="0"/>
  </r>
  <r>
    <x v="0"/>
    <x v="16"/>
    <x v="17"/>
    <x v="29"/>
    <x v="54"/>
    <x v="1"/>
    <n v="0"/>
  </r>
  <r>
    <x v="0"/>
    <x v="16"/>
    <x v="17"/>
    <x v="29"/>
    <x v="55"/>
    <x v="1"/>
    <n v="0"/>
  </r>
  <r>
    <x v="0"/>
    <x v="16"/>
    <x v="17"/>
    <x v="30"/>
    <x v="46"/>
    <x v="1"/>
    <n v="12.938069333"/>
  </r>
  <r>
    <x v="0"/>
    <x v="16"/>
    <x v="17"/>
    <x v="30"/>
    <x v="47"/>
    <x v="1"/>
    <n v="12.938069333"/>
  </r>
  <r>
    <x v="0"/>
    <x v="16"/>
    <x v="17"/>
    <x v="30"/>
    <x v="48"/>
    <x v="1"/>
    <n v="12.938069333"/>
  </r>
  <r>
    <x v="0"/>
    <x v="16"/>
    <x v="17"/>
    <x v="30"/>
    <x v="49"/>
    <x v="1"/>
    <n v="0"/>
  </r>
  <r>
    <x v="0"/>
    <x v="16"/>
    <x v="17"/>
    <x v="30"/>
    <x v="50"/>
    <x v="1"/>
    <n v="0"/>
  </r>
  <r>
    <x v="0"/>
    <x v="16"/>
    <x v="17"/>
    <x v="30"/>
    <x v="51"/>
    <x v="1"/>
    <n v="0"/>
  </r>
  <r>
    <x v="0"/>
    <x v="16"/>
    <x v="17"/>
    <x v="30"/>
    <x v="52"/>
    <x v="1"/>
    <n v="0"/>
  </r>
  <r>
    <x v="0"/>
    <x v="16"/>
    <x v="17"/>
    <x v="30"/>
    <x v="53"/>
    <x v="1"/>
    <n v="0"/>
  </r>
  <r>
    <x v="0"/>
    <x v="16"/>
    <x v="17"/>
    <x v="30"/>
    <x v="54"/>
    <x v="1"/>
    <n v="0"/>
  </r>
  <r>
    <x v="0"/>
    <x v="16"/>
    <x v="17"/>
    <x v="30"/>
    <x v="55"/>
    <x v="1"/>
    <n v="0"/>
  </r>
  <r>
    <x v="0"/>
    <x v="16"/>
    <x v="17"/>
    <x v="31"/>
    <x v="46"/>
    <x v="1"/>
    <n v="9.0590718710000004"/>
  </r>
  <r>
    <x v="0"/>
    <x v="16"/>
    <x v="17"/>
    <x v="31"/>
    <x v="47"/>
    <x v="1"/>
    <n v="9.0590718710000004"/>
  </r>
  <r>
    <x v="0"/>
    <x v="16"/>
    <x v="17"/>
    <x v="31"/>
    <x v="48"/>
    <x v="1"/>
    <n v="9.0590718710000004"/>
  </r>
  <r>
    <x v="0"/>
    <x v="16"/>
    <x v="17"/>
    <x v="31"/>
    <x v="49"/>
    <x v="1"/>
    <n v="0"/>
  </r>
  <r>
    <x v="0"/>
    <x v="16"/>
    <x v="17"/>
    <x v="31"/>
    <x v="50"/>
    <x v="1"/>
    <n v="0"/>
  </r>
  <r>
    <x v="0"/>
    <x v="16"/>
    <x v="17"/>
    <x v="31"/>
    <x v="51"/>
    <x v="1"/>
    <n v="0"/>
  </r>
  <r>
    <x v="0"/>
    <x v="16"/>
    <x v="17"/>
    <x v="31"/>
    <x v="52"/>
    <x v="1"/>
    <n v="0"/>
  </r>
  <r>
    <x v="0"/>
    <x v="16"/>
    <x v="17"/>
    <x v="31"/>
    <x v="53"/>
    <x v="1"/>
    <n v="0"/>
  </r>
  <r>
    <x v="0"/>
    <x v="16"/>
    <x v="17"/>
    <x v="31"/>
    <x v="54"/>
    <x v="1"/>
    <n v="0"/>
  </r>
  <r>
    <x v="0"/>
    <x v="16"/>
    <x v="17"/>
    <x v="31"/>
    <x v="55"/>
    <x v="1"/>
    <n v="0"/>
  </r>
  <r>
    <x v="0"/>
    <x v="16"/>
    <x v="17"/>
    <x v="32"/>
    <x v="46"/>
    <x v="1"/>
    <n v="29.966866404000001"/>
  </r>
  <r>
    <x v="0"/>
    <x v="16"/>
    <x v="17"/>
    <x v="32"/>
    <x v="47"/>
    <x v="1"/>
    <n v="29.966866404000001"/>
  </r>
  <r>
    <x v="0"/>
    <x v="16"/>
    <x v="17"/>
    <x v="32"/>
    <x v="48"/>
    <x v="1"/>
    <n v="29.966866404000001"/>
  </r>
  <r>
    <x v="0"/>
    <x v="16"/>
    <x v="17"/>
    <x v="32"/>
    <x v="49"/>
    <x v="1"/>
    <n v="0"/>
  </r>
  <r>
    <x v="0"/>
    <x v="16"/>
    <x v="17"/>
    <x v="32"/>
    <x v="50"/>
    <x v="1"/>
    <n v="0"/>
  </r>
  <r>
    <x v="0"/>
    <x v="16"/>
    <x v="17"/>
    <x v="32"/>
    <x v="51"/>
    <x v="1"/>
    <n v="0"/>
  </r>
  <r>
    <x v="0"/>
    <x v="16"/>
    <x v="17"/>
    <x v="32"/>
    <x v="52"/>
    <x v="1"/>
    <n v="0"/>
  </r>
  <r>
    <x v="0"/>
    <x v="16"/>
    <x v="17"/>
    <x v="32"/>
    <x v="53"/>
    <x v="1"/>
    <n v="0"/>
  </r>
  <r>
    <x v="0"/>
    <x v="16"/>
    <x v="17"/>
    <x v="32"/>
    <x v="54"/>
    <x v="1"/>
    <n v="0"/>
  </r>
  <r>
    <x v="0"/>
    <x v="16"/>
    <x v="17"/>
    <x v="32"/>
    <x v="55"/>
    <x v="1"/>
    <n v="0"/>
  </r>
  <r>
    <x v="0"/>
    <x v="16"/>
    <x v="17"/>
    <x v="33"/>
    <x v="46"/>
    <x v="1"/>
    <n v="15.618249497000001"/>
  </r>
  <r>
    <x v="0"/>
    <x v="16"/>
    <x v="17"/>
    <x v="33"/>
    <x v="47"/>
    <x v="1"/>
    <n v="15.618249497000001"/>
  </r>
  <r>
    <x v="0"/>
    <x v="16"/>
    <x v="17"/>
    <x v="33"/>
    <x v="48"/>
    <x v="1"/>
    <n v="15.618249497000001"/>
  </r>
  <r>
    <x v="0"/>
    <x v="16"/>
    <x v="17"/>
    <x v="33"/>
    <x v="49"/>
    <x v="1"/>
    <n v="0"/>
  </r>
  <r>
    <x v="0"/>
    <x v="16"/>
    <x v="17"/>
    <x v="33"/>
    <x v="50"/>
    <x v="1"/>
    <n v="0"/>
  </r>
  <r>
    <x v="0"/>
    <x v="16"/>
    <x v="17"/>
    <x v="33"/>
    <x v="51"/>
    <x v="1"/>
    <n v="0"/>
  </r>
  <r>
    <x v="0"/>
    <x v="16"/>
    <x v="17"/>
    <x v="33"/>
    <x v="52"/>
    <x v="1"/>
    <n v="0"/>
  </r>
  <r>
    <x v="0"/>
    <x v="16"/>
    <x v="17"/>
    <x v="33"/>
    <x v="53"/>
    <x v="1"/>
    <n v="0"/>
  </r>
  <r>
    <x v="0"/>
    <x v="16"/>
    <x v="17"/>
    <x v="33"/>
    <x v="54"/>
    <x v="1"/>
    <n v="0"/>
  </r>
  <r>
    <x v="0"/>
    <x v="16"/>
    <x v="17"/>
    <x v="33"/>
    <x v="55"/>
    <x v="1"/>
    <n v="0"/>
  </r>
  <r>
    <x v="0"/>
    <x v="16"/>
    <x v="17"/>
    <x v="34"/>
    <x v="46"/>
    <x v="1"/>
    <n v="20.242999456"/>
  </r>
  <r>
    <x v="0"/>
    <x v="16"/>
    <x v="17"/>
    <x v="34"/>
    <x v="47"/>
    <x v="1"/>
    <n v="20.242999456"/>
  </r>
  <r>
    <x v="0"/>
    <x v="16"/>
    <x v="17"/>
    <x v="34"/>
    <x v="48"/>
    <x v="1"/>
    <n v="20.242999456"/>
  </r>
  <r>
    <x v="0"/>
    <x v="16"/>
    <x v="17"/>
    <x v="34"/>
    <x v="49"/>
    <x v="1"/>
    <n v="0"/>
  </r>
  <r>
    <x v="0"/>
    <x v="16"/>
    <x v="17"/>
    <x v="34"/>
    <x v="50"/>
    <x v="1"/>
    <n v="0"/>
  </r>
  <r>
    <x v="0"/>
    <x v="16"/>
    <x v="17"/>
    <x v="34"/>
    <x v="51"/>
    <x v="1"/>
    <n v="0"/>
  </r>
  <r>
    <x v="0"/>
    <x v="16"/>
    <x v="17"/>
    <x v="34"/>
    <x v="52"/>
    <x v="1"/>
    <n v="0"/>
  </r>
  <r>
    <x v="0"/>
    <x v="16"/>
    <x v="17"/>
    <x v="34"/>
    <x v="53"/>
    <x v="1"/>
    <n v="0"/>
  </r>
  <r>
    <x v="0"/>
    <x v="16"/>
    <x v="17"/>
    <x v="34"/>
    <x v="54"/>
    <x v="1"/>
    <n v="0"/>
  </r>
  <r>
    <x v="0"/>
    <x v="16"/>
    <x v="17"/>
    <x v="34"/>
    <x v="55"/>
    <x v="1"/>
    <n v="0"/>
  </r>
  <r>
    <x v="0"/>
    <x v="16"/>
    <x v="17"/>
    <x v="35"/>
    <x v="46"/>
    <x v="1"/>
    <n v="17.217170617000001"/>
  </r>
  <r>
    <x v="0"/>
    <x v="16"/>
    <x v="17"/>
    <x v="35"/>
    <x v="47"/>
    <x v="1"/>
    <n v="17.217170617000001"/>
  </r>
  <r>
    <x v="0"/>
    <x v="16"/>
    <x v="17"/>
    <x v="35"/>
    <x v="48"/>
    <x v="1"/>
    <n v="17.217170617000001"/>
  </r>
  <r>
    <x v="0"/>
    <x v="16"/>
    <x v="17"/>
    <x v="35"/>
    <x v="49"/>
    <x v="1"/>
    <n v="0"/>
  </r>
  <r>
    <x v="0"/>
    <x v="16"/>
    <x v="17"/>
    <x v="35"/>
    <x v="50"/>
    <x v="1"/>
    <n v="0"/>
  </r>
  <r>
    <x v="0"/>
    <x v="16"/>
    <x v="17"/>
    <x v="35"/>
    <x v="51"/>
    <x v="1"/>
    <n v="0"/>
  </r>
  <r>
    <x v="0"/>
    <x v="16"/>
    <x v="17"/>
    <x v="35"/>
    <x v="52"/>
    <x v="1"/>
    <n v="0"/>
  </r>
  <r>
    <x v="0"/>
    <x v="16"/>
    <x v="17"/>
    <x v="35"/>
    <x v="53"/>
    <x v="1"/>
    <n v="0"/>
  </r>
  <r>
    <x v="0"/>
    <x v="16"/>
    <x v="17"/>
    <x v="35"/>
    <x v="54"/>
    <x v="1"/>
    <n v="0"/>
  </r>
  <r>
    <x v="0"/>
    <x v="16"/>
    <x v="17"/>
    <x v="35"/>
    <x v="55"/>
    <x v="1"/>
    <n v="0"/>
  </r>
  <r>
    <x v="0"/>
    <x v="16"/>
    <x v="17"/>
    <x v="36"/>
    <x v="46"/>
    <x v="1"/>
    <n v="6.6911093599999996"/>
  </r>
  <r>
    <x v="0"/>
    <x v="16"/>
    <x v="17"/>
    <x v="36"/>
    <x v="47"/>
    <x v="1"/>
    <n v="6.6911093599999996"/>
  </r>
  <r>
    <x v="0"/>
    <x v="16"/>
    <x v="17"/>
    <x v="36"/>
    <x v="48"/>
    <x v="1"/>
    <n v="6.6911093599999996"/>
  </r>
  <r>
    <x v="0"/>
    <x v="16"/>
    <x v="17"/>
    <x v="36"/>
    <x v="49"/>
    <x v="1"/>
    <n v="0"/>
  </r>
  <r>
    <x v="0"/>
    <x v="16"/>
    <x v="17"/>
    <x v="36"/>
    <x v="50"/>
    <x v="1"/>
    <n v="0"/>
  </r>
  <r>
    <x v="0"/>
    <x v="16"/>
    <x v="17"/>
    <x v="36"/>
    <x v="51"/>
    <x v="1"/>
    <n v="0"/>
  </r>
  <r>
    <x v="0"/>
    <x v="16"/>
    <x v="17"/>
    <x v="36"/>
    <x v="52"/>
    <x v="1"/>
    <n v="0"/>
  </r>
  <r>
    <x v="0"/>
    <x v="16"/>
    <x v="17"/>
    <x v="36"/>
    <x v="53"/>
    <x v="1"/>
    <n v="0"/>
  </r>
  <r>
    <x v="0"/>
    <x v="16"/>
    <x v="17"/>
    <x v="36"/>
    <x v="54"/>
    <x v="1"/>
    <n v="0"/>
  </r>
  <r>
    <x v="0"/>
    <x v="16"/>
    <x v="17"/>
    <x v="36"/>
    <x v="55"/>
    <x v="1"/>
    <n v="0"/>
  </r>
  <r>
    <x v="0"/>
    <x v="16"/>
    <x v="17"/>
    <x v="37"/>
    <x v="46"/>
    <x v="1"/>
    <n v="8.2035293809999992"/>
  </r>
  <r>
    <x v="0"/>
    <x v="16"/>
    <x v="17"/>
    <x v="37"/>
    <x v="47"/>
    <x v="1"/>
    <n v="8.2035293809999992"/>
  </r>
  <r>
    <x v="0"/>
    <x v="16"/>
    <x v="17"/>
    <x v="37"/>
    <x v="48"/>
    <x v="1"/>
    <n v="8.2035293809999992"/>
  </r>
  <r>
    <x v="0"/>
    <x v="16"/>
    <x v="17"/>
    <x v="37"/>
    <x v="49"/>
    <x v="1"/>
    <n v="0"/>
  </r>
  <r>
    <x v="0"/>
    <x v="16"/>
    <x v="17"/>
    <x v="37"/>
    <x v="50"/>
    <x v="1"/>
    <n v="0"/>
  </r>
  <r>
    <x v="0"/>
    <x v="16"/>
    <x v="17"/>
    <x v="37"/>
    <x v="51"/>
    <x v="1"/>
    <n v="0"/>
  </r>
  <r>
    <x v="0"/>
    <x v="16"/>
    <x v="17"/>
    <x v="37"/>
    <x v="52"/>
    <x v="1"/>
    <n v="0"/>
  </r>
  <r>
    <x v="0"/>
    <x v="16"/>
    <x v="17"/>
    <x v="37"/>
    <x v="53"/>
    <x v="1"/>
    <n v="0"/>
  </r>
  <r>
    <x v="0"/>
    <x v="16"/>
    <x v="17"/>
    <x v="37"/>
    <x v="54"/>
    <x v="1"/>
    <n v="0"/>
  </r>
  <r>
    <x v="0"/>
    <x v="16"/>
    <x v="17"/>
    <x v="37"/>
    <x v="55"/>
    <x v="1"/>
    <n v="0"/>
  </r>
  <r>
    <x v="0"/>
    <x v="16"/>
    <x v="17"/>
    <x v="38"/>
    <x v="46"/>
    <x v="1"/>
    <n v="37.754375398000001"/>
  </r>
  <r>
    <x v="0"/>
    <x v="16"/>
    <x v="17"/>
    <x v="38"/>
    <x v="47"/>
    <x v="1"/>
    <n v="37.754375398000001"/>
  </r>
  <r>
    <x v="0"/>
    <x v="16"/>
    <x v="17"/>
    <x v="38"/>
    <x v="48"/>
    <x v="1"/>
    <n v="37.754375398000001"/>
  </r>
  <r>
    <x v="0"/>
    <x v="16"/>
    <x v="17"/>
    <x v="38"/>
    <x v="49"/>
    <x v="1"/>
    <n v="0"/>
  </r>
  <r>
    <x v="0"/>
    <x v="16"/>
    <x v="17"/>
    <x v="38"/>
    <x v="50"/>
    <x v="1"/>
    <n v="0"/>
  </r>
  <r>
    <x v="0"/>
    <x v="16"/>
    <x v="17"/>
    <x v="38"/>
    <x v="51"/>
    <x v="1"/>
    <n v="0"/>
  </r>
  <r>
    <x v="0"/>
    <x v="16"/>
    <x v="17"/>
    <x v="38"/>
    <x v="52"/>
    <x v="1"/>
    <n v="0"/>
  </r>
  <r>
    <x v="0"/>
    <x v="16"/>
    <x v="17"/>
    <x v="38"/>
    <x v="53"/>
    <x v="1"/>
    <n v="0"/>
  </r>
  <r>
    <x v="0"/>
    <x v="16"/>
    <x v="17"/>
    <x v="38"/>
    <x v="54"/>
    <x v="1"/>
    <n v="0"/>
  </r>
  <r>
    <x v="0"/>
    <x v="16"/>
    <x v="17"/>
    <x v="38"/>
    <x v="55"/>
    <x v="1"/>
    <n v="0"/>
  </r>
  <r>
    <x v="0"/>
    <x v="16"/>
    <x v="17"/>
    <x v="39"/>
    <x v="46"/>
    <x v="1"/>
    <n v="16.031064512"/>
  </r>
  <r>
    <x v="0"/>
    <x v="16"/>
    <x v="17"/>
    <x v="39"/>
    <x v="47"/>
    <x v="1"/>
    <n v="16.031064512"/>
  </r>
  <r>
    <x v="0"/>
    <x v="16"/>
    <x v="17"/>
    <x v="39"/>
    <x v="48"/>
    <x v="1"/>
    <n v="16.031064512"/>
  </r>
  <r>
    <x v="0"/>
    <x v="16"/>
    <x v="17"/>
    <x v="39"/>
    <x v="49"/>
    <x v="1"/>
    <n v="0"/>
  </r>
  <r>
    <x v="0"/>
    <x v="16"/>
    <x v="17"/>
    <x v="39"/>
    <x v="50"/>
    <x v="1"/>
    <n v="0"/>
  </r>
  <r>
    <x v="0"/>
    <x v="16"/>
    <x v="17"/>
    <x v="39"/>
    <x v="51"/>
    <x v="1"/>
    <n v="0"/>
  </r>
  <r>
    <x v="0"/>
    <x v="16"/>
    <x v="17"/>
    <x v="39"/>
    <x v="52"/>
    <x v="1"/>
    <n v="0"/>
  </r>
  <r>
    <x v="0"/>
    <x v="16"/>
    <x v="17"/>
    <x v="39"/>
    <x v="53"/>
    <x v="1"/>
    <n v="0"/>
  </r>
  <r>
    <x v="0"/>
    <x v="16"/>
    <x v="17"/>
    <x v="39"/>
    <x v="54"/>
    <x v="1"/>
    <n v="0"/>
  </r>
  <r>
    <x v="0"/>
    <x v="16"/>
    <x v="17"/>
    <x v="39"/>
    <x v="55"/>
    <x v="1"/>
    <n v="0"/>
  </r>
  <r>
    <x v="0"/>
    <x v="16"/>
    <x v="17"/>
    <x v="40"/>
    <x v="46"/>
    <x v="1"/>
    <n v="4.6591241549999998"/>
  </r>
  <r>
    <x v="0"/>
    <x v="16"/>
    <x v="17"/>
    <x v="40"/>
    <x v="47"/>
    <x v="1"/>
    <n v="4.6591241549999998"/>
  </r>
  <r>
    <x v="0"/>
    <x v="16"/>
    <x v="17"/>
    <x v="40"/>
    <x v="48"/>
    <x v="1"/>
    <n v="4.6591241549999998"/>
  </r>
  <r>
    <x v="0"/>
    <x v="16"/>
    <x v="17"/>
    <x v="40"/>
    <x v="49"/>
    <x v="1"/>
    <n v="0"/>
  </r>
  <r>
    <x v="0"/>
    <x v="16"/>
    <x v="17"/>
    <x v="40"/>
    <x v="50"/>
    <x v="1"/>
    <n v="0"/>
  </r>
  <r>
    <x v="0"/>
    <x v="16"/>
    <x v="17"/>
    <x v="40"/>
    <x v="51"/>
    <x v="1"/>
    <n v="0"/>
  </r>
  <r>
    <x v="0"/>
    <x v="16"/>
    <x v="17"/>
    <x v="40"/>
    <x v="52"/>
    <x v="1"/>
    <n v="0"/>
  </r>
  <r>
    <x v="0"/>
    <x v="16"/>
    <x v="17"/>
    <x v="40"/>
    <x v="53"/>
    <x v="1"/>
    <n v="0"/>
  </r>
  <r>
    <x v="0"/>
    <x v="16"/>
    <x v="17"/>
    <x v="40"/>
    <x v="54"/>
    <x v="1"/>
    <n v="0"/>
  </r>
  <r>
    <x v="0"/>
    <x v="16"/>
    <x v="17"/>
    <x v="40"/>
    <x v="55"/>
    <x v="1"/>
    <n v="0"/>
  </r>
  <r>
    <x v="0"/>
    <x v="16"/>
    <x v="17"/>
    <x v="41"/>
    <x v="46"/>
    <x v="1"/>
    <n v="75.187644563000006"/>
  </r>
  <r>
    <x v="0"/>
    <x v="16"/>
    <x v="17"/>
    <x v="41"/>
    <x v="47"/>
    <x v="1"/>
    <n v="75.187644563000006"/>
  </r>
  <r>
    <x v="0"/>
    <x v="16"/>
    <x v="17"/>
    <x v="41"/>
    <x v="48"/>
    <x v="1"/>
    <n v="75.187644563000006"/>
  </r>
  <r>
    <x v="0"/>
    <x v="16"/>
    <x v="17"/>
    <x v="41"/>
    <x v="49"/>
    <x v="1"/>
    <n v="0"/>
  </r>
  <r>
    <x v="0"/>
    <x v="16"/>
    <x v="17"/>
    <x v="41"/>
    <x v="50"/>
    <x v="1"/>
    <n v="0"/>
  </r>
  <r>
    <x v="0"/>
    <x v="16"/>
    <x v="17"/>
    <x v="41"/>
    <x v="51"/>
    <x v="1"/>
    <n v="0"/>
  </r>
  <r>
    <x v="0"/>
    <x v="16"/>
    <x v="17"/>
    <x v="41"/>
    <x v="52"/>
    <x v="1"/>
    <n v="0"/>
  </r>
  <r>
    <x v="0"/>
    <x v="16"/>
    <x v="17"/>
    <x v="41"/>
    <x v="53"/>
    <x v="1"/>
    <n v="0"/>
  </r>
  <r>
    <x v="0"/>
    <x v="16"/>
    <x v="17"/>
    <x v="41"/>
    <x v="54"/>
    <x v="1"/>
    <n v="0"/>
  </r>
  <r>
    <x v="0"/>
    <x v="16"/>
    <x v="17"/>
    <x v="41"/>
    <x v="55"/>
    <x v="1"/>
    <n v="0"/>
  </r>
  <r>
    <x v="0"/>
    <x v="16"/>
    <x v="18"/>
    <x v="42"/>
    <x v="46"/>
    <x v="1"/>
    <n v="29.270230771000001"/>
  </r>
  <r>
    <x v="0"/>
    <x v="16"/>
    <x v="18"/>
    <x v="42"/>
    <x v="47"/>
    <x v="1"/>
    <n v="29.270230771000001"/>
  </r>
  <r>
    <x v="0"/>
    <x v="16"/>
    <x v="18"/>
    <x v="42"/>
    <x v="48"/>
    <x v="1"/>
    <n v="29.270230771000001"/>
  </r>
  <r>
    <x v="0"/>
    <x v="16"/>
    <x v="18"/>
    <x v="42"/>
    <x v="49"/>
    <x v="1"/>
    <n v="0"/>
  </r>
  <r>
    <x v="0"/>
    <x v="16"/>
    <x v="18"/>
    <x v="42"/>
    <x v="50"/>
    <x v="1"/>
    <n v="0"/>
  </r>
  <r>
    <x v="0"/>
    <x v="16"/>
    <x v="18"/>
    <x v="42"/>
    <x v="51"/>
    <x v="1"/>
    <n v="0"/>
  </r>
  <r>
    <x v="0"/>
    <x v="16"/>
    <x v="18"/>
    <x v="42"/>
    <x v="52"/>
    <x v="1"/>
    <n v="0"/>
  </r>
  <r>
    <x v="0"/>
    <x v="16"/>
    <x v="18"/>
    <x v="42"/>
    <x v="53"/>
    <x v="1"/>
    <n v="0"/>
  </r>
  <r>
    <x v="0"/>
    <x v="16"/>
    <x v="18"/>
    <x v="42"/>
    <x v="54"/>
    <x v="1"/>
    <n v="0"/>
  </r>
  <r>
    <x v="0"/>
    <x v="16"/>
    <x v="18"/>
    <x v="42"/>
    <x v="55"/>
    <x v="1"/>
    <n v="0"/>
  </r>
  <r>
    <x v="0"/>
    <x v="16"/>
    <x v="18"/>
    <x v="43"/>
    <x v="46"/>
    <x v="1"/>
    <n v="57.244933211000003"/>
  </r>
  <r>
    <x v="0"/>
    <x v="16"/>
    <x v="18"/>
    <x v="43"/>
    <x v="47"/>
    <x v="1"/>
    <n v="57.244933211000003"/>
  </r>
  <r>
    <x v="0"/>
    <x v="16"/>
    <x v="18"/>
    <x v="43"/>
    <x v="48"/>
    <x v="1"/>
    <n v="57.244933211000003"/>
  </r>
  <r>
    <x v="0"/>
    <x v="16"/>
    <x v="18"/>
    <x v="43"/>
    <x v="49"/>
    <x v="1"/>
    <n v="0"/>
  </r>
  <r>
    <x v="0"/>
    <x v="16"/>
    <x v="18"/>
    <x v="43"/>
    <x v="50"/>
    <x v="1"/>
    <n v="0"/>
  </r>
  <r>
    <x v="0"/>
    <x v="16"/>
    <x v="18"/>
    <x v="43"/>
    <x v="51"/>
    <x v="1"/>
    <n v="0"/>
  </r>
  <r>
    <x v="0"/>
    <x v="16"/>
    <x v="18"/>
    <x v="43"/>
    <x v="52"/>
    <x v="1"/>
    <n v="0"/>
  </r>
  <r>
    <x v="0"/>
    <x v="16"/>
    <x v="18"/>
    <x v="43"/>
    <x v="53"/>
    <x v="1"/>
    <n v="0"/>
  </r>
  <r>
    <x v="0"/>
    <x v="16"/>
    <x v="18"/>
    <x v="43"/>
    <x v="54"/>
    <x v="1"/>
    <n v="0"/>
  </r>
  <r>
    <x v="0"/>
    <x v="16"/>
    <x v="18"/>
    <x v="43"/>
    <x v="55"/>
    <x v="1"/>
    <n v="0"/>
  </r>
  <r>
    <x v="0"/>
    <x v="16"/>
    <x v="19"/>
    <x v="44"/>
    <x v="46"/>
    <x v="5"/>
    <n v="893.50902657899996"/>
  </r>
  <r>
    <x v="0"/>
    <x v="16"/>
    <x v="19"/>
    <x v="44"/>
    <x v="47"/>
    <x v="5"/>
    <n v="893.50902657899996"/>
  </r>
  <r>
    <x v="0"/>
    <x v="16"/>
    <x v="19"/>
    <x v="44"/>
    <x v="48"/>
    <x v="5"/>
    <n v="893.50902657899996"/>
  </r>
  <r>
    <x v="0"/>
    <x v="16"/>
    <x v="19"/>
    <x v="44"/>
    <x v="49"/>
    <x v="5"/>
    <n v="0"/>
  </r>
  <r>
    <x v="0"/>
    <x v="16"/>
    <x v="19"/>
    <x v="44"/>
    <x v="50"/>
    <x v="5"/>
    <n v="0"/>
  </r>
  <r>
    <x v="0"/>
    <x v="16"/>
    <x v="19"/>
    <x v="44"/>
    <x v="51"/>
    <x v="5"/>
    <n v="0"/>
  </r>
  <r>
    <x v="0"/>
    <x v="16"/>
    <x v="19"/>
    <x v="44"/>
    <x v="52"/>
    <x v="5"/>
    <n v="0"/>
  </r>
  <r>
    <x v="0"/>
    <x v="16"/>
    <x v="19"/>
    <x v="44"/>
    <x v="53"/>
    <x v="5"/>
    <n v="0"/>
  </r>
  <r>
    <x v="0"/>
    <x v="16"/>
    <x v="19"/>
    <x v="44"/>
    <x v="54"/>
    <x v="5"/>
    <n v="0"/>
  </r>
  <r>
    <x v="0"/>
    <x v="16"/>
    <x v="19"/>
    <x v="44"/>
    <x v="55"/>
    <x v="5"/>
    <n v="0"/>
  </r>
  <r>
    <x v="0"/>
    <x v="16"/>
    <x v="20"/>
    <x v="44"/>
    <x v="0"/>
    <x v="6"/>
    <n v="356.61312265700002"/>
  </r>
  <r>
    <x v="0"/>
    <x v="16"/>
    <x v="21"/>
    <x v="44"/>
    <x v="0"/>
    <x v="6"/>
    <n v="5113.7354820809996"/>
  </r>
  <r>
    <x v="0"/>
    <x v="16"/>
    <x v="22"/>
    <x v="44"/>
    <x v="0"/>
    <x v="5"/>
    <n v="6.9736326000000001E-2"/>
  </r>
  <r>
    <x v="0"/>
    <x v="16"/>
    <x v="23"/>
    <x v="44"/>
    <x v="0"/>
    <x v="5"/>
    <n v="942.56900033900001"/>
  </r>
  <r>
    <x v="0"/>
    <x v="16"/>
    <x v="24"/>
    <x v="44"/>
    <x v="0"/>
    <x v="6"/>
    <n v="1727.4703747250001"/>
  </r>
  <r>
    <x v="0"/>
    <x v="16"/>
    <x v="25"/>
    <x v="45"/>
    <x v="0"/>
    <x v="6"/>
    <n v="2502.3436741400001"/>
  </r>
  <r>
    <x v="0"/>
    <x v="16"/>
    <x v="26"/>
    <x v="44"/>
    <x v="0"/>
    <x v="6"/>
    <n v="1363.4264366469999"/>
  </r>
  <r>
    <x v="0"/>
    <x v="16"/>
    <x v="27"/>
    <x v="44"/>
    <x v="0"/>
    <x v="6"/>
    <n v="936.289820298"/>
  </r>
  <r>
    <x v="0"/>
    <x v="16"/>
    <x v="28"/>
    <x v="44"/>
    <x v="0"/>
    <x v="6"/>
    <n v="1415.79482373"/>
  </r>
  <r>
    <x v="0"/>
    <x v="16"/>
    <x v="29"/>
    <x v="44"/>
    <x v="0"/>
    <x v="6"/>
    <n v="6.0689751169999999"/>
  </r>
  <r>
    <x v="0"/>
    <x v="16"/>
    <x v="30"/>
    <x v="44"/>
    <x v="0"/>
    <x v="6"/>
    <n v="322.15230033900002"/>
  </r>
  <r>
    <x v="0"/>
    <x v="16"/>
    <x v="31"/>
    <x v="44"/>
    <x v="0"/>
    <x v="6"/>
    <n v="15838.234418472999"/>
  </r>
  <r>
    <x v="0"/>
    <x v="16"/>
    <x v="32"/>
    <x v="44"/>
    <x v="0"/>
    <x v="5"/>
    <n v="2.0340165E-2"/>
  </r>
  <r>
    <x v="0"/>
    <x v="16"/>
    <x v="33"/>
    <x v="44"/>
    <x v="0"/>
    <x v="5"/>
    <n v="1.7465E-5"/>
  </r>
  <r>
    <x v="0"/>
    <x v="16"/>
    <x v="34"/>
    <x v="44"/>
    <x v="0"/>
    <x v="5"/>
    <n v="1"/>
  </r>
  <r>
    <x v="0"/>
    <x v="16"/>
    <x v="35"/>
    <x v="44"/>
    <x v="0"/>
    <x v="5"/>
    <n v="1.075"/>
  </r>
  <r>
    <x v="0"/>
    <x v="16"/>
    <x v="36"/>
    <x v="44"/>
    <x v="0"/>
    <x v="5"/>
    <n v="3.1997342999999998E-2"/>
  </r>
  <r>
    <x v="0"/>
    <x v="16"/>
    <x v="37"/>
    <x v="45"/>
    <x v="0"/>
    <x v="6"/>
    <n v="0"/>
  </r>
  <r>
    <x v="0"/>
    <x v="16"/>
    <x v="38"/>
    <x v="45"/>
    <x v="0"/>
    <x v="6"/>
    <n v="0"/>
  </r>
  <r>
    <x v="0"/>
    <x v="16"/>
    <x v="39"/>
    <x v="45"/>
    <x v="0"/>
    <x v="6"/>
    <n v="1"/>
  </r>
  <r>
    <x v="0"/>
    <x v="16"/>
    <x v="40"/>
    <x v="45"/>
    <x v="0"/>
    <x v="6"/>
    <n v="242.366683486"/>
  </r>
  <r>
    <x v="0"/>
    <x v="16"/>
    <x v="41"/>
    <x v="45"/>
    <x v="0"/>
    <x v="6"/>
    <n v="226.92879199999999"/>
  </r>
  <r>
    <x v="0"/>
    <x v="16"/>
    <x v="42"/>
    <x v="45"/>
    <x v="0"/>
    <x v="6"/>
    <n v="15.437891486"/>
  </r>
  <r>
    <x v="0"/>
    <x v="16"/>
    <x v="43"/>
    <x v="45"/>
    <x v="0"/>
    <x v="6"/>
    <n v="293.35566010000002"/>
  </r>
  <r>
    <x v="0"/>
    <x v="16"/>
    <x v="44"/>
    <x v="45"/>
    <x v="0"/>
    <x v="6"/>
    <n v="0"/>
  </r>
  <r>
    <x v="0"/>
    <x v="16"/>
    <x v="45"/>
    <x v="44"/>
    <x v="0"/>
    <x v="5"/>
    <n v="5.2625169999999999E-2"/>
  </r>
  <r>
    <x v="0"/>
    <x v="16"/>
    <x v="46"/>
    <x v="45"/>
    <x v="0"/>
    <x v="5"/>
    <n v="4.6480818709999996"/>
  </r>
  <r>
    <x v="0"/>
    <x v="16"/>
    <x v="47"/>
    <x v="46"/>
    <x v="0"/>
    <x v="6"/>
    <n v="0.42532879099999998"/>
  </r>
  <r>
    <x v="0"/>
    <x v="16"/>
    <x v="48"/>
    <x v="47"/>
    <x v="0"/>
    <x v="6"/>
    <n v="0"/>
  </r>
  <r>
    <x v="0"/>
    <x v="16"/>
    <x v="49"/>
    <x v="47"/>
    <x v="0"/>
    <x v="6"/>
    <n v="0"/>
  </r>
  <r>
    <x v="0"/>
    <x v="16"/>
    <x v="50"/>
    <x v="48"/>
    <x v="0"/>
    <x v="7"/>
    <n v="166.14567751300001"/>
  </r>
  <r>
    <x v="0"/>
    <x v="16"/>
    <x v="50"/>
    <x v="49"/>
    <x v="0"/>
    <x v="7"/>
    <n v="155.58129403500001"/>
  </r>
  <r>
    <x v="0"/>
    <x v="16"/>
    <x v="51"/>
    <x v="42"/>
    <x v="0"/>
    <x v="4"/>
    <n v="78.065303373999996"/>
  </r>
  <r>
    <x v="0"/>
    <x v="16"/>
    <x v="51"/>
    <x v="43"/>
    <x v="0"/>
    <x v="4"/>
    <n v="260.62159920200003"/>
  </r>
  <r>
    <x v="0"/>
    <x v="16"/>
    <x v="52"/>
    <x v="42"/>
    <x v="0"/>
    <x v="4"/>
    <n v="41.308969712"/>
  </r>
  <r>
    <x v="0"/>
    <x v="16"/>
    <x v="52"/>
    <x v="43"/>
    <x v="0"/>
    <x v="4"/>
    <n v="75.065127668000002"/>
  </r>
  <r>
    <x v="0"/>
    <x v="16"/>
    <x v="53"/>
    <x v="42"/>
    <x v="0"/>
    <x v="4"/>
    <n v="12.03873894"/>
  </r>
  <r>
    <x v="0"/>
    <x v="16"/>
    <x v="53"/>
    <x v="43"/>
    <x v="0"/>
    <x v="4"/>
    <n v="17.820194456999999"/>
  </r>
  <r>
    <x v="0"/>
    <x v="16"/>
    <x v="54"/>
    <x v="42"/>
    <x v="56"/>
    <x v="4"/>
    <n v="30.902289734"/>
  </r>
  <r>
    <x v="0"/>
    <x v="16"/>
    <x v="54"/>
    <x v="43"/>
    <x v="56"/>
    <x v="4"/>
    <n v="176.96972475800001"/>
  </r>
  <r>
    <x v="0"/>
    <x v="16"/>
    <x v="55"/>
    <x v="42"/>
    <x v="0"/>
    <x v="4"/>
    <n v="6.4374774999999995E-2"/>
  </r>
  <r>
    <x v="0"/>
    <x v="16"/>
    <x v="55"/>
    <x v="43"/>
    <x v="0"/>
    <x v="4"/>
    <n v="5.9602782999999999E-2"/>
  </r>
  <r>
    <x v="0"/>
    <x v="16"/>
    <x v="56"/>
    <x v="42"/>
    <x v="0"/>
    <x v="4"/>
    <n v="8.2083514999999996E-2"/>
  </r>
  <r>
    <x v="0"/>
    <x v="16"/>
    <x v="56"/>
    <x v="43"/>
    <x v="0"/>
    <x v="4"/>
    <n v="7.9296900000000003E-2"/>
  </r>
  <r>
    <x v="0"/>
    <x v="16"/>
    <x v="57"/>
    <x v="42"/>
    <x v="0"/>
    <x v="4"/>
    <n v="4.191363E-2"/>
  </r>
  <r>
    <x v="0"/>
    <x v="16"/>
    <x v="57"/>
    <x v="43"/>
    <x v="0"/>
    <x v="4"/>
    <n v="3.9573349000000001E-2"/>
  </r>
  <r>
    <x v="0"/>
    <x v="16"/>
    <x v="58"/>
    <x v="44"/>
    <x v="57"/>
    <x v="5"/>
    <n v="4.3005281999999999E-2"/>
  </r>
  <r>
    <x v="0"/>
    <x v="16"/>
    <x v="59"/>
    <x v="44"/>
    <x v="57"/>
    <x v="6"/>
    <n v="704.06799999999998"/>
  </r>
  <r>
    <x v="0"/>
    <x v="16"/>
    <x v="60"/>
    <x v="0"/>
    <x v="57"/>
    <x v="8"/>
    <n v="228.63089237099999"/>
  </r>
  <r>
    <x v="0"/>
    <x v="16"/>
    <x v="60"/>
    <x v="1"/>
    <x v="57"/>
    <x v="8"/>
    <n v="27.972980678999999"/>
  </r>
  <r>
    <x v="0"/>
    <x v="16"/>
    <x v="60"/>
    <x v="2"/>
    <x v="57"/>
    <x v="8"/>
    <n v="96.603697096999994"/>
  </r>
  <r>
    <x v="0"/>
    <x v="16"/>
    <x v="60"/>
    <x v="3"/>
    <x v="57"/>
    <x v="8"/>
    <n v="65.585084615"/>
  </r>
  <r>
    <x v="0"/>
    <x v="16"/>
    <x v="60"/>
    <x v="4"/>
    <x v="57"/>
    <x v="8"/>
    <n v="4.835439429"/>
  </r>
  <r>
    <x v="0"/>
    <x v="16"/>
    <x v="60"/>
    <x v="5"/>
    <x v="57"/>
    <x v="8"/>
    <n v="94.069152607999996"/>
  </r>
  <r>
    <x v="0"/>
    <x v="16"/>
    <x v="60"/>
    <x v="6"/>
    <x v="57"/>
    <x v="8"/>
    <n v="15.19985737"/>
  </r>
  <r>
    <x v="0"/>
    <x v="16"/>
    <x v="60"/>
    <x v="7"/>
    <x v="57"/>
    <x v="8"/>
    <n v="23.972493764999999"/>
  </r>
  <r>
    <x v="0"/>
    <x v="16"/>
    <x v="60"/>
    <x v="8"/>
    <x v="57"/>
    <x v="8"/>
    <n v="6.4192794930000003"/>
  </r>
  <r>
    <x v="0"/>
    <x v="16"/>
    <x v="60"/>
    <x v="9"/>
    <x v="57"/>
    <x v="8"/>
    <n v="24.768819860000001"/>
  </r>
  <r>
    <x v="0"/>
    <x v="16"/>
    <x v="60"/>
    <x v="10"/>
    <x v="57"/>
    <x v="8"/>
    <n v="22.788688782000001"/>
  </r>
  <r>
    <x v="0"/>
    <x v="16"/>
    <x v="60"/>
    <x v="11"/>
    <x v="57"/>
    <x v="8"/>
    <n v="132.590117453"/>
  </r>
  <r>
    <x v="0"/>
    <x v="16"/>
    <x v="60"/>
    <x v="12"/>
    <x v="57"/>
    <x v="8"/>
    <n v="4.6246780530000002"/>
  </r>
  <r>
    <x v="0"/>
    <x v="16"/>
    <x v="60"/>
    <x v="13"/>
    <x v="57"/>
    <x v="8"/>
    <n v="48.018418597999997"/>
  </r>
  <r>
    <x v="0"/>
    <x v="16"/>
    <x v="60"/>
    <x v="14"/>
    <x v="57"/>
    <x v="8"/>
    <n v="6.3074953159999998"/>
  </r>
  <r>
    <x v="0"/>
    <x v="16"/>
    <x v="60"/>
    <x v="15"/>
    <x v="57"/>
    <x v="8"/>
    <n v="42.973302783999998"/>
  </r>
  <r>
    <x v="0"/>
    <x v="16"/>
    <x v="60"/>
    <x v="16"/>
    <x v="57"/>
    <x v="8"/>
    <n v="36.635506042000003"/>
  </r>
  <r>
    <x v="0"/>
    <x v="16"/>
    <x v="60"/>
    <x v="17"/>
    <x v="57"/>
    <x v="8"/>
    <n v="60.220736410000001"/>
  </r>
  <r>
    <x v="0"/>
    <x v="16"/>
    <x v="60"/>
    <x v="18"/>
    <x v="57"/>
    <x v="8"/>
    <n v="32.422782077999997"/>
  </r>
  <r>
    <x v="0"/>
    <x v="16"/>
    <x v="60"/>
    <x v="19"/>
    <x v="57"/>
    <x v="8"/>
    <n v="209.14570646199999"/>
  </r>
  <r>
    <x v="0"/>
    <x v="16"/>
    <x v="60"/>
    <x v="20"/>
    <x v="57"/>
    <x v="8"/>
    <n v="31.985182262999999"/>
  </r>
  <r>
    <x v="0"/>
    <x v="16"/>
    <x v="60"/>
    <x v="21"/>
    <x v="57"/>
    <x v="8"/>
    <n v="0.57879962500000004"/>
  </r>
  <r>
    <x v="0"/>
    <x v="16"/>
    <x v="60"/>
    <x v="22"/>
    <x v="57"/>
    <x v="8"/>
    <n v="1.2304492600000001"/>
  </r>
  <r>
    <x v="0"/>
    <x v="16"/>
    <x v="60"/>
    <x v="23"/>
    <x v="57"/>
    <x v="8"/>
    <n v="0"/>
  </r>
  <r>
    <x v="0"/>
    <x v="16"/>
    <x v="60"/>
    <x v="24"/>
    <x v="57"/>
    <x v="8"/>
    <n v="0.19049596899999999"/>
  </r>
  <r>
    <x v="0"/>
    <x v="16"/>
    <x v="60"/>
    <x v="25"/>
    <x v="57"/>
    <x v="8"/>
    <n v="-1.98E-7"/>
  </r>
  <r>
    <x v="0"/>
    <x v="16"/>
    <x v="60"/>
    <x v="26"/>
    <x v="57"/>
    <x v="8"/>
    <n v="0"/>
  </r>
  <r>
    <x v="0"/>
    <x v="16"/>
    <x v="60"/>
    <x v="27"/>
    <x v="57"/>
    <x v="8"/>
    <n v="2.7506218109999998"/>
  </r>
  <r>
    <x v="0"/>
    <x v="16"/>
    <x v="60"/>
    <x v="28"/>
    <x v="57"/>
    <x v="8"/>
    <n v="0"/>
  </r>
  <r>
    <x v="0"/>
    <x v="16"/>
    <x v="60"/>
    <x v="29"/>
    <x v="57"/>
    <x v="8"/>
    <n v="40.349725607000003"/>
  </r>
  <r>
    <x v="0"/>
    <x v="16"/>
    <x v="60"/>
    <x v="30"/>
    <x v="57"/>
    <x v="8"/>
    <n v="28.225198903999999"/>
  </r>
  <r>
    <x v="0"/>
    <x v="16"/>
    <x v="60"/>
    <x v="31"/>
    <x v="57"/>
    <x v="8"/>
    <n v="5.8880795130000001"/>
  </r>
  <r>
    <x v="0"/>
    <x v="16"/>
    <x v="60"/>
    <x v="32"/>
    <x v="57"/>
    <x v="8"/>
    <n v="3.513234894"/>
  </r>
  <r>
    <x v="0"/>
    <x v="16"/>
    <x v="60"/>
    <x v="33"/>
    <x v="57"/>
    <x v="8"/>
    <n v="0"/>
  </r>
  <r>
    <x v="0"/>
    <x v="16"/>
    <x v="60"/>
    <x v="34"/>
    <x v="57"/>
    <x v="8"/>
    <n v="41.484067461000002"/>
  </r>
  <r>
    <x v="0"/>
    <x v="16"/>
    <x v="60"/>
    <x v="35"/>
    <x v="57"/>
    <x v="8"/>
    <n v="4.4613836689999999"/>
  </r>
  <r>
    <x v="0"/>
    <x v="16"/>
    <x v="60"/>
    <x v="36"/>
    <x v="57"/>
    <x v="8"/>
    <n v="10.446638727"/>
  </r>
  <r>
    <x v="0"/>
    <x v="16"/>
    <x v="60"/>
    <x v="37"/>
    <x v="57"/>
    <x v="8"/>
    <n v="2.6106445759999999"/>
  </r>
  <r>
    <x v="0"/>
    <x v="16"/>
    <x v="60"/>
    <x v="38"/>
    <x v="57"/>
    <x v="8"/>
    <n v="14.35300071"/>
  </r>
  <r>
    <x v="0"/>
    <x v="16"/>
    <x v="60"/>
    <x v="39"/>
    <x v="57"/>
    <x v="8"/>
    <n v="4.5059416390000004"/>
  </r>
  <r>
    <x v="0"/>
    <x v="16"/>
    <x v="60"/>
    <x v="40"/>
    <x v="57"/>
    <x v="8"/>
    <n v="29.292416841000001"/>
  </r>
  <r>
    <x v="0"/>
    <x v="16"/>
    <x v="60"/>
    <x v="41"/>
    <x v="57"/>
    <x v="8"/>
    <n v="10.143813194"/>
  </r>
  <r>
    <x v="0"/>
    <x v="16"/>
    <x v="61"/>
    <x v="0"/>
    <x v="57"/>
    <x v="8"/>
    <n v="1.654903078"/>
  </r>
  <r>
    <x v="0"/>
    <x v="16"/>
    <x v="61"/>
    <x v="1"/>
    <x v="57"/>
    <x v="8"/>
    <n v="0.57855995800000004"/>
  </r>
  <r>
    <x v="0"/>
    <x v="16"/>
    <x v="61"/>
    <x v="2"/>
    <x v="57"/>
    <x v="8"/>
    <n v="3.64016977"/>
  </r>
  <r>
    <x v="0"/>
    <x v="16"/>
    <x v="61"/>
    <x v="3"/>
    <x v="57"/>
    <x v="8"/>
    <n v="0.521058032"/>
  </r>
  <r>
    <x v="0"/>
    <x v="16"/>
    <x v="61"/>
    <x v="4"/>
    <x v="57"/>
    <x v="8"/>
    <n v="0.95893725399999996"/>
  </r>
  <r>
    <x v="0"/>
    <x v="16"/>
    <x v="61"/>
    <x v="5"/>
    <x v="57"/>
    <x v="8"/>
    <n v="10.672601459999999"/>
  </r>
  <r>
    <x v="0"/>
    <x v="16"/>
    <x v="61"/>
    <x v="6"/>
    <x v="57"/>
    <x v="8"/>
    <n v="21.059936255"/>
  </r>
  <r>
    <x v="0"/>
    <x v="16"/>
    <x v="61"/>
    <x v="7"/>
    <x v="57"/>
    <x v="8"/>
    <n v="42.334610916000003"/>
  </r>
  <r>
    <x v="0"/>
    <x v="16"/>
    <x v="61"/>
    <x v="8"/>
    <x v="57"/>
    <x v="8"/>
    <n v="16.037228499000001"/>
  </r>
  <r>
    <x v="0"/>
    <x v="16"/>
    <x v="61"/>
    <x v="9"/>
    <x v="57"/>
    <x v="8"/>
    <n v="38.257281474999999"/>
  </r>
  <r>
    <x v="0"/>
    <x v="16"/>
    <x v="61"/>
    <x v="10"/>
    <x v="57"/>
    <x v="8"/>
    <n v="14.755419015999999"/>
  </r>
  <r>
    <x v="0"/>
    <x v="16"/>
    <x v="61"/>
    <x v="11"/>
    <x v="57"/>
    <x v="8"/>
    <n v="81.419932912999997"/>
  </r>
  <r>
    <x v="0"/>
    <x v="16"/>
    <x v="61"/>
    <x v="12"/>
    <x v="57"/>
    <x v="8"/>
    <n v="17.599442779"/>
  </r>
  <r>
    <x v="0"/>
    <x v="16"/>
    <x v="61"/>
    <x v="13"/>
    <x v="57"/>
    <x v="8"/>
    <n v="45.057796971999998"/>
  </r>
  <r>
    <x v="0"/>
    <x v="16"/>
    <x v="61"/>
    <x v="14"/>
    <x v="57"/>
    <x v="8"/>
    <n v="33.777324837000002"/>
  </r>
  <r>
    <x v="0"/>
    <x v="16"/>
    <x v="61"/>
    <x v="15"/>
    <x v="57"/>
    <x v="8"/>
    <n v="45.281913807999999"/>
  </r>
  <r>
    <x v="0"/>
    <x v="16"/>
    <x v="61"/>
    <x v="16"/>
    <x v="57"/>
    <x v="8"/>
    <n v="21.151588774"/>
  </r>
  <r>
    <x v="0"/>
    <x v="16"/>
    <x v="61"/>
    <x v="17"/>
    <x v="57"/>
    <x v="8"/>
    <n v="35.712677607000003"/>
  </r>
  <r>
    <x v="0"/>
    <x v="16"/>
    <x v="61"/>
    <x v="18"/>
    <x v="57"/>
    <x v="8"/>
    <n v="81.037229803000002"/>
  </r>
  <r>
    <x v="0"/>
    <x v="16"/>
    <x v="61"/>
    <x v="19"/>
    <x v="57"/>
    <x v="8"/>
    <n v="185.54036106800001"/>
  </r>
  <r>
    <x v="0"/>
    <x v="16"/>
    <x v="61"/>
    <x v="20"/>
    <x v="57"/>
    <x v="8"/>
    <n v="14.114915418000001"/>
  </r>
  <r>
    <x v="0"/>
    <x v="16"/>
    <x v="61"/>
    <x v="21"/>
    <x v="57"/>
    <x v="8"/>
    <n v="3.0112667860000002"/>
  </r>
  <r>
    <x v="0"/>
    <x v="16"/>
    <x v="61"/>
    <x v="22"/>
    <x v="57"/>
    <x v="8"/>
    <n v="6.6877640469999999"/>
  </r>
  <r>
    <x v="0"/>
    <x v="16"/>
    <x v="61"/>
    <x v="23"/>
    <x v="57"/>
    <x v="8"/>
    <n v="0"/>
  </r>
  <r>
    <x v="0"/>
    <x v="16"/>
    <x v="61"/>
    <x v="24"/>
    <x v="57"/>
    <x v="8"/>
    <n v="0.79173567099999997"/>
  </r>
  <r>
    <x v="0"/>
    <x v="16"/>
    <x v="61"/>
    <x v="25"/>
    <x v="57"/>
    <x v="8"/>
    <n v="0"/>
  </r>
  <r>
    <x v="0"/>
    <x v="16"/>
    <x v="61"/>
    <x v="26"/>
    <x v="57"/>
    <x v="8"/>
    <n v="0"/>
  </r>
  <r>
    <x v="0"/>
    <x v="16"/>
    <x v="61"/>
    <x v="27"/>
    <x v="57"/>
    <x v="8"/>
    <n v="3.3581084720000001"/>
  </r>
  <r>
    <x v="0"/>
    <x v="16"/>
    <x v="61"/>
    <x v="28"/>
    <x v="57"/>
    <x v="8"/>
    <n v="110.09796736"/>
  </r>
  <r>
    <x v="0"/>
    <x v="16"/>
    <x v="61"/>
    <x v="29"/>
    <x v="57"/>
    <x v="8"/>
    <n v="46.697940715000001"/>
  </r>
  <r>
    <x v="0"/>
    <x v="16"/>
    <x v="61"/>
    <x v="30"/>
    <x v="57"/>
    <x v="8"/>
    <n v="1.850009837"/>
  </r>
  <r>
    <x v="0"/>
    <x v="16"/>
    <x v="61"/>
    <x v="31"/>
    <x v="57"/>
    <x v="8"/>
    <n v="11.86784156"/>
  </r>
  <r>
    <x v="0"/>
    <x v="16"/>
    <x v="61"/>
    <x v="32"/>
    <x v="57"/>
    <x v="8"/>
    <n v="5.3165305810000003"/>
  </r>
  <r>
    <x v="0"/>
    <x v="16"/>
    <x v="61"/>
    <x v="33"/>
    <x v="57"/>
    <x v="8"/>
    <n v="0"/>
  </r>
  <r>
    <x v="0"/>
    <x v="16"/>
    <x v="61"/>
    <x v="34"/>
    <x v="57"/>
    <x v="8"/>
    <n v="30.221557982"/>
  </r>
  <r>
    <x v="0"/>
    <x v="16"/>
    <x v="61"/>
    <x v="35"/>
    <x v="57"/>
    <x v="8"/>
    <n v="0.18965289299999999"/>
  </r>
  <r>
    <x v="0"/>
    <x v="16"/>
    <x v="61"/>
    <x v="36"/>
    <x v="57"/>
    <x v="8"/>
    <n v="0.77477826599999999"/>
  </r>
  <r>
    <x v="0"/>
    <x v="16"/>
    <x v="61"/>
    <x v="37"/>
    <x v="57"/>
    <x v="8"/>
    <n v="0.47607839299999999"/>
  </r>
  <r>
    <x v="0"/>
    <x v="16"/>
    <x v="61"/>
    <x v="38"/>
    <x v="57"/>
    <x v="8"/>
    <n v="0.14256517199999999"/>
  </r>
  <r>
    <x v="0"/>
    <x v="16"/>
    <x v="61"/>
    <x v="39"/>
    <x v="57"/>
    <x v="8"/>
    <n v="0.171997542"/>
  </r>
  <r>
    <x v="0"/>
    <x v="16"/>
    <x v="61"/>
    <x v="40"/>
    <x v="57"/>
    <x v="8"/>
    <n v="3.2017320250000001"/>
  </r>
  <r>
    <x v="0"/>
    <x v="16"/>
    <x v="61"/>
    <x v="41"/>
    <x v="57"/>
    <x v="8"/>
    <n v="0.26840330699999998"/>
  </r>
  <r>
    <x v="0"/>
    <x v="16"/>
    <x v="62"/>
    <x v="0"/>
    <x v="57"/>
    <x v="9"/>
    <n v="4.3005281999999999E-2"/>
  </r>
  <r>
    <x v="0"/>
    <x v="16"/>
    <x v="62"/>
    <x v="1"/>
    <x v="57"/>
    <x v="9"/>
    <n v="4.3005281999999999E-2"/>
  </r>
  <r>
    <x v="0"/>
    <x v="16"/>
    <x v="62"/>
    <x v="2"/>
    <x v="57"/>
    <x v="9"/>
    <n v="4.3005281999999999E-2"/>
  </r>
  <r>
    <x v="0"/>
    <x v="16"/>
    <x v="62"/>
    <x v="3"/>
    <x v="57"/>
    <x v="9"/>
    <n v="4.3005281999999999E-2"/>
  </r>
  <r>
    <x v="0"/>
    <x v="16"/>
    <x v="62"/>
    <x v="4"/>
    <x v="57"/>
    <x v="9"/>
    <n v="4.3005281999999999E-2"/>
  </r>
  <r>
    <x v="0"/>
    <x v="16"/>
    <x v="62"/>
    <x v="5"/>
    <x v="57"/>
    <x v="9"/>
    <n v="4.3005281999999999E-2"/>
  </r>
  <r>
    <x v="0"/>
    <x v="16"/>
    <x v="62"/>
    <x v="6"/>
    <x v="57"/>
    <x v="9"/>
    <n v="4.3005281999999999E-2"/>
  </r>
  <r>
    <x v="0"/>
    <x v="16"/>
    <x v="62"/>
    <x v="7"/>
    <x v="57"/>
    <x v="9"/>
    <n v="4.3005281999999999E-2"/>
  </r>
  <r>
    <x v="0"/>
    <x v="16"/>
    <x v="62"/>
    <x v="8"/>
    <x v="57"/>
    <x v="9"/>
    <n v="4.3005281999999999E-2"/>
  </r>
  <r>
    <x v="0"/>
    <x v="16"/>
    <x v="62"/>
    <x v="9"/>
    <x v="57"/>
    <x v="9"/>
    <n v="4.3005281999999999E-2"/>
  </r>
  <r>
    <x v="0"/>
    <x v="16"/>
    <x v="62"/>
    <x v="10"/>
    <x v="57"/>
    <x v="9"/>
    <n v="4.3005281999999999E-2"/>
  </r>
  <r>
    <x v="0"/>
    <x v="16"/>
    <x v="62"/>
    <x v="11"/>
    <x v="57"/>
    <x v="9"/>
    <n v="4.3005281999999999E-2"/>
  </r>
  <r>
    <x v="0"/>
    <x v="16"/>
    <x v="62"/>
    <x v="12"/>
    <x v="57"/>
    <x v="9"/>
    <n v="4.3005281999999999E-2"/>
  </r>
  <r>
    <x v="0"/>
    <x v="16"/>
    <x v="62"/>
    <x v="13"/>
    <x v="57"/>
    <x v="9"/>
    <n v="4.3005281999999999E-2"/>
  </r>
  <r>
    <x v="0"/>
    <x v="16"/>
    <x v="62"/>
    <x v="14"/>
    <x v="57"/>
    <x v="9"/>
    <n v="4.3005281999999999E-2"/>
  </r>
  <r>
    <x v="0"/>
    <x v="16"/>
    <x v="62"/>
    <x v="15"/>
    <x v="57"/>
    <x v="9"/>
    <n v="4.3005281999999999E-2"/>
  </r>
  <r>
    <x v="0"/>
    <x v="16"/>
    <x v="62"/>
    <x v="16"/>
    <x v="57"/>
    <x v="9"/>
    <n v="4.3005281999999999E-2"/>
  </r>
  <r>
    <x v="0"/>
    <x v="16"/>
    <x v="62"/>
    <x v="17"/>
    <x v="57"/>
    <x v="9"/>
    <n v="4.3005281999999999E-2"/>
  </r>
  <r>
    <x v="0"/>
    <x v="16"/>
    <x v="62"/>
    <x v="18"/>
    <x v="57"/>
    <x v="9"/>
    <n v="4.3005281999999999E-2"/>
  </r>
  <r>
    <x v="0"/>
    <x v="16"/>
    <x v="62"/>
    <x v="19"/>
    <x v="57"/>
    <x v="9"/>
    <n v="4.3005281999999999E-2"/>
  </r>
  <r>
    <x v="0"/>
    <x v="16"/>
    <x v="62"/>
    <x v="20"/>
    <x v="57"/>
    <x v="9"/>
    <n v="4.3005281999999999E-2"/>
  </r>
  <r>
    <x v="0"/>
    <x v="16"/>
    <x v="62"/>
    <x v="21"/>
    <x v="57"/>
    <x v="9"/>
    <n v="4.3005281999999999E-2"/>
  </r>
  <r>
    <x v="0"/>
    <x v="16"/>
    <x v="62"/>
    <x v="22"/>
    <x v="57"/>
    <x v="9"/>
    <n v="4.3005281999999999E-2"/>
  </r>
  <r>
    <x v="0"/>
    <x v="16"/>
    <x v="62"/>
    <x v="23"/>
    <x v="57"/>
    <x v="9"/>
    <n v="1"/>
  </r>
  <r>
    <x v="0"/>
    <x v="16"/>
    <x v="62"/>
    <x v="24"/>
    <x v="57"/>
    <x v="9"/>
    <n v="4.3005281999999999E-2"/>
  </r>
  <r>
    <x v="0"/>
    <x v="16"/>
    <x v="62"/>
    <x v="25"/>
    <x v="57"/>
    <x v="9"/>
    <n v="4.3005281999999999E-2"/>
  </r>
  <r>
    <x v="0"/>
    <x v="16"/>
    <x v="62"/>
    <x v="26"/>
    <x v="57"/>
    <x v="9"/>
    <n v="1"/>
  </r>
  <r>
    <x v="0"/>
    <x v="16"/>
    <x v="62"/>
    <x v="27"/>
    <x v="57"/>
    <x v="9"/>
    <n v="4.3005281999999999E-2"/>
  </r>
  <r>
    <x v="0"/>
    <x v="16"/>
    <x v="62"/>
    <x v="28"/>
    <x v="57"/>
    <x v="9"/>
    <n v="1"/>
  </r>
  <r>
    <x v="0"/>
    <x v="16"/>
    <x v="62"/>
    <x v="29"/>
    <x v="57"/>
    <x v="9"/>
    <n v="4.3005281999999999E-2"/>
  </r>
  <r>
    <x v="0"/>
    <x v="16"/>
    <x v="62"/>
    <x v="30"/>
    <x v="57"/>
    <x v="9"/>
    <n v="4.3005281999999999E-2"/>
  </r>
  <r>
    <x v="0"/>
    <x v="16"/>
    <x v="62"/>
    <x v="31"/>
    <x v="57"/>
    <x v="9"/>
    <n v="4.3005281999999999E-2"/>
  </r>
  <r>
    <x v="0"/>
    <x v="16"/>
    <x v="62"/>
    <x v="32"/>
    <x v="57"/>
    <x v="9"/>
    <n v="4.3005281999999999E-2"/>
  </r>
  <r>
    <x v="0"/>
    <x v="16"/>
    <x v="62"/>
    <x v="33"/>
    <x v="57"/>
    <x v="9"/>
    <n v="1"/>
  </r>
  <r>
    <x v="0"/>
    <x v="16"/>
    <x v="62"/>
    <x v="34"/>
    <x v="57"/>
    <x v="9"/>
    <n v="4.3005281999999999E-2"/>
  </r>
  <r>
    <x v="0"/>
    <x v="16"/>
    <x v="62"/>
    <x v="35"/>
    <x v="57"/>
    <x v="9"/>
    <n v="4.3005281999999999E-2"/>
  </r>
  <r>
    <x v="0"/>
    <x v="16"/>
    <x v="62"/>
    <x v="36"/>
    <x v="57"/>
    <x v="9"/>
    <n v="4.3005281999999999E-2"/>
  </r>
  <r>
    <x v="0"/>
    <x v="16"/>
    <x v="62"/>
    <x v="37"/>
    <x v="57"/>
    <x v="9"/>
    <n v="4.3005281999999999E-2"/>
  </r>
  <r>
    <x v="0"/>
    <x v="16"/>
    <x v="62"/>
    <x v="38"/>
    <x v="57"/>
    <x v="9"/>
    <n v="4.3005281999999999E-2"/>
  </r>
  <r>
    <x v="0"/>
    <x v="16"/>
    <x v="62"/>
    <x v="39"/>
    <x v="57"/>
    <x v="9"/>
    <n v="4.3005281999999999E-2"/>
  </r>
  <r>
    <x v="0"/>
    <x v="16"/>
    <x v="62"/>
    <x v="40"/>
    <x v="57"/>
    <x v="9"/>
    <n v="4.3005281999999999E-2"/>
  </r>
  <r>
    <x v="0"/>
    <x v="16"/>
    <x v="62"/>
    <x v="41"/>
    <x v="57"/>
    <x v="9"/>
    <n v="4.3005281999999999E-2"/>
  </r>
  <r>
    <x v="0"/>
    <x v="16"/>
    <x v="63"/>
    <x v="0"/>
    <x v="57"/>
    <x v="9"/>
    <n v="5.1833971E-2"/>
  </r>
  <r>
    <x v="0"/>
    <x v="16"/>
    <x v="63"/>
    <x v="1"/>
    <x v="57"/>
    <x v="9"/>
    <n v="3.4073208000000001E-2"/>
  </r>
  <r>
    <x v="0"/>
    <x v="16"/>
    <x v="63"/>
    <x v="2"/>
    <x v="57"/>
    <x v="9"/>
    <n v="2.9214861000000002E-2"/>
  </r>
  <r>
    <x v="0"/>
    <x v="16"/>
    <x v="63"/>
    <x v="3"/>
    <x v="57"/>
    <x v="9"/>
    <n v="3.2898402E-2"/>
  </r>
  <r>
    <x v="0"/>
    <x v="16"/>
    <x v="63"/>
    <x v="4"/>
    <x v="57"/>
    <x v="9"/>
    <n v="3.1057063999999999E-2"/>
  </r>
  <r>
    <x v="0"/>
    <x v="16"/>
    <x v="63"/>
    <x v="5"/>
    <x v="57"/>
    <x v="9"/>
    <n v="3.4167449000000003E-2"/>
  </r>
  <r>
    <x v="0"/>
    <x v="16"/>
    <x v="63"/>
    <x v="6"/>
    <x v="57"/>
    <x v="9"/>
    <n v="3.2418118000000003E-2"/>
  </r>
  <r>
    <x v="0"/>
    <x v="16"/>
    <x v="63"/>
    <x v="7"/>
    <x v="57"/>
    <x v="9"/>
    <n v="3.3387792999999999E-2"/>
  </r>
  <r>
    <x v="0"/>
    <x v="16"/>
    <x v="63"/>
    <x v="8"/>
    <x v="57"/>
    <x v="9"/>
    <n v="3.2177599000000001E-2"/>
  </r>
  <r>
    <x v="0"/>
    <x v="16"/>
    <x v="63"/>
    <x v="9"/>
    <x v="57"/>
    <x v="9"/>
    <n v="2.8280467E-2"/>
  </r>
  <r>
    <x v="0"/>
    <x v="16"/>
    <x v="63"/>
    <x v="10"/>
    <x v="57"/>
    <x v="9"/>
    <n v="2.2653348E-2"/>
  </r>
  <r>
    <x v="0"/>
    <x v="16"/>
    <x v="63"/>
    <x v="11"/>
    <x v="57"/>
    <x v="9"/>
    <n v="2.6463226999999999E-2"/>
  </r>
  <r>
    <x v="0"/>
    <x v="16"/>
    <x v="63"/>
    <x v="12"/>
    <x v="57"/>
    <x v="9"/>
    <n v="2.8472503E-2"/>
  </r>
  <r>
    <x v="0"/>
    <x v="16"/>
    <x v="63"/>
    <x v="13"/>
    <x v="57"/>
    <x v="9"/>
    <n v="2.4372926999999999E-2"/>
  </r>
  <r>
    <x v="0"/>
    <x v="16"/>
    <x v="63"/>
    <x v="14"/>
    <x v="57"/>
    <x v="9"/>
    <n v="2.6130743000000001E-2"/>
  </r>
  <r>
    <x v="0"/>
    <x v="16"/>
    <x v="63"/>
    <x v="15"/>
    <x v="57"/>
    <x v="9"/>
    <n v="2.9273726E-2"/>
  </r>
  <r>
    <x v="0"/>
    <x v="16"/>
    <x v="63"/>
    <x v="16"/>
    <x v="57"/>
    <x v="9"/>
    <n v="3.0192881000000001E-2"/>
  </r>
  <r>
    <x v="0"/>
    <x v="16"/>
    <x v="63"/>
    <x v="17"/>
    <x v="57"/>
    <x v="9"/>
    <n v="2.9243002000000001E-2"/>
  </r>
  <r>
    <x v="0"/>
    <x v="16"/>
    <x v="63"/>
    <x v="18"/>
    <x v="57"/>
    <x v="9"/>
    <n v="2.6646875E-2"/>
  </r>
  <r>
    <x v="0"/>
    <x v="16"/>
    <x v="63"/>
    <x v="19"/>
    <x v="57"/>
    <x v="9"/>
    <n v="3.1471902000000003E-2"/>
  </r>
  <r>
    <x v="0"/>
    <x v="16"/>
    <x v="63"/>
    <x v="20"/>
    <x v="57"/>
    <x v="9"/>
    <n v="3.0776326E-2"/>
  </r>
  <r>
    <x v="0"/>
    <x v="16"/>
    <x v="63"/>
    <x v="21"/>
    <x v="57"/>
    <x v="9"/>
    <n v="2.8449808E-2"/>
  </r>
  <r>
    <x v="0"/>
    <x v="16"/>
    <x v="63"/>
    <x v="22"/>
    <x v="57"/>
    <x v="9"/>
    <n v="1.5574049E-2"/>
  </r>
  <r>
    <x v="0"/>
    <x v="16"/>
    <x v="63"/>
    <x v="23"/>
    <x v="57"/>
    <x v="9"/>
    <n v="1"/>
  </r>
  <r>
    <x v="0"/>
    <x v="16"/>
    <x v="63"/>
    <x v="24"/>
    <x v="57"/>
    <x v="9"/>
    <n v="2.4547097E-2"/>
  </r>
  <r>
    <x v="0"/>
    <x v="16"/>
    <x v="63"/>
    <x v="25"/>
    <x v="57"/>
    <x v="9"/>
    <n v="1"/>
  </r>
  <r>
    <x v="0"/>
    <x v="16"/>
    <x v="63"/>
    <x v="26"/>
    <x v="57"/>
    <x v="9"/>
    <n v="1"/>
  </r>
  <r>
    <x v="0"/>
    <x v="16"/>
    <x v="63"/>
    <x v="27"/>
    <x v="57"/>
    <x v="9"/>
    <n v="3.2760855999999998E-2"/>
  </r>
  <r>
    <x v="0"/>
    <x v="16"/>
    <x v="63"/>
    <x v="28"/>
    <x v="57"/>
    <x v="9"/>
    <n v="3.3585815999999998E-2"/>
  </r>
  <r>
    <x v="0"/>
    <x v="16"/>
    <x v="63"/>
    <x v="29"/>
    <x v="57"/>
    <x v="9"/>
    <n v="2.8745716000000001E-2"/>
  </r>
  <r>
    <x v="0"/>
    <x v="16"/>
    <x v="63"/>
    <x v="30"/>
    <x v="57"/>
    <x v="9"/>
    <n v="3.9919543000000002E-2"/>
  </r>
  <r>
    <x v="0"/>
    <x v="16"/>
    <x v="63"/>
    <x v="31"/>
    <x v="57"/>
    <x v="9"/>
    <n v="2.6800587000000001E-2"/>
  </r>
  <r>
    <x v="0"/>
    <x v="16"/>
    <x v="63"/>
    <x v="32"/>
    <x v="57"/>
    <x v="9"/>
    <n v="2.8264325E-2"/>
  </r>
  <r>
    <x v="0"/>
    <x v="16"/>
    <x v="63"/>
    <x v="33"/>
    <x v="57"/>
    <x v="9"/>
    <n v="1"/>
  </r>
  <r>
    <x v="0"/>
    <x v="16"/>
    <x v="63"/>
    <x v="34"/>
    <x v="57"/>
    <x v="9"/>
    <n v="2.9404801000000001E-2"/>
  </r>
  <r>
    <x v="0"/>
    <x v="16"/>
    <x v="63"/>
    <x v="35"/>
    <x v="57"/>
    <x v="9"/>
    <n v="2.9581355E-2"/>
  </r>
  <r>
    <x v="0"/>
    <x v="16"/>
    <x v="63"/>
    <x v="36"/>
    <x v="57"/>
    <x v="9"/>
    <n v="3.0647521E-2"/>
  </r>
  <r>
    <x v="0"/>
    <x v="16"/>
    <x v="63"/>
    <x v="37"/>
    <x v="57"/>
    <x v="9"/>
    <n v="3.9304114000000001E-2"/>
  </r>
  <r>
    <x v="0"/>
    <x v="16"/>
    <x v="63"/>
    <x v="38"/>
    <x v="57"/>
    <x v="9"/>
    <n v="4.9298732999999997E-2"/>
  </r>
  <r>
    <x v="0"/>
    <x v="16"/>
    <x v="63"/>
    <x v="39"/>
    <x v="57"/>
    <x v="9"/>
    <n v="3.7223865000000002E-2"/>
  </r>
  <r>
    <x v="0"/>
    <x v="16"/>
    <x v="63"/>
    <x v="40"/>
    <x v="57"/>
    <x v="9"/>
    <n v="3.6224180000000002E-2"/>
  </r>
  <r>
    <x v="0"/>
    <x v="16"/>
    <x v="63"/>
    <x v="41"/>
    <x v="57"/>
    <x v="9"/>
    <n v="4.0667135E-2"/>
  </r>
  <r>
    <x v="0"/>
    <x v="16"/>
    <x v="64"/>
    <x v="0"/>
    <x v="57"/>
    <x v="10"/>
    <n v="0"/>
  </r>
  <r>
    <x v="0"/>
    <x v="16"/>
    <x v="64"/>
    <x v="1"/>
    <x v="57"/>
    <x v="10"/>
    <n v="0"/>
  </r>
  <r>
    <x v="0"/>
    <x v="16"/>
    <x v="64"/>
    <x v="2"/>
    <x v="57"/>
    <x v="10"/>
    <n v="0"/>
  </r>
  <r>
    <x v="0"/>
    <x v="16"/>
    <x v="64"/>
    <x v="3"/>
    <x v="57"/>
    <x v="10"/>
    <n v="0"/>
  </r>
  <r>
    <x v="0"/>
    <x v="16"/>
    <x v="64"/>
    <x v="4"/>
    <x v="57"/>
    <x v="10"/>
    <n v="0"/>
  </r>
  <r>
    <x v="0"/>
    <x v="16"/>
    <x v="64"/>
    <x v="5"/>
    <x v="57"/>
    <x v="10"/>
    <n v="0"/>
  </r>
  <r>
    <x v="0"/>
    <x v="16"/>
    <x v="64"/>
    <x v="6"/>
    <x v="57"/>
    <x v="10"/>
    <n v="0"/>
  </r>
  <r>
    <x v="0"/>
    <x v="16"/>
    <x v="64"/>
    <x v="7"/>
    <x v="57"/>
    <x v="10"/>
    <n v="0"/>
  </r>
  <r>
    <x v="0"/>
    <x v="16"/>
    <x v="64"/>
    <x v="8"/>
    <x v="57"/>
    <x v="10"/>
    <n v="0"/>
  </r>
  <r>
    <x v="0"/>
    <x v="16"/>
    <x v="64"/>
    <x v="9"/>
    <x v="57"/>
    <x v="10"/>
    <n v="0"/>
  </r>
  <r>
    <x v="0"/>
    <x v="16"/>
    <x v="64"/>
    <x v="10"/>
    <x v="57"/>
    <x v="10"/>
    <n v="0"/>
  </r>
  <r>
    <x v="0"/>
    <x v="16"/>
    <x v="64"/>
    <x v="11"/>
    <x v="57"/>
    <x v="10"/>
    <n v="0"/>
  </r>
  <r>
    <x v="0"/>
    <x v="16"/>
    <x v="64"/>
    <x v="12"/>
    <x v="57"/>
    <x v="10"/>
    <n v="0"/>
  </r>
  <r>
    <x v="0"/>
    <x v="16"/>
    <x v="64"/>
    <x v="13"/>
    <x v="57"/>
    <x v="10"/>
    <n v="0"/>
  </r>
  <r>
    <x v="0"/>
    <x v="16"/>
    <x v="64"/>
    <x v="14"/>
    <x v="57"/>
    <x v="10"/>
    <n v="0"/>
  </r>
  <r>
    <x v="0"/>
    <x v="16"/>
    <x v="64"/>
    <x v="15"/>
    <x v="57"/>
    <x v="10"/>
    <n v="0"/>
  </r>
  <r>
    <x v="0"/>
    <x v="16"/>
    <x v="64"/>
    <x v="16"/>
    <x v="57"/>
    <x v="10"/>
    <n v="0"/>
  </r>
  <r>
    <x v="0"/>
    <x v="16"/>
    <x v="64"/>
    <x v="17"/>
    <x v="57"/>
    <x v="10"/>
    <n v="0"/>
  </r>
  <r>
    <x v="0"/>
    <x v="16"/>
    <x v="64"/>
    <x v="18"/>
    <x v="57"/>
    <x v="10"/>
    <n v="0"/>
  </r>
  <r>
    <x v="0"/>
    <x v="16"/>
    <x v="64"/>
    <x v="19"/>
    <x v="57"/>
    <x v="10"/>
    <n v="0"/>
  </r>
  <r>
    <x v="0"/>
    <x v="16"/>
    <x v="64"/>
    <x v="20"/>
    <x v="57"/>
    <x v="10"/>
    <n v="0"/>
  </r>
  <r>
    <x v="0"/>
    <x v="16"/>
    <x v="64"/>
    <x v="21"/>
    <x v="57"/>
    <x v="10"/>
    <n v="0"/>
  </r>
  <r>
    <x v="0"/>
    <x v="16"/>
    <x v="64"/>
    <x v="22"/>
    <x v="57"/>
    <x v="10"/>
    <n v="0"/>
  </r>
  <r>
    <x v="0"/>
    <x v="16"/>
    <x v="64"/>
    <x v="23"/>
    <x v="57"/>
    <x v="10"/>
    <n v="0"/>
  </r>
  <r>
    <x v="0"/>
    <x v="16"/>
    <x v="64"/>
    <x v="24"/>
    <x v="57"/>
    <x v="10"/>
    <n v="0"/>
  </r>
  <r>
    <x v="0"/>
    <x v="16"/>
    <x v="64"/>
    <x v="25"/>
    <x v="57"/>
    <x v="10"/>
    <n v="0"/>
  </r>
  <r>
    <x v="0"/>
    <x v="16"/>
    <x v="64"/>
    <x v="26"/>
    <x v="57"/>
    <x v="10"/>
    <n v="0"/>
  </r>
  <r>
    <x v="0"/>
    <x v="16"/>
    <x v="64"/>
    <x v="27"/>
    <x v="57"/>
    <x v="10"/>
    <n v="0"/>
  </r>
  <r>
    <x v="0"/>
    <x v="16"/>
    <x v="64"/>
    <x v="28"/>
    <x v="57"/>
    <x v="10"/>
    <n v="0"/>
  </r>
  <r>
    <x v="0"/>
    <x v="16"/>
    <x v="64"/>
    <x v="29"/>
    <x v="57"/>
    <x v="10"/>
    <n v="0"/>
  </r>
  <r>
    <x v="0"/>
    <x v="16"/>
    <x v="64"/>
    <x v="30"/>
    <x v="57"/>
    <x v="10"/>
    <n v="0"/>
  </r>
  <r>
    <x v="0"/>
    <x v="16"/>
    <x v="64"/>
    <x v="31"/>
    <x v="57"/>
    <x v="10"/>
    <n v="0"/>
  </r>
  <r>
    <x v="0"/>
    <x v="16"/>
    <x v="64"/>
    <x v="32"/>
    <x v="57"/>
    <x v="10"/>
    <n v="0"/>
  </r>
  <r>
    <x v="0"/>
    <x v="16"/>
    <x v="64"/>
    <x v="33"/>
    <x v="57"/>
    <x v="10"/>
    <n v="0"/>
  </r>
  <r>
    <x v="0"/>
    <x v="16"/>
    <x v="64"/>
    <x v="34"/>
    <x v="57"/>
    <x v="10"/>
    <n v="0"/>
  </r>
  <r>
    <x v="0"/>
    <x v="16"/>
    <x v="64"/>
    <x v="35"/>
    <x v="57"/>
    <x v="10"/>
    <n v="0"/>
  </r>
  <r>
    <x v="0"/>
    <x v="16"/>
    <x v="64"/>
    <x v="36"/>
    <x v="57"/>
    <x v="10"/>
    <n v="0"/>
  </r>
  <r>
    <x v="0"/>
    <x v="16"/>
    <x v="64"/>
    <x v="37"/>
    <x v="57"/>
    <x v="10"/>
    <n v="0"/>
  </r>
  <r>
    <x v="0"/>
    <x v="16"/>
    <x v="64"/>
    <x v="38"/>
    <x v="57"/>
    <x v="10"/>
    <n v="0"/>
  </r>
  <r>
    <x v="0"/>
    <x v="16"/>
    <x v="64"/>
    <x v="39"/>
    <x v="57"/>
    <x v="10"/>
    <n v="0"/>
  </r>
  <r>
    <x v="0"/>
    <x v="16"/>
    <x v="64"/>
    <x v="40"/>
    <x v="57"/>
    <x v="10"/>
    <n v="0"/>
  </r>
  <r>
    <x v="0"/>
    <x v="16"/>
    <x v="64"/>
    <x v="41"/>
    <x v="57"/>
    <x v="10"/>
    <n v="0"/>
  </r>
  <r>
    <x v="0"/>
    <x v="16"/>
    <x v="65"/>
    <x v="48"/>
    <x v="58"/>
    <x v="11"/>
    <n v="2041.9496539019999"/>
  </r>
  <r>
    <x v="0"/>
    <x v="16"/>
    <x v="65"/>
    <x v="49"/>
    <x v="58"/>
    <x v="11"/>
    <n v="1975.9647652579999"/>
  </r>
  <r>
    <x v="0"/>
    <x v="16"/>
    <x v="66"/>
    <x v="48"/>
    <x v="58"/>
    <x v="12"/>
    <n v="8.1366197000000001E-2"/>
  </r>
  <r>
    <x v="0"/>
    <x v="16"/>
    <x v="66"/>
    <x v="49"/>
    <x v="58"/>
    <x v="12"/>
    <n v="7.8736876999999997E-2"/>
  </r>
  <r>
    <x v="0"/>
    <x v="17"/>
    <x v="0"/>
    <x v="0"/>
    <x v="0"/>
    <x v="0"/>
    <n v="886.85513730599996"/>
  </r>
  <r>
    <x v="0"/>
    <x v="17"/>
    <x v="1"/>
    <x v="0"/>
    <x v="0"/>
    <x v="1"/>
    <n v="0.10487358300000001"/>
  </r>
  <r>
    <x v="0"/>
    <x v="17"/>
    <x v="2"/>
    <x v="0"/>
    <x v="0"/>
    <x v="1"/>
    <n v="338.85752407199999"/>
  </r>
  <r>
    <x v="0"/>
    <x v="17"/>
    <x v="3"/>
    <x v="0"/>
    <x v="0"/>
    <x v="1"/>
    <n v="0.12707823300000001"/>
  </r>
  <r>
    <x v="0"/>
    <x v="17"/>
    <x v="0"/>
    <x v="1"/>
    <x v="0"/>
    <x v="0"/>
    <n v="288.95636360499998"/>
  </r>
  <r>
    <x v="0"/>
    <x v="17"/>
    <x v="1"/>
    <x v="1"/>
    <x v="0"/>
    <x v="1"/>
    <n v="5.8913882000000001E-2"/>
  </r>
  <r>
    <x v="0"/>
    <x v="17"/>
    <x v="2"/>
    <x v="1"/>
    <x v="0"/>
    <x v="1"/>
    <n v="176.101500066"/>
  </r>
  <r>
    <x v="0"/>
    <x v="17"/>
    <x v="3"/>
    <x v="1"/>
    <x v="0"/>
    <x v="1"/>
    <n v="7.4074736000000002E-2"/>
  </r>
  <r>
    <x v="0"/>
    <x v="17"/>
    <x v="0"/>
    <x v="2"/>
    <x v="0"/>
    <x v="0"/>
    <n v="349.45195731000001"/>
  </r>
  <r>
    <x v="0"/>
    <x v="17"/>
    <x v="1"/>
    <x v="2"/>
    <x v="0"/>
    <x v="1"/>
    <n v="3.7376837000000003E-2"/>
  </r>
  <r>
    <x v="0"/>
    <x v="17"/>
    <x v="2"/>
    <x v="2"/>
    <x v="0"/>
    <x v="1"/>
    <n v="200.297998202"/>
  </r>
  <r>
    <x v="0"/>
    <x v="17"/>
    <x v="3"/>
    <x v="2"/>
    <x v="0"/>
    <x v="1"/>
    <n v="2.5287919999999998E-2"/>
  </r>
  <r>
    <x v="0"/>
    <x v="17"/>
    <x v="0"/>
    <x v="3"/>
    <x v="0"/>
    <x v="0"/>
    <n v="160.31024909499999"/>
  </r>
  <r>
    <x v="0"/>
    <x v="17"/>
    <x v="1"/>
    <x v="3"/>
    <x v="0"/>
    <x v="1"/>
    <n v="4.8736112999999998E-2"/>
  </r>
  <r>
    <x v="0"/>
    <x v="17"/>
    <x v="2"/>
    <x v="3"/>
    <x v="0"/>
    <x v="1"/>
    <n v="109.18633839500001"/>
  </r>
  <r>
    <x v="0"/>
    <x v="17"/>
    <x v="3"/>
    <x v="3"/>
    <x v="0"/>
    <x v="1"/>
    <n v="5.5701644000000002E-2"/>
  </r>
  <r>
    <x v="0"/>
    <x v="17"/>
    <x v="0"/>
    <x v="4"/>
    <x v="0"/>
    <x v="0"/>
    <n v="76.626546796"/>
  </r>
  <r>
    <x v="0"/>
    <x v="17"/>
    <x v="1"/>
    <x v="4"/>
    <x v="0"/>
    <x v="1"/>
    <n v="5.2771670999999999E-2"/>
  </r>
  <r>
    <x v="0"/>
    <x v="17"/>
    <x v="2"/>
    <x v="4"/>
    <x v="0"/>
    <x v="1"/>
    <n v="51.558603513999998"/>
  </r>
  <r>
    <x v="0"/>
    <x v="17"/>
    <x v="3"/>
    <x v="4"/>
    <x v="0"/>
    <x v="1"/>
    <n v="6.5357745999999994E-2"/>
  </r>
  <r>
    <x v="0"/>
    <x v="17"/>
    <x v="0"/>
    <x v="5"/>
    <x v="0"/>
    <x v="0"/>
    <n v="757.11214435299996"/>
  </r>
  <r>
    <x v="0"/>
    <x v="17"/>
    <x v="1"/>
    <x v="5"/>
    <x v="0"/>
    <x v="1"/>
    <n v="7.2080330999999997E-2"/>
  </r>
  <r>
    <x v="0"/>
    <x v="17"/>
    <x v="2"/>
    <x v="5"/>
    <x v="0"/>
    <x v="1"/>
    <n v="632.624674744"/>
  </r>
  <r>
    <x v="0"/>
    <x v="17"/>
    <x v="3"/>
    <x v="5"/>
    <x v="0"/>
    <x v="1"/>
    <n v="4.4848633999999998E-2"/>
  </r>
  <r>
    <x v="0"/>
    <x v="17"/>
    <x v="0"/>
    <x v="6"/>
    <x v="0"/>
    <x v="0"/>
    <n v="259.32426160799997"/>
  </r>
  <r>
    <x v="0"/>
    <x v="17"/>
    <x v="1"/>
    <x v="6"/>
    <x v="0"/>
    <x v="1"/>
    <n v="6.5816568000000006E-2"/>
  </r>
  <r>
    <x v="0"/>
    <x v="17"/>
    <x v="2"/>
    <x v="6"/>
    <x v="0"/>
    <x v="1"/>
    <n v="217.058045865"/>
  </r>
  <r>
    <x v="0"/>
    <x v="17"/>
    <x v="3"/>
    <x v="6"/>
    <x v="0"/>
    <x v="1"/>
    <n v="6.0753285999999997E-2"/>
  </r>
  <r>
    <x v="0"/>
    <x v="17"/>
    <x v="0"/>
    <x v="7"/>
    <x v="0"/>
    <x v="0"/>
    <n v="168.43902720400001"/>
  </r>
  <r>
    <x v="0"/>
    <x v="17"/>
    <x v="1"/>
    <x v="7"/>
    <x v="0"/>
    <x v="1"/>
    <n v="6.3579822999999994E-2"/>
  </r>
  <r>
    <x v="0"/>
    <x v="17"/>
    <x v="2"/>
    <x v="7"/>
    <x v="0"/>
    <x v="1"/>
    <n v="137.00587407500001"/>
  </r>
  <r>
    <x v="0"/>
    <x v="17"/>
    <x v="3"/>
    <x v="7"/>
    <x v="0"/>
    <x v="1"/>
    <n v="7.1785372E-2"/>
  </r>
  <r>
    <x v="0"/>
    <x v="17"/>
    <x v="0"/>
    <x v="8"/>
    <x v="0"/>
    <x v="0"/>
    <n v="112.948796143"/>
  </r>
  <r>
    <x v="0"/>
    <x v="17"/>
    <x v="1"/>
    <x v="8"/>
    <x v="0"/>
    <x v="1"/>
    <n v="6.0263843999999997E-2"/>
  </r>
  <r>
    <x v="0"/>
    <x v="17"/>
    <x v="2"/>
    <x v="8"/>
    <x v="0"/>
    <x v="1"/>
    <n v="92.227105949999995"/>
  </r>
  <r>
    <x v="0"/>
    <x v="17"/>
    <x v="3"/>
    <x v="8"/>
    <x v="0"/>
    <x v="1"/>
    <n v="5.8194316000000003E-2"/>
  </r>
  <r>
    <x v="0"/>
    <x v="17"/>
    <x v="0"/>
    <x v="9"/>
    <x v="0"/>
    <x v="0"/>
    <n v="317.02970796400001"/>
  </r>
  <r>
    <x v="0"/>
    <x v="17"/>
    <x v="1"/>
    <x v="9"/>
    <x v="0"/>
    <x v="1"/>
    <n v="5.3970440000000001E-2"/>
  </r>
  <r>
    <x v="0"/>
    <x v="17"/>
    <x v="2"/>
    <x v="9"/>
    <x v="0"/>
    <x v="1"/>
    <n v="253.864446203"/>
  </r>
  <r>
    <x v="0"/>
    <x v="17"/>
    <x v="3"/>
    <x v="9"/>
    <x v="0"/>
    <x v="1"/>
    <n v="6.2521473999999994E-2"/>
  </r>
  <r>
    <x v="0"/>
    <x v="17"/>
    <x v="0"/>
    <x v="10"/>
    <x v="0"/>
    <x v="0"/>
    <n v="465.56505453199998"/>
  </r>
  <r>
    <x v="0"/>
    <x v="17"/>
    <x v="1"/>
    <x v="10"/>
    <x v="0"/>
    <x v="1"/>
    <n v="3.8718477000000001E-2"/>
  </r>
  <r>
    <x v="0"/>
    <x v="17"/>
    <x v="2"/>
    <x v="10"/>
    <x v="0"/>
    <x v="1"/>
    <n v="426.47685861000002"/>
  </r>
  <r>
    <x v="0"/>
    <x v="17"/>
    <x v="3"/>
    <x v="10"/>
    <x v="0"/>
    <x v="1"/>
    <n v="4.4644757E-2"/>
  </r>
  <r>
    <x v="0"/>
    <x v="17"/>
    <x v="0"/>
    <x v="11"/>
    <x v="0"/>
    <x v="0"/>
    <n v="1243.383911567"/>
  </r>
  <r>
    <x v="0"/>
    <x v="17"/>
    <x v="1"/>
    <x v="11"/>
    <x v="0"/>
    <x v="1"/>
    <n v="4.7895558999999997E-2"/>
  </r>
  <r>
    <x v="0"/>
    <x v="17"/>
    <x v="2"/>
    <x v="11"/>
    <x v="0"/>
    <x v="1"/>
    <n v="1044.7725282429999"/>
  </r>
  <r>
    <x v="0"/>
    <x v="17"/>
    <x v="3"/>
    <x v="11"/>
    <x v="0"/>
    <x v="1"/>
    <n v="4.0665776000000001E-2"/>
  </r>
  <r>
    <x v="0"/>
    <x v="17"/>
    <x v="0"/>
    <x v="12"/>
    <x v="0"/>
    <x v="0"/>
    <n v="292.05787852600002"/>
  </r>
  <r>
    <x v="0"/>
    <x v="17"/>
    <x v="1"/>
    <x v="12"/>
    <x v="0"/>
    <x v="1"/>
    <n v="4.8441497E-2"/>
  </r>
  <r>
    <x v="0"/>
    <x v="17"/>
    <x v="2"/>
    <x v="12"/>
    <x v="0"/>
    <x v="1"/>
    <n v="233.97941416399999"/>
  </r>
  <r>
    <x v="0"/>
    <x v="17"/>
    <x v="3"/>
    <x v="12"/>
    <x v="0"/>
    <x v="1"/>
    <n v="5.3407690000000001E-2"/>
  </r>
  <r>
    <x v="0"/>
    <x v="17"/>
    <x v="0"/>
    <x v="13"/>
    <x v="0"/>
    <x v="0"/>
    <n v="858.53951438900003"/>
  </r>
  <r>
    <x v="0"/>
    <x v="17"/>
    <x v="1"/>
    <x v="13"/>
    <x v="0"/>
    <x v="1"/>
    <n v="3.9815718999999999E-2"/>
  </r>
  <r>
    <x v="0"/>
    <x v="17"/>
    <x v="2"/>
    <x v="13"/>
    <x v="0"/>
    <x v="1"/>
    <n v="728.615921974"/>
  </r>
  <r>
    <x v="0"/>
    <x v="17"/>
    <x v="3"/>
    <x v="13"/>
    <x v="0"/>
    <x v="1"/>
    <n v="3.5186683000000003E-2"/>
  </r>
  <r>
    <x v="0"/>
    <x v="17"/>
    <x v="0"/>
    <x v="14"/>
    <x v="0"/>
    <x v="0"/>
    <n v="238.171209433"/>
  </r>
  <r>
    <x v="0"/>
    <x v="17"/>
    <x v="1"/>
    <x v="14"/>
    <x v="0"/>
    <x v="1"/>
    <n v="4.5387325999999999E-2"/>
  </r>
  <r>
    <x v="0"/>
    <x v="17"/>
    <x v="2"/>
    <x v="14"/>
    <x v="0"/>
    <x v="1"/>
    <n v="198.782924127"/>
  </r>
  <r>
    <x v="0"/>
    <x v="17"/>
    <x v="3"/>
    <x v="14"/>
    <x v="0"/>
    <x v="1"/>
    <n v="5.6905180999999999E-2"/>
  </r>
  <r>
    <x v="0"/>
    <x v="17"/>
    <x v="0"/>
    <x v="15"/>
    <x v="0"/>
    <x v="0"/>
    <n v="258.43379103299998"/>
  </r>
  <r>
    <x v="0"/>
    <x v="17"/>
    <x v="1"/>
    <x v="15"/>
    <x v="0"/>
    <x v="1"/>
    <n v="4.8833372999999999E-2"/>
  </r>
  <r>
    <x v="0"/>
    <x v="17"/>
    <x v="2"/>
    <x v="15"/>
    <x v="0"/>
    <x v="1"/>
    <n v="213.514956775"/>
  </r>
  <r>
    <x v="0"/>
    <x v="17"/>
    <x v="3"/>
    <x v="15"/>
    <x v="0"/>
    <x v="1"/>
    <n v="6.2074322000000001E-2"/>
  </r>
  <r>
    <x v="0"/>
    <x v="17"/>
    <x v="0"/>
    <x v="16"/>
    <x v="0"/>
    <x v="0"/>
    <n v="164.64202700199999"/>
  </r>
  <r>
    <x v="0"/>
    <x v="17"/>
    <x v="1"/>
    <x v="16"/>
    <x v="0"/>
    <x v="1"/>
    <n v="4.9471783999999998E-2"/>
  </r>
  <r>
    <x v="0"/>
    <x v="17"/>
    <x v="2"/>
    <x v="16"/>
    <x v="0"/>
    <x v="1"/>
    <n v="134.54398240800001"/>
  </r>
  <r>
    <x v="0"/>
    <x v="17"/>
    <x v="3"/>
    <x v="16"/>
    <x v="0"/>
    <x v="1"/>
    <n v="6.1301451E-2"/>
  </r>
  <r>
    <x v="0"/>
    <x v="17"/>
    <x v="0"/>
    <x v="17"/>
    <x v="0"/>
    <x v="0"/>
    <n v="387.30626093900003"/>
  </r>
  <r>
    <x v="0"/>
    <x v="17"/>
    <x v="1"/>
    <x v="17"/>
    <x v="0"/>
    <x v="1"/>
    <n v="4.9978506999999998E-2"/>
  </r>
  <r>
    <x v="0"/>
    <x v="17"/>
    <x v="2"/>
    <x v="17"/>
    <x v="0"/>
    <x v="1"/>
    <n v="323.91290390500001"/>
  </r>
  <r>
    <x v="0"/>
    <x v="17"/>
    <x v="3"/>
    <x v="17"/>
    <x v="0"/>
    <x v="1"/>
    <n v="5.9367227000000002E-2"/>
  </r>
  <r>
    <x v="0"/>
    <x v="17"/>
    <x v="0"/>
    <x v="18"/>
    <x v="0"/>
    <x v="0"/>
    <n v="335.79326951500002"/>
  </r>
  <r>
    <x v="0"/>
    <x v="17"/>
    <x v="1"/>
    <x v="18"/>
    <x v="0"/>
    <x v="1"/>
    <n v="4.5438266999999997E-2"/>
  </r>
  <r>
    <x v="0"/>
    <x v="17"/>
    <x v="2"/>
    <x v="18"/>
    <x v="0"/>
    <x v="1"/>
    <n v="288.10383214500001"/>
  </r>
  <r>
    <x v="0"/>
    <x v="17"/>
    <x v="3"/>
    <x v="18"/>
    <x v="0"/>
    <x v="1"/>
    <n v="4.9050019E-2"/>
  </r>
  <r>
    <x v="0"/>
    <x v="17"/>
    <x v="0"/>
    <x v="19"/>
    <x v="0"/>
    <x v="0"/>
    <n v="410.56256138200001"/>
  </r>
  <r>
    <x v="0"/>
    <x v="17"/>
    <x v="1"/>
    <x v="19"/>
    <x v="0"/>
    <x v="1"/>
    <n v="5.0475168000000001E-2"/>
  </r>
  <r>
    <x v="0"/>
    <x v="17"/>
    <x v="2"/>
    <x v="19"/>
    <x v="0"/>
    <x v="1"/>
    <n v="348.00788132399998"/>
  </r>
  <r>
    <x v="0"/>
    <x v="17"/>
    <x v="3"/>
    <x v="19"/>
    <x v="0"/>
    <x v="1"/>
    <n v="6.7064473999999999E-2"/>
  </r>
  <r>
    <x v="0"/>
    <x v="17"/>
    <x v="0"/>
    <x v="20"/>
    <x v="0"/>
    <x v="0"/>
    <n v="56.098943804000001"/>
  </r>
  <r>
    <x v="0"/>
    <x v="17"/>
    <x v="1"/>
    <x v="20"/>
    <x v="0"/>
    <x v="1"/>
    <n v="4.8766535999999999E-2"/>
  </r>
  <r>
    <x v="0"/>
    <x v="17"/>
    <x v="2"/>
    <x v="20"/>
    <x v="0"/>
    <x v="1"/>
    <n v="44.977199945999999"/>
  </r>
  <r>
    <x v="0"/>
    <x v="17"/>
    <x v="3"/>
    <x v="20"/>
    <x v="0"/>
    <x v="1"/>
    <n v="5.5581809000000003E-2"/>
  </r>
  <r>
    <x v="0"/>
    <x v="17"/>
    <x v="0"/>
    <x v="21"/>
    <x v="0"/>
    <x v="0"/>
    <n v="22.629204496"/>
  </r>
  <r>
    <x v="0"/>
    <x v="17"/>
    <x v="1"/>
    <x v="21"/>
    <x v="0"/>
    <x v="1"/>
    <n v="5.5187695000000002E-2"/>
  </r>
  <r>
    <x v="0"/>
    <x v="17"/>
    <x v="2"/>
    <x v="21"/>
    <x v="0"/>
    <x v="1"/>
    <n v="18.533873717999999"/>
  </r>
  <r>
    <x v="0"/>
    <x v="17"/>
    <x v="3"/>
    <x v="21"/>
    <x v="0"/>
    <x v="1"/>
    <n v="6.4062140000000004E-2"/>
  </r>
  <r>
    <x v="0"/>
    <x v="17"/>
    <x v="0"/>
    <x v="22"/>
    <x v="0"/>
    <x v="0"/>
    <n v="97.618749575999999"/>
  </r>
  <r>
    <x v="0"/>
    <x v="17"/>
    <x v="1"/>
    <x v="22"/>
    <x v="0"/>
    <x v="1"/>
    <n v="1.1272178000000001E-2"/>
  </r>
  <r>
    <x v="0"/>
    <x v="17"/>
    <x v="2"/>
    <x v="22"/>
    <x v="0"/>
    <x v="1"/>
    <n v="23.459461334"/>
  </r>
  <r>
    <x v="0"/>
    <x v="17"/>
    <x v="3"/>
    <x v="22"/>
    <x v="0"/>
    <x v="1"/>
    <n v="2.2112659999999999E-3"/>
  </r>
  <r>
    <x v="0"/>
    <x v="17"/>
    <x v="0"/>
    <x v="23"/>
    <x v="0"/>
    <x v="0"/>
    <n v="9.7142125840000002"/>
  </r>
  <r>
    <x v="0"/>
    <x v="17"/>
    <x v="1"/>
    <x v="23"/>
    <x v="0"/>
    <x v="1"/>
    <n v="5.5711803999999997E-2"/>
  </r>
  <r>
    <x v="0"/>
    <x v="17"/>
    <x v="2"/>
    <x v="23"/>
    <x v="0"/>
    <x v="1"/>
    <n v="8.0108632600000007"/>
  </r>
  <r>
    <x v="0"/>
    <x v="17"/>
    <x v="3"/>
    <x v="23"/>
    <x v="0"/>
    <x v="1"/>
    <n v="9.9403064999999999E-2"/>
  </r>
  <r>
    <x v="0"/>
    <x v="17"/>
    <x v="0"/>
    <x v="24"/>
    <x v="0"/>
    <x v="0"/>
    <n v="513.71600866899996"/>
  </r>
  <r>
    <x v="0"/>
    <x v="17"/>
    <x v="1"/>
    <x v="24"/>
    <x v="0"/>
    <x v="1"/>
    <n v="4.2634538E-2"/>
  </r>
  <r>
    <x v="0"/>
    <x v="17"/>
    <x v="2"/>
    <x v="24"/>
    <x v="0"/>
    <x v="1"/>
    <n v="402.89474206699998"/>
  </r>
  <r>
    <x v="0"/>
    <x v="17"/>
    <x v="3"/>
    <x v="24"/>
    <x v="0"/>
    <x v="1"/>
    <n v="3.1593718999999999E-2"/>
  </r>
  <r>
    <x v="0"/>
    <x v="17"/>
    <x v="0"/>
    <x v="25"/>
    <x v="0"/>
    <x v="0"/>
    <n v="27.944143142000001"/>
  </r>
  <r>
    <x v="0"/>
    <x v="17"/>
    <x v="1"/>
    <x v="25"/>
    <x v="0"/>
    <x v="1"/>
    <n v="3.6661270000000003E-2"/>
  </r>
  <r>
    <x v="0"/>
    <x v="17"/>
    <x v="2"/>
    <x v="25"/>
    <x v="0"/>
    <x v="1"/>
    <n v="22.516267996"/>
  </r>
  <r>
    <x v="0"/>
    <x v="17"/>
    <x v="3"/>
    <x v="25"/>
    <x v="0"/>
    <x v="1"/>
    <n v="2.8460723E-2"/>
  </r>
  <r>
    <x v="0"/>
    <x v="17"/>
    <x v="0"/>
    <x v="26"/>
    <x v="0"/>
    <x v="0"/>
    <n v="13.566357206999999"/>
  </r>
  <r>
    <x v="0"/>
    <x v="17"/>
    <x v="1"/>
    <x v="26"/>
    <x v="0"/>
    <x v="1"/>
    <n v="5.3648695000000003E-2"/>
  </r>
  <r>
    <x v="0"/>
    <x v="17"/>
    <x v="2"/>
    <x v="26"/>
    <x v="0"/>
    <x v="1"/>
    <n v="8.0320254559999995"/>
  </r>
  <r>
    <x v="0"/>
    <x v="17"/>
    <x v="3"/>
    <x v="26"/>
    <x v="0"/>
    <x v="1"/>
    <n v="6.1594428E-2"/>
  </r>
  <r>
    <x v="0"/>
    <x v="17"/>
    <x v="0"/>
    <x v="27"/>
    <x v="0"/>
    <x v="0"/>
    <n v="567.74368140800004"/>
  </r>
  <r>
    <x v="0"/>
    <x v="17"/>
    <x v="1"/>
    <x v="27"/>
    <x v="0"/>
    <x v="1"/>
    <n v="5.5617147999999998E-2"/>
  </r>
  <r>
    <x v="0"/>
    <x v="17"/>
    <x v="2"/>
    <x v="27"/>
    <x v="0"/>
    <x v="1"/>
    <n v="437.97199376700001"/>
  </r>
  <r>
    <x v="0"/>
    <x v="17"/>
    <x v="3"/>
    <x v="27"/>
    <x v="0"/>
    <x v="1"/>
    <n v="8.4638882999999998E-2"/>
  </r>
  <r>
    <x v="0"/>
    <x v="17"/>
    <x v="0"/>
    <x v="28"/>
    <x v="0"/>
    <x v="0"/>
    <n v="764.05445570999996"/>
  </r>
  <r>
    <x v="0"/>
    <x v="17"/>
    <x v="1"/>
    <x v="28"/>
    <x v="0"/>
    <x v="1"/>
    <n v="4.4737776E-2"/>
  </r>
  <r>
    <x v="0"/>
    <x v="17"/>
    <x v="2"/>
    <x v="28"/>
    <x v="0"/>
    <x v="1"/>
    <n v="409.074931983"/>
  </r>
  <r>
    <x v="0"/>
    <x v="17"/>
    <x v="3"/>
    <x v="28"/>
    <x v="0"/>
    <x v="1"/>
    <n v="4.4554966000000001E-2"/>
  </r>
  <r>
    <x v="0"/>
    <x v="17"/>
    <x v="0"/>
    <x v="29"/>
    <x v="0"/>
    <x v="0"/>
    <n v="694.36040017899995"/>
  </r>
  <r>
    <x v="0"/>
    <x v="17"/>
    <x v="1"/>
    <x v="29"/>
    <x v="0"/>
    <x v="1"/>
    <n v="4.8982587000000001E-2"/>
  </r>
  <r>
    <x v="0"/>
    <x v="17"/>
    <x v="2"/>
    <x v="29"/>
    <x v="0"/>
    <x v="1"/>
    <n v="445.66672400200002"/>
  </r>
  <r>
    <x v="0"/>
    <x v="17"/>
    <x v="3"/>
    <x v="29"/>
    <x v="0"/>
    <x v="1"/>
    <n v="5.2359534999999999E-2"/>
  </r>
  <r>
    <x v="0"/>
    <x v="17"/>
    <x v="0"/>
    <x v="30"/>
    <x v="0"/>
    <x v="0"/>
    <n v="183.52273551600001"/>
  </r>
  <r>
    <x v="0"/>
    <x v="17"/>
    <x v="1"/>
    <x v="30"/>
    <x v="0"/>
    <x v="1"/>
    <n v="7.6238953999999998E-2"/>
  </r>
  <r>
    <x v="0"/>
    <x v="17"/>
    <x v="2"/>
    <x v="30"/>
    <x v="0"/>
    <x v="1"/>
    <n v="115.270283237"/>
  </r>
  <r>
    <x v="0"/>
    <x v="17"/>
    <x v="3"/>
    <x v="30"/>
    <x v="0"/>
    <x v="1"/>
    <n v="8.8945703000000001E-2"/>
  </r>
  <r>
    <x v="0"/>
    <x v="17"/>
    <x v="0"/>
    <x v="31"/>
    <x v="0"/>
    <x v="0"/>
    <n v="250.54904398900001"/>
  </r>
  <r>
    <x v="0"/>
    <x v="17"/>
    <x v="1"/>
    <x v="31"/>
    <x v="0"/>
    <x v="1"/>
    <n v="3.8384775000000003E-2"/>
  </r>
  <r>
    <x v="0"/>
    <x v="17"/>
    <x v="2"/>
    <x v="31"/>
    <x v="0"/>
    <x v="1"/>
    <n v="137.765435508"/>
  </r>
  <r>
    <x v="0"/>
    <x v="17"/>
    <x v="3"/>
    <x v="31"/>
    <x v="0"/>
    <x v="1"/>
    <n v="2.9330906E-2"/>
  </r>
  <r>
    <x v="0"/>
    <x v="17"/>
    <x v="0"/>
    <x v="32"/>
    <x v="0"/>
    <x v="0"/>
    <n v="801.22414764400003"/>
  </r>
  <r>
    <x v="0"/>
    <x v="17"/>
    <x v="1"/>
    <x v="32"/>
    <x v="0"/>
    <x v="1"/>
    <n v="3.9604430000000003E-2"/>
  </r>
  <r>
    <x v="0"/>
    <x v="17"/>
    <x v="2"/>
    <x v="32"/>
    <x v="0"/>
    <x v="1"/>
    <n v="376.861677886"/>
  </r>
  <r>
    <x v="0"/>
    <x v="17"/>
    <x v="3"/>
    <x v="32"/>
    <x v="0"/>
    <x v="1"/>
    <n v="3.2863816999999997E-2"/>
  </r>
  <r>
    <x v="0"/>
    <x v="17"/>
    <x v="0"/>
    <x v="33"/>
    <x v="0"/>
    <x v="0"/>
    <n v="707.86210099599998"/>
  </r>
  <r>
    <x v="0"/>
    <x v="17"/>
    <x v="1"/>
    <x v="33"/>
    <x v="0"/>
    <x v="1"/>
    <n v="2.3152985000000001E-2"/>
  </r>
  <r>
    <x v="0"/>
    <x v="17"/>
    <x v="2"/>
    <x v="33"/>
    <x v="0"/>
    <x v="1"/>
    <n v="272.729909658"/>
  </r>
  <r>
    <x v="0"/>
    <x v="17"/>
    <x v="3"/>
    <x v="33"/>
    <x v="0"/>
    <x v="1"/>
    <n v="1.0325401E-2"/>
  </r>
  <r>
    <x v="0"/>
    <x v="17"/>
    <x v="0"/>
    <x v="34"/>
    <x v="0"/>
    <x v="0"/>
    <n v="405.70566678099999"/>
  </r>
  <r>
    <x v="0"/>
    <x v="17"/>
    <x v="1"/>
    <x v="34"/>
    <x v="0"/>
    <x v="1"/>
    <n v="5.3072598999999998E-2"/>
  </r>
  <r>
    <x v="0"/>
    <x v="17"/>
    <x v="2"/>
    <x v="34"/>
    <x v="0"/>
    <x v="1"/>
    <n v="286.77086674399999"/>
  </r>
  <r>
    <x v="0"/>
    <x v="17"/>
    <x v="3"/>
    <x v="34"/>
    <x v="0"/>
    <x v="1"/>
    <n v="5.9788031999999998E-2"/>
  </r>
  <r>
    <x v="0"/>
    <x v="17"/>
    <x v="0"/>
    <x v="35"/>
    <x v="0"/>
    <x v="0"/>
    <n v="330.83470819500002"/>
  </r>
  <r>
    <x v="0"/>
    <x v="17"/>
    <x v="1"/>
    <x v="35"/>
    <x v="0"/>
    <x v="1"/>
    <n v="5.5396152999999997E-2"/>
  </r>
  <r>
    <x v="0"/>
    <x v="17"/>
    <x v="2"/>
    <x v="35"/>
    <x v="0"/>
    <x v="1"/>
    <n v="217.20476880300001"/>
  </r>
  <r>
    <x v="0"/>
    <x v="17"/>
    <x v="3"/>
    <x v="35"/>
    <x v="0"/>
    <x v="1"/>
    <n v="6.4487668999999997E-2"/>
  </r>
  <r>
    <x v="0"/>
    <x v="17"/>
    <x v="0"/>
    <x v="36"/>
    <x v="0"/>
    <x v="0"/>
    <n v="119.381724289"/>
  </r>
  <r>
    <x v="0"/>
    <x v="17"/>
    <x v="1"/>
    <x v="36"/>
    <x v="0"/>
    <x v="1"/>
    <n v="6.0329110999999998E-2"/>
  </r>
  <r>
    <x v="0"/>
    <x v="17"/>
    <x v="2"/>
    <x v="36"/>
    <x v="0"/>
    <x v="1"/>
    <n v="70.521596156000001"/>
  </r>
  <r>
    <x v="0"/>
    <x v="17"/>
    <x v="3"/>
    <x v="36"/>
    <x v="0"/>
    <x v="1"/>
    <n v="6.6995052999999999E-2"/>
  </r>
  <r>
    <x v="0"/>
    <x v="17"/>
    <x v="0"/>
    <x v="37"/>
    <x v="0"/>
    <x v="0"/>
    <n v="130.37926826699999"/>
  </r>
  <r>
    <x v="0"/>
    <x v="17"/>
    <x v="1"/>
    <x v="37"/>
    <x v="0"/>
    <x v="1"/>
    <n v="6.8047960000000005E-2"/>
  </r>
  <r>
    <x v="0"/>
    <x v="17"/>
    <x v="2"/>
    <x v="37"/>
    <x v="0"/>
    <x v="1"/>
    <n v="68.522136278999994"/>
  </r>
  <r>
    <x v="0"/>
    <x v="17"/>
    <x v="3"/>
    <x v="37"/>
    <x v="0"/>
    <x v="1"/>
    <n v="8.9444435000000003E-2"/>
  </r>
  <r>
    <x v="0"/>
    <x v="17"/>
    <x v="0"/>
    <x v="38"/>
    <x v="0"/>
    <x v="0"/>
    <n v="429.19229519999999"/>
  </r>
  <r>
    <x v="0"/>
    <x v="17"/>
    <x v="1"/>
    <x v="38"/>
    <x v="0"/>
    <x v="1"/>
    <n v="9.5209358999999993E-2"/>
  </r>
  <r>
    <x v="0"/>
    <x v="17"/>
    <x v="2"/>
    <x v="38"/>
    <x v="0"/>
    <x v="1"/>
    <n v="115.911579691"/>
  </r>
  <r>
    <x v="0"/>
    <x v="17"/>
    <x v="3"/>
    <x v="38"/>
    <x v="0"/>
    <x v="1"/>
    <n v="0.110337956"/>
  </r>
  <r>
    <x v="0"/>
    <x v="17"/>
    <x v="0"/>
    <x v="39"/>
    <x v="0"/>
    <x v="0"/>
    <n v="236.44640252900001"/>
  </r>
  <r>
    <x v="0"/>
    <x v="17"/>
    <x v="1"/>
    <x v="39"/>
    <x v="0"/>
    <x v="1"/>
    <n v="7.3983933000000002E-2"/>
  </r>
  <r>
    <x v="0"/>
    <x v="17"/>
    <x v="2"/>
    <x v="39"/>
    <x v="0"/>
    <x v="1"/>
    <n v="135.326403935"/>
  </r>
  <r>
    <x v="0"/>
    <x v="17"/>
    <x v="3"/>
    <x v="39"/>
    <x v="0"/>
    <x v="1"/>
    <n v="0.107196473"/>
  </r>
  <r>
    <x v="0"/>
    <x v="17"/>
    <x v="0"/>
    <x v="40"/>
    <x v="0"/>
    <x v="0"/>
    <n v="83.652380260000001"/>
  </r>
  <r>
    <x v="0"/>
    <x v="17"/>
    <x v="1"/>
    <x v="40"/>
    <x v="0"/>
    <x v="1"/>
    <n v="6.0389628000000001E-2"/>
  </r>
  <r>
    <x v="0"/>
    <x v="17"/>
    <x v="2"/>
    <x v="40"/>
    <x v="0"/>
    <x v="1"/>
    <n v="44.834072499999998"/>
  </r>
  <r>
    <x v="0"/>
    <x v="17"/>
    <x v="3"/>
    <x v="40"/>
    <x v="0"/>
    <x v="1"/>
    <n v="6.6229303000000003E-2"/>
  </r>
  <r>
    <x v="0"/>
    <x v="17"/>
    <x v="0"/>
    <x v="41"/>
    <x v="0"/>
    <x v="0"/>
    <n v="911.22530546799999"/>
  </r>
  <r>
    <x v="0"/>
    <x v="17"/>
    <x v="1"/>
    <x v="41"/>
    <x v="0"/>
    <x v="1"/>
    <n v="8.8628439000000003E-2"/>
  </r>
  <r>
    <x v="0"/>
    <x v="17"/>
    <x v="2"/>
    <x v="41"/>
    <x v="0"/>
    <x v="1"/>
    <n v="366.69589729099999"/>
  </r>
  <r>
    <x v="0"/>
    <x v="17"/>
    <x v="3"/>
    <x v="41"/>
    <x v="0"/>
    <x v="1"/>
    <n v="0.111706756"/>
  </r>
  <r>
    <x v="0"/>
    <x v="17"/>
    <x v="4"/>
    <x v="0"/>
    <x v="1"/>
    <x v="0"/>
    <n v="295.665174691"/>
  </r>
  <r>
    <x v="0"/>
    <x v="17"/>
    <x v="5"/>
    <x v="0"/>
    <x v="1"/>
    <x v="1"/>
    <n v="1.8176E-5"/>
  </r>
  <r>
    <x v="0"/>
    <x v="17"/>
    <x v="6"/>
    <x v="0"/>
    <x v="1"/>
    <x v="1"/>
    <n v="0.61434237400000002"/>
  </r>
  <r>
    <x v="0"/>
    <x v="17"/>
    <x v="4"/>
    <x v="1"/>
    <x v="1"/>
    <x v="0"/>
    <n v="445.11667443099998"/>
  </r>
  <r>
    <x v="0"/>
    <x v="17"/>
    <x v="5"/>
    <x v="1"/>
    <x v="1"/>
    <x v="1"/>
    <n v="2.3468E-5"/>
  </r>
  <r>
    <x v="0"/>
    <x v="17"/>
    <x v="6"/>
    <x v="1"/>
    <x v="1"/>
    <x v="1"/>
    <n v="0.61434237400000002"/>
  </r>
  <r>
    <x v="0"/>
    <x v="17"/>
    <x v="4"/>
    <x v="2"/>
    <x v="1"/>
    <x v="0"/>
    <n v="707.31646944099998"/>
  </r>
  <r>
    <x v="0"/>
    <x v="17"/>
    <x v="5"/>
    <x v="2"/>
    <x v="1"/>
    <x v="1"/>
    <n v="6.2893999999999998E-5"/>
  </r>
  <r>
    <x v="0"/>
    <x v="17"/>
    <x v="6"/>
    <x v="2"/>
    <x v="1"/>
    <x v="1"/>
    <n v="0.61434237400000002"/>
  </r>
  <r>
    <x v="0"/>
    <x v="17"/>
    <x v="4"/>
    <x v="3"/>
    <x v="1"/>
    <x v="0"/>
    <n v="260.62101648100003"/>
  </r>
  <r>
    <x v="0"/>
    <x v="17"/>
    <x v="5"/>
    <x v="3"/>
    <x v="1"/>
    <x v="1"/>
    <n v="2.0837000000000001E-5"/>
  </r>
  <r>
    <x v="0"/>
    <x v="17"/>
    <x v="6"/>
    <x v="3"/>
    <x v="1"/>
    <x v="1"/>
    <n v="0.61434237400000002"/>
  </r>
  <r>
    <x v="0"/>
    <x v="17"/>
    <x v="4"/>
    <x v="4"/>
    <x v="1"/>
    <x v="0"/>
    <n v="115.90081445"/>
  </r>
  <r>
    <x v="0"/>
    <x v="17"/>
    <x v="5"/>
    <x v="4"/>
    <x v="1"/>
    <x v="1"/>
    <n v="1.9936E-5"/>
  </r>
  <r>
    <x v="0"/>
    <x v="17"/>
    <x v="6"/>
    <x v="4"/>
    <x v="1"/>
    <x v="1"/>
    <n v="0.61434237400000002"/>
  </r>
  <r>
    <x v="0"/>
    <x v="17"/>
    <x v="4"/>
    <x v="5"/>
    <x v="1"/>
    <x v="0"/>
    <n v="857.930574955"/>
  </r>
  <r>
    <x v="0"/>
    <x v="17"/>
    <x v="5"/>
    <x v="5"/>
    <x v="1"/>
    <x v="1"/>
    <n v="9.1730000000000001E-6"/>
  </r>
  <r>
    <x v="0"/>
    <x v="17"/>
    <x v="6"/>
    <x v="5"/>
    <x v="1"/>
    <x v="1"/>
    <n v="0.61434237400000002"/>
  </r>
  <r>
    <x v="0"/>
    <x v="17"/>
    <x v="4"/>
    <x v="6"/>
    <x v="1"/>
    <x v="0"/>
    <n v="264.68247215399998"/>
  </r>
  <r>
    <x v="0"/>
    <x v="17"/>
    <x v="5"/>
    <x v="6"/>
    <x v="1"/>
    <x v="1"/>
    <n v="7.3379999999999999E-6"/>
  </r>
  <r>
    <x v="0"/>
    <x v="17"/>
    <x v="6"/>
    <x v="6"/>
    <x v="1"/>
    <x v="1"/>
    <n v="0.61434237400000002"/>
  </r>
  <r>
    <x v="0"/>
    <x v="17"/>
    <x v="4"/>
    <x v="7"/>
    <x v="1"/>
    <x v="0"/>
    <n v="186.123368124"/>
  </r>
  <r>
    <x v="0"/>
    <x v="17"/>
    <x v="5"/>
    <x v="7"/>
    <x v="1"/>
    <x v="1"/>
    <n v="5.2440000000000001E-6"/>
  </r>
  <r>
    <x v="0"/>
    <x v="17"/>
    <x v="6"/>
    <x v="7"/>
    <x v="1"/>
    <x v="1"/>
    <n v="0.61434237400000002"/>
  </r>
  <r>
    <x v="0"/>
    <x v="17"/>
    <x v="4"/>
    <x v="8"/>
    <x v="1"/>
    <x v="0"/>
    <n v="144.345736711"/>
  </r>
  <r>
    <x v="0"/>
    <x v="17"/>
    <x v="5"/>
    <x v="8"/>
    <x v="1"/>
    <x v="1"/>
    <n v="5.3600000000000004E-6"/>
  </r>
  <r>
    <x v="0"/>
    <x v="17"/>
    <x v="6"/>
    <x v="8"/>
    <x v="1"/>
    <x v="1"/>
    <n v="0.61434237400000002"/>
  </r>
  <r>
    <x v="0"/>
    <x v="17"/>
    <x v="4"/>
    <x v="9"/>
    <x v="1"/>
    <x v="0"/>
    <n v="319.34568510499997"/>
  </r>
  <r>
    <x v="0"/>
    <x v="17"/>
    <x v="5"/>
    <x v="9"/>
    <x v="1"/>
    <x v="1"/>
    <n v="1.5968999999999999E-5"/>
  </r>
  <r>
    <x v="0"/>
    <x v="17"/>
    <x v="6"/>
    <x v="9"/>
    <x v="1"/>
    <x v="1"/>
    <n v="0.61434237400000002"/>
  </r>
  <r>
    <x v="0"/>
    <x v="17"/>
    <x v="4"/>
    <x v="10"/>
    <x v="1"/>
    <x v="0"/>
    <n v="235.50899148799999"/>
  </r>
  <r>
    <x v="0"/>
    <x v="17"/>
    <x v="5"/>
    <x v="10"/>
    <x v="1"/>
    <x v="1"/>
    <n v="1.5835999999999999E-5"/>
  </r>
  <r>
    <x v="0"/>
    <x v="17"/>
    <x v="6"/>
    <x v="10"/>
    <x v="1"/>
    <x v="1"/>
    <n v="0.61434237400000002"/>
  </r>
  <r>
    <x v="0"/>
    <x v="17"/>
    <x v="4"/>
    <x v="11"/>
    <x v="1"/>
    <x v="0"/>
    <n v="1316.415811074"/>
  </r>
  <r>
    <x v="0"/>
    <x v="17"/>
    <x v="5"/>
    <x v="11"/>
    <x v="1"/>
    <x v="1"/>
    <n v="1.2130000000000001E-5"/>
  </r>
  <r>
    <x v="0"/>
    <x v="17"/>
    <x v="6"/>
    <x v="11"/>
    <x v="1"/>
    <x v="1"/>
    <n v="0.61434237400000002"/>
  </r>
  <r>
    <x v="0"/>
    <x v="17"/>
    <x v="4"/>
    <x v="12"/>
    <x v="1"/>
    <x v="0"/>
    <n v="421.03545793199999"/>
  </r>
  <r>
    <x v="0"/>
    <x v="17"/>
    <x v="5"/>
    <x v="12"/>
    <x v="1"/>
    <x v="1"/>
    <n v="5.5520000000000004E-6"/>
  </r>
  <r>
    <x v="0"/>
    <x v="17"/>
    <x v="6"/>
    <x v="12"/>
    <x v="1"/>
    <x v="1"/>
    <n v="0.61434237400000002"/>
  </r>
  <r>
    <x v="0"/>
    <x v="17"/>
    <x v="4"/>
    <x v="13"/>
    <x v="1"/>
    <x v="0"/>
    <n v="1025.3915889299999"/>
  </r>
  <r>
    <x v="0"/>
    <x v="17"/>
    <x v="5"/>
    <x v="13"/>
    <x v="1"/>
    <x v="1"/>
    <n v="6.8970000000000002E-6"/>
  </r>
  <r>
    <x v="0"/>
    <x v="17"/>
    <x v="6"/>
    <x v="13"/>
    <x v="1"/>
    <x v="1"/>
    <n v="0.61434237400000002"/>
  </r>
  <r>
    <x v="0"/>
    <x v="17"/>
    <x v="4"/>
    <x v="14"/>
    <x v="1"/>
    <x v="0"/>
    <n v="254.118568522"/>
  </r>
  <r>
    <x v="0"/>
    <x v="17"/>
    <x v="5"/>
    <x v="14"/>
    <x v="1"/>
    <x v="1"/>
    <n v="7.6990000000000003E-6"/>
  </r>
  <r>
    <x v="0"/>
    <x v="17"/>
    <x v="6"/>
    <x v="14"/>
    <x v="1"/>
    <x v="1"/>
    <n v="0.61434237400000002"/>
  </r>
  <r>
    <x v="0"/>
    <x v="17"/>
    <x v="4"/>
    <x v="15"/>
    <x v="1"/>
    <x v="0"/>
    <n v="295.46258827100002"/>
  </r>
  <r>
    <x v="0"/>
    <x v="17"/>
    <x v="5"/>
    <x v="15"/>
    <x v="1"/>
    <x v="1"/>
    <n v="5.6710000000000004E-6"/>
  </r>
  <r>
    <x v="0"/>
    <x v="17"/>
    <x v="6"/>
    <x v="15"/>
    <x v="1"/>
    <x v="1"/>
    <n v="0.61434237400000002"/>
  </r>
  <r>
    <x v="0"/>
    <x v="17"/>
    <x v="4"/>
    <x v="16"/>
    <x v="1"/>
    <x v="0"/>
    <n v="213.921282569"/>
  </r>
  <r>
    <x v="0"/>
    <x v="17"/>
    <x v="5"/>
    <x v="16"/>
    <x v="1"/>
    <x v="1"/>
    <n v="4.3080000000000001E-6"/>
  </r>
  <r>
    <x v="0"/>
    <x v="17"/>
    <x v="6"/>
    <x v="16"/>
    <x v="1"/>
    <x v="1"/>
    <n v="0.61434237400000002"/>
  </r>
  <r>
    <x v="0"/>
    <x v="17"/>
    <x v="4"/>
    <x v="17"/>
    <x v="1"/>
    <x v="0"/>
    <n v="436.218065475"/>
  </r>
  <r>
    <x v="0"/>
    <x v="17"/>
    <x v="5"/>
    <x v="17"/>
    <x v="1"/>
    <x v="1"/>
    <n v="5.3499999999999996E-6"/>
  </r>
  <r>
    <x v="0"/>
    <x v="17"/>
    <x v="6"/>
    <x v="17"/>
    <x v="1"/>
    <x v="1"/>
    <n v="0.61434237400000002"/>
  </r>
  <r>
    <x v="0"/>
    <x v="17"/>
    <x v="4"/>
    <x v="18"/>
    <x v="1"/>
    <x v="0"/>
    <n v="351.89195603899998"/>
  </r>
  <r>
    <x v="0"/>
    <x v="17"/>
    <x v="5"/>
    <x v="18"/>
    <x v="1"/>
    <x v="1"/>
    <n v="6.071E-6"/>
  </r>
  <r>
    <x v="0"/>
    <x v="17"/>
    <x v="6"/>
    <x v="18"/>
    <x v="1"/>
    <x v="1"/>
    <n v="0.61434237400000002"/>
  </r>
  <r>
    <x v="0"/>
    <x v="17"/>
    <x v="4"/>
    <x v="19"/>
    <x v="1"/>
    <x v="0"/>
    <n v="378.06527259299997"/>
  </r>
  <r>
    <x v="0"/>
    <x v="17"/>
    <x v="5"/>
    <x v="19"/>
    <x v="1"/>
    <x v="1"/>
    <n v="6.2360000000000001E-6"/>
  </r>
  <r>
    <x v="0"/>
    <x v="17"/>
    <x v="6"/>
    <x v="19"/>
    <x v="1"/>
    <x v="1"/>
    <n v="0.61434237400000002"/>
  </r>
  <r>
    <x v="0"/>
    <x v="17"/>
    <x v="4"/>
    <x v="20"/>
    <x v="1"/>
    <x v="0"/>
    <n v="62.8726184"/>
  </r>
  <r>
    <x v="0"/>
    <x v="17"/>
    <x v="5"/>
    <x v="20"/>
    <x v="1"/>
    <x v="1"/>
    <n v="1.3818000000000001E-5"/>
  </r>
  <r>
    <x v="0"/>
    <x v="17"/>
    <x v="6"/>
    <x v="20"/>
    <x v="1"/>
    <x v="1"/>
    <n v="0.61434237400000002"/>
  </r>
  <r>
    <x v="0"/>
    <x v="17"/>
    <x v="4"/>
    <x v="21"/>
    <x v="1"/>
    <x v="0"/>
    <n v="22.016444270000001"/>
  </r>
  <r>
    <x v="0"/>
    <x v="17"/>
    <x v="5"/>
    <x v="21"/>
    <x v="1"/>
    <x v="1"/>
    <n v="1.1591E-5"/>
  </r>
  <r>
    <x v="0"/>
    <x v="17"/>
    <x v="6"/>
    <x v="21"/>
    <x v="1"/>
    <x v="1"/>
    <n v="0.61434237400000002"/>
  </r>
  <r>
    <x v="0"/>
    <x v="17"/>
    <x v="4"/>
    <x v="22"/>
    <x v="1"/>
    <x v="0"/>
    <n v="372.26169459099998"/>
  </r>
  <r>
    <x v="0"/>
    <x v="17"/>
    <x v="5"/>
    <x v="22"/>
    <x v="1"/>
    <x v="1"/>
    <n v="1.4318000000000001E-5"/>
  </r>
  <r>
    <x v="0"/>
    <x v="17"/>
    <x v="6"/>
    <x v="22"/>
    <x v="1"/>
    <x v="1"/>
    <n v="0.61434237400000002"/>
  </r>
  <r>
    <x v="0"/>
    <x v="17"/>
    <x v="4"/>
    <x v="23"/>
    <x v="1"/>
    <x v="0"/>
    <n v="4.3311285799999997"/>
  </r>
  <r>
    <x v="0"/>
    <x v="17"/>
    <x v="5"/>
    <x v="23"/>
    <x v="1"/>
    <x v="1"/>
    <n v="1.772E-5"/>
  </r>
  <r>
    <x v="0"/>
    <x v="17"/>
    <x v="6"/>
    <x v="23"/>
    <x v="1"/>
    <x v="1"/>
    <n v="0.61434237400000002"/>
  </r>
  <r>
    <x v="0"/>
    <x v="17"/>
    <x v="4"/>
    <x v="24"/>
    <x v="1"/>
    <x v="0"/>
    <n v="785.64635846099998"/>
  </r>
  <r>
    <x v="0"/>
    <x v="17"/>
    <x v="5"/>
    <x v="24"/>
    <x v="1"/>
    <x v="1"/>
    <n v="1.1402E-5"/>
  </r>
  <r>
    <x v="0"/>
    <x v="17"/>
    <x v="6"/>
    <x v="24"/>
    <x v="1"/>
    <x v="1"/>
    <n v="0.61434237400000002"/>
  </r>
  <r>
    <x v="0"/>
    <x v="17"/>
    <x v="4"/>
    <x v="25"/>
    <x v="1"/>
    <x v="0"/>
    <n v="42.467181031000003"/>
  </r>
  <r>
    <x v="0"/>
    <x v="17"/>
    <x v="5"/>
    <x v="25"/>
    <x v="1"/>
    <x v="1"/>
    <n v="8.0730000000000005E-6"/>
  </r>
  <r>
    <x v="0"/>
    <x v="17"/>
    <x v="6"/>
    <x v="25"/>
    <x v="1"/>
    <x v="1"/>
    <n v="0.61434237400000002"/>
  </r>
  <r>
    <x v="0"/>
    <x v="17"/>
    <x v="4"/>
    <x v="26"/>
    <x v="1"/>
    <x v="0"/>
    <n v="32.495956747000001"/>
  </r>
  <r>
    <x v="0"/>
    <x v="17"/>
    <x v="5"/>
    <x v="26"/>
    <x v="1"/>
    <x v="1"/>
    <n v="9.1430000000000004E-6"/>
  </r>
  <r>
    <x v="0"/>
    <x v="17"/>
    <x v="6"/>
    <x v="26"/>
    <x v="1"/>
    <x v="1"/>
    <n v="0.61434237400000002"/>
  </r>
  <r>
    <x v="0"/>
    <x v="17"/>
    <x v="4"/>
    <x v="27"/>
    <x v="1"/>
    <x v="0"/>
    <n v="710.64761340500002"/>
  </r>
  <r>
    <x v="0"/>
    <x v="17"/>
    <x v="5"/>
    <x v="27"/>
    <x v="1"/>
    <x v="1"/>
    <n v="3.106E-6"/>
  </r>
  <r>
    <x v="0"/>
    <x v="17"/>
    <x v="6"/>
    <x v="27"/>
    <x v="1"/>
    <x v="1"/>
    <n v="0.61434237400000002"/>
  </r>
  <r>
    <x v="0"/>
    <x v="17"/>
    <x v="4"/>
    <x v="28"/>
    <x v="1"/>
    <x v="0"/>
    <n v="2233.9683647910001"/>
  </r>
  <r>
    <x v="0"/>
    <x v="17"/>
    <x v="5"/>
    <x v="28"/>
    <x v="1"/>
    <x v="1"/>
    <n v="1.3331E-5"/>
  </r>
  <r>
    <x v="0"/>
    <x v="17"/>
    <x v="6"/>
    <x v="28"/>
    <x v="1"/>
    <x v="1"/>
    <n v="0.61434237400000002"/>
  </r>
  <r>
    <x v="0"/>
    <x v="17"/>
    <x v="4"/>
    <x v="29"/>
    <x v="1"/>
    <x v="0"/>
    <n v="1402.4432841729999"/>
  </r>
  <r>
    <x v="0"/>
    <x v="17"/>
    <x v="5"/>
    <x v="29"/>
    <x v="1"/>
    <x v="1"/>
    <n v="1.5835999999999999E-5"/>
  </r>
  <r>
    <x v="0"/>
    <x v="17"/>
    <x v="6"/>
    <x v="29"/>
    <x v="1"/>
    <x v="1"/>
    <n v="0.61434237400000002"/>
  </r>
  <r>
    <x v="0"/>
    <x v="17"/>
    <x v="4"/>
    <x v="30"/>
    <x v="1"/>
    <x v="0"/>
    <n v="254.223483491"/>
  </r>
  <r>
    <x v="0"/>
    <x v="17"/>
    <x v="5"/>
    <x v="30"/>
    <x v="1"/>
    <x v="1"/>
    <n v="1.0377000000000001E-5"/>
  </r>
  <r>
    <x v="0"/>
    <x v="17"/>
    <x v="6"/>
    <x v="30"/>
    <x v="1"/>
    <x v="1"/>
    <n v="0.61434237400000002"/>
  </r>
  <r>
    <x v="0"/>
    <x v="17"/>
    <x v="4"/>
    <x v="31"/>
    <x v="1"/>
    <x v="0"/>
    <n v="834.11617459299998"/>
  </r>
  <r>
    <x v="0"/>
    <x v="17"/>
    <x v="5"/>
    <x v="31"/>
    <x v="1"/>
    <x v="1"/>
    <n v="9.9899999999999992E-6"/>
  </r>
  <r>
    <x v="0"/>
    <x v="17"/>
    <x v="6"/>
    <x v="31"/>
    <x v="1"/>
    <x v="1"/>
    <n v="0.61434237400000002"/>
  </r>
  <r>
    <x v="0"/>
    <x v="17"/>
    <x v="4"/>
    <x v="32"/>
    <x v="1"/>
    <x v="0"/>
    <n v="2656.5754895569999"/>
  </r>
  <r>
    <x v="0"/>
    <x v="17"/>
    <x v="5"/>
    <x v="32"/>
    <x v="1"/>
    <x v="1"/>
    <n v="1.8349E-5"/>
  </r>
  <r>
    <x v="0"/>
    <x v="17"/>
    <x v="6"/>
    <x v="32"/>
    <x v="1"/>
    <x v="1"/>
    <n v="0.61434237400000002"/>
  </r>
  <r>
    <x v="0"/>
    <x v="17"/>
    <x v="4"/>
    <x v="33"/>
    <x v="1"/>
    <x v="0"/>
    <n v="2772.9218704650002"/>
  </r>
  <r>
    <x v="0"/>
    <x v="17"/>
    <x v="5"/>
    <x v="33"/>
    <x v="1"/>
    <x v="1"/>
    <n v="1.6296000000000001E-5"/>
  </r>
  <r>
    <x v="0"/>
    <x v="17"/>
    <x v="6"/>
    <x v="33"/>
    <x v="1"/>
    <x v="1"/>
    <n v="0.61434237400000002"/>
  </r>
  <r>
    <x v="0"/>
    <x v="17"/>
    <x v="4"/>
    <x v="34"/>
    <x v="1"/>
    <x v="0"/>
    <n v="598.96829381999999"/>
  </r>
  <r>
    <x v="0"/>
    <x v="17"/>
    <x v="5"/>
    <x v="34"/>
    <x v="1"/>
    <x v="1"/>
    <n v="1.8383E-5"/>
  </r>
  <r>
    <x v="0"/>
    <x v="17"/>
    <x v="6"/>
    <x v="34"/>
    <x v="1"/>
    <x v="1"/>
    <n v="0.61434237400000002"/>
  </r>
  <r>
    <x v="0"/>
    <x v="17"/>
    <x v="4"/>
    <x v="35"/>
    <x v="1"/>
    <x v="0"/>
    <n v="509.64610958600002"/>
  </r>
  <r>
    <x v="0"/>
    <x v="17"/>
    <x v="5"/>
    <x v="35"/>
    <x v="1"/>
    <x v="1"/>
    <n v="2.3519E-5"/>
  </r>
  <r>
    <x v="0"/>
    <x v="17"/>
    <x v="6"/>
    <x v="35"/>
    <x v="1"/>
    <x v="1"/>
    <n v="0.61434237400000002"/>
  </r>
  <r>
    <x v="0"/>
    <x v="17"/>
    <x v="4"/>
    <x v="36"/>
    <x v="1"/>
    <x v="0"/>
    <n v="178.37074792300001"/>
  </r>
  <r>
    <x v="0"/>
    <x v="17"/>
    <x v="5"/>
    <x v="36"/>
    <x v="1"/>
    <x v="1"/>
    <n v="4.7552999999999997E-5"/>
  </r>
  <r>
    <x v="0"/>
    <x v="17"/>
    <x v="6"/>
    <x v="36"/>
    <x v="1"/>
    <x v="1"/>
    <n v="0.61434237400000002"/>
  </r>
  <r>
    <x v="0"/>
    <x v="17"/>
    <x v="4"/>
    <x v="37"/>
    <x v="1"/>
    <x v="0"/>
    <n v="222.49842260700001"/>
  </r>
  <r>
    <x v="0"/>
    <x v="17"/>
    <x v="5"/>
    <x v="37"/>
    <x v="1"/>
    <x v="1"/>
    <n v="1.1452E-5"/>
  </r>
  <r>
    <x v="0"/>
    <x v="17"/>
    <x v="6"/>
    <x v="37"/>
    <x v="1"/>
    <x v="1"/>
    <n v="0.61434237400000002"/>
  </r>
  <r>
    <x v="0"/>
    <x v="17"/>
    <x v="4"/>
    <x v="38"/>
    <x v="1"/>
    <x v="0"/>
    <n v="411.39322587700002"/>
  </r>
  <r>
    <x v="0"/>
    <x v="17"/>
    <x v="5"/>
    <x v="38"/>
    <x v="1"/>
    <x v="1"/>
    <n v="5.8798000000000002E-5"/>
  </r>
  <r>
    <x v="0"/>
    <x v="17"/>
    <x v="6"/>
    <x v="38"/>
    <x v="1"/>
    <x v="1"/>
    <n v="0.61434237400000002"/>
  </r>
  <r>
    <x v="0"/>
    <x v="17"/>
    <x v="4"/>
    <x v="39"/>
    <x v="1"/>
    <x v="0"/>
    <n v="191.1866766"/>
  </r>
  <r>
    <x v="0"/>
    <x v="17"/>
    <x v="5"/>
    <x v="39"/>
    <x v="1"/>
    <x v="1"/>
    <n v="2.1891000000000001E-5"/>
  </r>
  <r>
    <x v="0"/>
    <x v="17"/>
    <x v="6"/>
    <x v="39"/>
    <x v="1"/>
    <x v="1"/>
    <n v="0.61434237400000002"/>
  </r>
  <r>
    <x v="0"/>
    <x v="17"/>
    <x v="4"/>
    <x v="40"/>
    <x v="1"/>
    <x v="0"/>
    <n v="178.17673297100001"/>
  </r>
  <r>
    <x v="0"/>
    <x v="17"/>
    <x v="5"/>
    <x v="40"/>
    <x v="1"/>
    <x v="1"/>
    <n v="1.9644999999999999E-5"/>
  </r>
  <r>
    <x v="0"/>
    <x v="17"/>
    <x v="6"/>
    <x v="40"/>
    <x v="1"/>
    <x v="1"/>
    <n v="0.61434237400000002"/>
  </r>
  <r>
    <x v="0"/>
    <x v="17"/>
    <x v="4"/>
    <x v="41"/>
    <x v="1"/>
    <x v="0"/>
    <n v="582.01985176899996"/>
  </r>
  <r>
    <x v="0"/>
    <x v="17"/>
    <x v="5"/>
    <x v="41"/>
    <x v="1"/>
    <x v="1"/>
    <n v="1.07577E-4"/>
  </r>
  <r>
    <x v="0"/>
    <x v="17"/>
    <x v="6"/>
    <x v="41"/>
    <x v="1"/>
    <x v="1"/>
    <n v="0.61434237400000002"/>
  </r>
  <r>
    <x v="0"/>
    <x v="17"/>
    <x v="7"/>
    <x v="0"/>
    <x v="2"/>
    <x v="2"/>
    <n v="420.93679386600002"/>
  </r>
  <r>
    <x v="0"/>
    <x v="17"/>
    <x v="7"/>
    <x v="1"/>
    <x v="2"/>
    <x v="2"/>
    <n v="51.575016462000001"/>
  </r>
  <r>
    <x v="0"/>
    <x v="17"/>
    <x v="7"/>
    <x v="2"/>
    <x v="2"/>
    <x v="2"/>
    <n v="23.769923460000001"/>
  </r>
  <r>
    <x v="0"/>
    <x v="17"/>
    <x v="7"/>
    <x v="3"/>
    <x v="2"/>
    <x v="2"/>
    <n v="17.723548549"/>
  </r>
  <r>
    <x v="0"/>
    <x v="17"/>
    <x v="7"/>
    <x v="4"/>
    <x v="2"/>
    <x v="2"/>
    <n v="10.149519765000001"/>
  </r>
  <r>
    <x v="0"/>
    <x v="17"/>
    <x v="7"/>
    <x v="5"/>
    <x v="2"/>
    <x v="2"/>
    <n v="34.997365657000003"/>
  </r>
  <r>
    <x v="0"/>
    <x v="17"/>
    <x v="7"/>
    <x v="6"/>
    <x v="2"/>
    <x v="2"/>
    <n v="15.956021988"/>
  </r>
  <r>
    <x v="0"/>
    <x v="17"/>
    <x v="7"/>
    <x v="7"/>
    <x v="2"/>
    <x v="2"/>
    <n v="13.947819203"/>
  </r>
  <r>
    <x v="0"/>
    <x v="17"/>
    <x v="7"/>
    <x v="8"/>
    <x v="2"/>
    <x v="2"/>
    <n v="7.5044768319999999"/>
  </r>
  <r>
    <x v="0"/>
    <x v="17"/>
    <x v="7"/>
    <x v="9"/>
    <x v="2"/>
    <x v="2"/>
    <n v="24.503381443999999"/>
  </r>
  <r>
    <x v="0"/>
    <x v="17"/>
    <x v="7"/>
    <x v="10"/>
    <x v="2"/>
    <x v="2"/>
    <n v="10.932323286999999"/>
  </r>
  <r>
    <x v="0"/>
    <x v="17"/>
    <x v="7"/>
    <x v="11"/>
    <x v="2"/>
    <x v="2"/>
    <n v="50.744758337"/>
  </r>
  <r>
    <x v="0"/>
    <x v="17"/>
    <x v="7"/>
    <x v="12"/>
    <x v="2"/>
    <x v="2"/>
    <n v="19.353589843999998"/>
  </r>
  <r>
    <x v="0"/>
    <x v="17"/>
    <x v="7"/>
    <x v="13"/>
    <x v="2"/>
    <x v="2"/>
    <n v="28.854380479"/>
  </r>
  <r>
    <x v="0"/>
    <x v="17"/>
    <x v="7"/>
    <x v="14"/>
    <x v="2"/>
    <x v="2"/>
    <n v="13.955375181000001"/>
  </r>
  <r>
    <x v="0"/>
    <x v="17"/>
    <x v="7"/>
    <x v="15"/>
    <x v="2"/>
    <x v="2"/>
    <n v="17.316749583"/>
  </r>
  <r>
    <x v="0"/>
    <x v="17"/>
    <x v="7"/>
    <x v="16"/>
    <x v="2"/>
    <x v="2"/>
    <n v="11.464558079"/>
  </r>
  <r>
    <x v="0"/>
    <x v="17"/>
    <x v="7"/>
    <x v="17"/>
    <x v="2"/>
    <x v="2"/>
    <n v="23.406495837000001"/>
  </r>
  <r>
    <x v="0"/>
    <x v="17"/>
    <x v="7"/>
    <x v="18"/>
    <x v="2"/>
    <x v="2"/>
    <n v="14.630933665000001"/>
  </r>
  <r>
    <x v="0"/>
    <x v="17"/>
    <x v="7"/>
    <x v="19"/>
    <x v="2"/>
    <x v="2"/>
    <n v="25.988592584999999"/>
  </r>
  <r>
    <x v="0"/>
    <x v="17"/>
    <x v="7"/>
    <x v="20"/>
    <x v="2"/>
    <x v="2"/>
    <n v="3.849603278"/>
  </r>
  <r>
    <x v="0"/>
    <x v="17"/>
    <x v="7"/>
    <x v="21"/>
    <x v="2"/>
    <x v="2"/>
    <n v="1.6270540819999999"/>
  </r>
  <r>
    <x v="0"/>
    <x v="17"/>
    <x v="7"/>
    <x v="22"/>
    <x v="2"/>
    <x v="2"/>
    <n v="1.0708109139999999"/>
  </r>
  <r>
    <x v="0"/>
    <x v="17"/>
    <x v="7"/>
    <x v="23"/>
    <x v="2"/>
    <x v="2"/>
    <n v="1.034040211"/>
  </r>
  <r>
    <x v="0"/>
    <x v="17"/>
    <x v="7"/>
    <x v="24"/>
    <x v="2"/>
    <x v="2"/>
    <n v="22.142264391000001"/>
  </r>
  <r>
    <x v="0"/>
    <x v="17"/>
    <x v="7"/>
    <x v="25"/>
    <x v="2"/>
    <x v="2"/>
    <n v="0.98008236699999995"/>
  </r>
  <r>
    <x v="0"/>
    <x v="17"/>
    <x v="7"/>
    <x v="26"/>
    <x v="2"/>
    <x v="2"/>
    <n v="2.1170098519999998"/>
  </r>
  <r>
    <x v="0"/>
    <x v="17"/>
    <x v="7"/>
    <x v="27"/>
    <x v="2"/>
    <x v="2"/>
    <n v="67.512261484999996"/>
  </r>
  <r>
    <x v="0"/>
    <x v="17"/>
    <x v="7"/>
    <x v="28"/>
    <x v="2"/>
    <x v="2"/>
    <n v="99.113906880000002"/>
  </r>
  <r>
    <x v="0"/>
    <x v="17"/>
    <x v="7"/>
    <x v="29"/>
    <x v="2"/>
    <x v="2"/>
    <n v="81.217374949000003"/>
  </r>
  <r>
    <x v="0"/>
    <x v="17"/>
    <x v="7"/>
    <x v="30"/>
    <x v="2"/>
    <x v="2"/>
    <n v="37.236315128000001"/>
  </r>
  <r>
    <x v="0"/>
    <x v="17"/>
    <x v="7"/>
    <x v="31"/>
    <x v="2"/>
    <x v="2"/>
    <n v="20.963816680000001"/>
  </r>
  <r>
    <x v="0"/>
    <x v="17"/>
    <x v="7"/>
    <x v="32"/>
    <x v="2"/>
    <x v="2"/>
    <n v="88.016247958999998"/>
  </r>
  <r>
    <x v="0"/>
    <x v="17"/>
    <x v="7"/>
    <x v="33"/>
    <x v="2"/>
    <x v="2"/>
    <n v="29.007622741999999"/>
  </r>
  <r>
    <x v="0"/>
    <x v="17"/>
    <x v="7"/>
    <x v="34"/>
    <x v="2"/>
    <x v="2"/>
    <n v="44.173243188000001"/>
  </r>
  <r>
    <x v="0"/>
    <x v="17"/>
    <x v="7"/>
    <x v="35"/>
    <x v="2"/>
    <x v="2"/>
    <n v="45.403841909"/>
  </r>
  <r>
    <x v="0"/>
    <x v="17"/>
    <x v="7"/>
    <x v="36"/>
    <x v="2"/>
    <x v="2"/>
    <n v="20.236967285999999"/>
  </r>
  <r>
    <x v="0"/>
    <x v="17"/>
    <x v="7"/>
    <x v="37"/>
    <x v="2"/>
    <x v="2"/>
    <n v="33.928376092000001"/>
  </r>
  <r>
    <x v="0"/>
    <x v="17"/>
    <x v="7"/>
    <x v="38"/>
    <x v="2"/>
    <x v="2"/>
    <n v="210.139604257"/>
  </r>
  <r>
    <x v="0"/>
    <x v="17"/>
    <x v="7"/>
    <x v="39"/>
    <x v="2"/>
    <x v="2"/>
    <n v="65.998720711999994"/>
  </r>
  <r>
    <x v="0"/>
    <x v="17"/>
    <x v="7"/>
    <x v="40"/>
    <x v="2"/>
    <x v="2"/>
    <n v="15.920115023999999"/>
  </r>
  <r>
    <x v="0"/>
    <x v="17"/>
    <x v="7"/>
    <x v="41"/>
    <x v="2"/>
    <x v="2"/>
    <n v="369.46741138700003"/>
  </r>
  <r>
    <x v="0"/>
    <x v="17"/>
    <x v="8"/>
    <x v="0"/>
    <x v="2"/>
    <x v="3"/>
    <n v="8.3886431999999997E-2"/>
  </r>
  <r>
    <x v="0"/>
    <x v="17"/>
    <x v="8"/>
    <x v="1"/>
    <x v="2"/>
    <x v="3"/>
    <n v="8.3886431999999997E-2"/>
  </r>
  <r>
    <x v="0"/>
    <x v="17"/>
    <x v="8"/>
    <x v="2"/>
    <x v="2"/>
    <x v="3"/>
    <n v="8.3886431999999997E-2"/>
  </r>
  <r>
    <x v="0"/>
    <x v="17"/>
    <x v="8"/>
    <x v="3"/>
    <x v="2"/>
    <x v="3"/>
    <n v="8.3886431999999997E-2"/>
  </r>
  <r>
    <x v="0"/>
    <x v="17"/>
    <x v="8"/>
    <x v="4"/>
    <x v="2"/>
    <x v="3"/>
    <n v="8.3886431999999997E-2"/>
  </r>
  <r>
    <x v="0"/>
    <x v="17"/>
    <x v="8"/>
    <x v="5"/>
    <x v="2"/>
    <x v="3"/>
    <n v="8.3886431999999997E-2"/>
  </r>
  <r>
    <x v="0"/>
    <x v="17"/>
    <x v="8"/>
    <x v="6"/>
    <x v="2"/>
    <x v="3"/>
    <n v="8.3886431999999997E-2"/>
  </r>
  <r>
    <x v="0"/>
    <x v="17"/>
    <x v="8"/>
    <x v="7"/>
    <x v="2"/>
    <x v="3"/>
    <n v="8.3886431999999997E-2"/>
  </r>
  <r>
    <x v="0"/>
    <x v="17"/>
    <x v="8"/>
    <x v="8"/>
    <x v="2"/>
    <x v="3"/>
    <n v="8.3886431999999997E-2"/>
  </r>
  <r>
    <x v="0"/>
    <x v="17"/>
    <x v="8"/>
    <x v="9"/>
    <x v="2"/>
    <x v="3"/>
    <n v="8.3886431999999997E-2"/>
  </r>
  <r>
    <x v="0"/>
    <x v="17"/>
    <x v="8"/>
    <x v="10"/>
    <x v="2"/>
    <x v="3"/>
    <n v="8.3886431999999997E-2"/>
  </r>
  <r>
    <x v="0"/>
    <x v="17"/>
    <x v="8"/>
    <x v="11"/>
    <x v="2"/>
    <x v="3"/>
    <n v="8.3886431999999997E-2"/>
  </r>
  <r>
    <x v="0"/>
    <x v="17"/>
    <x v="8"/>
    <x v="12"/>
    <x v="2"/>
    <x v="3"/>
    <n v="8.3886431999999997E-2"/>
  </r>
  <r>
    <x v="0"/>
    <x v="17"/>
    <x v="8"/>
    <x v="13"/>
    <x v="2"/>
    <x v="3"/>
    <n v="8.3886431999999997E-2"/>
  </r>
  <r>
    <x v="0"/>
    <x v="17"/>
    <x v="8"/>
    <x v="14"/>
    <x v="2"/>
    <x v="3"/>
    <n v="8.3886431999999997E-2"/>
  </r>
  <r>
    <x v="0"/>
    <x v="17"/>
    <x v="8"/>
    <x v="15"/>
    <x v="2"/>
    <x v="3"/>
    <n v="8.3886431999999997E-2"/>
  </r>
  <r>
    <x v="0"/>
    <x v="17"/>
    <x v="8"/>
    <x v="16"/>
    <x v="2"/>
    <x v="3"/>
    <n v="8.3886431999999997E-2"/>
  </r>
  <r>
    <x v="0"/>
    <x v="17"/>
    <x v="8"/>
    <x v="17"/>
    <x v="2"/>
    <x v="3"/>
    <n v="8.3886431999999997E-2"/>
  </r>
  <r>
    <x v="0"/>
    <x v="17"/>
    <x v="8"/>
    <x v="18"/>
    <x v="2"/>
    <x v="3"/>
    <n v="8.3886431999999997E-2"/>
  </r>
  <r>
    <x v="0"/>
    <x v="17"/>
    <x v="8"/>
    <x v="19"/>
    <x v="2"/>
    <x v="3"/>
    <n v="8.3886431999999997E-2"/>
  </r>
  <r>
    <x v="0"/>
    <x v="17"/>
    <x v="8"/>
    <x v="20"/>
    <x v="2"/>
    <x v="3"/>
    <n v="8.3886431999999997E-2"/>
  </r>
  <r>
    <x v="0"/>
    <x v="17"/>
    <x v="8"/>
    <x v="21"/>
    <x v="2"/>
    <x v="3"/>
    <n v="8.3886431999999997E-2"/>
  </r>
  <r>
    <x v="0"/>
    <x v="17"/>
    <x v="8"/>
    <x v="22"/>
    <x v="2"/>
    <x v="3"/>
    <n v="8.3886431999999997E-2"/>
  </r>
  <r>
    <x v="0"/>
    <x v="17"/>
    <x v="8"/>
    <x v="23"/>
    <x v="2"/>
    <x v="3"/>
    <n v="8.3886431999999997E-2"/>
  </r>
  <r>
    <x v="0"/>
    <x v="17"/>
    <x v="8"/>
    <x v="24"/>
    <x v="2"/>
    <x v="3"/>
    <n v="8.3886431999999997E-2"/>
  </r>
  <r>
    <x v="0"/>
    <x v="17"/>
    <x v="8"/>
    <x v="25"/>
    <x v="2"/>
    <x v="3"/>
    <n v="8.3886431999999997E-2"/>
  </r>
  <r>
    <x v="0"/>
    <x v="17"/>
    <x v="8"/>
    <x v="26"/>
    <x v="2"/>
    <x v="3"/>
    <n v="8.3886431999999997E-2"/>
  </r>
  <r>
    <x v="0"/>
    <x v="17"/>
    <x v="8"/>
    <x v="27"/>
    <x v="2"/>
    <x v="3"/>
    <n v="8.3886431999999997E-2"/>
  </r>
  <r>
    <x v="0"/>
    <x v="17"/>
    <x v="8"/>
    <x v="28"/>
    <x v="2"/>
    <x v="3"/>
    <n v="8.3886431999999997E-2"/>
  </r>
  <r>
    <x v="0"/>
    <x v="17"/>
    <x v="8"/>
    <x v="29"/>
    <x v="2"/>
    <x v="3"/>
    <n v="8.3886431999999997E-2"/>
  </r>
  <r>
    <x v="0"/>
    <x v="17"/>
    <x v="8"/>
    <x v="30"/>
    <x v="2"/>
    <x v="3"/>
    <n v="8.3886431999999997E-2"/>
  </r>
  <r>
    <x v="0"/>
    <x v="17"/>
    <x v="8"/>
    <x v="31"/>
    <x v="2"/>
    <x v="3"/>
    <n v="8.3886431999999997E-2"/>
  </r>
  <r>
    <x v="0"/>
    <x v="17"/>
    <x v="8"/>
    <x v="32"/>
    <x v="2"/>
    <x v="3"/>
    <n v="8.3886431999999997E-2"/>
  </r>
  <r>
    <x v="0"/>
    <x v="17"/>
    <x v="8"/>
    <x v="33"/>
    <x v="2"/>
    <x v="3"/>
    <n v="8.3886431999999997E-2"/>
  </r>
  <r>
    <x v="0"/>
    <x v="17"/>
    <x v="8"/>
    <x v="34"/>
    <x v="2"/>
    <x v="3"/>
    <n v="8.3886431999999997E-2"/>
  </r>
  <r>
    <x v="0"/>
    <x v="17"/>
    <x v="8"/>
    <x v="35"/>
    <x v="2"/>
    <x v="3"/>
    <n v="8.3886431999999997E-2"/>
  </r>
  <r>
    <x v="0"/>
    <x v="17"/>
    <x v="8"/>
    <x v="36"/>
    <x v="2"/>
    <x v="3"/>
    <n v="8.3886431999999997E-2"/>
  </r>
  <r>
    <x v="0"/>
    <x v="17"/>
    <x v="8"/>
    <x v="37"/>
    <x v="2"/>
    <x v="3"/>
    <n v="8.3886431999999997E-2"/>
  </r>
  <r>
    <x v="0"/>
    <x v="17"/>
    <x v="8"/>
    <x v="38"/>
    <x v="2"/>
    <x v="3"/>
    <n v="8.3886431999999997E-2"/>
  </r>
  <r>
    <x v="0"/>
    <x v="17"/>
    <x v="8"/>
    <x v="39"/>
    <x v="2"/>
    <x v="3"/>
    <n v="8.3886431999999997E-2"/>
  </r>
  <r>
    <x v="0"/>
    <x v="17"/>
    <x v="8"/>
    <x v="40"/>
    <x v="2"/>
    <x v="3"/>
    <n v="8.3886431999999997E-2"/>
  </r>
  <r>
    <x v="0"/>
    <x v="17"/>
    <x v="8"/>
    <x v="41"/>
    <x v="2"/>
    <x v="3"/>
    <n v="8.3886431999999997E-2"/>
  </r>
  <r>
    <x v="0"/>
    <x v="17"/>
    <x v="7"/>
    <x v="0"/>
    <x v="3"/>
    <x v="2"/>
    <n v="422.79102614599998"/>
  </r>
  <r>
    <x v="0"/>
    <x v="17"/>
    <x v="7"/>
    <x v="1"/>
    <x v="3"/>
    <x v="2"/>
    <n v="49.553938264999999"/>
  </r>
  <r>
    <x v="0"/>
    <x v="17"/>
    <x v="7"/>
    <x v="2"/>
    <x v="3"/>
    <x v="2"/>
    <n v="21.351649567999999"/>
  </r>
  <r>
    <x v="0"/>
    <x v="17"/>
    <x v="7"/>
    <x v="3"/>
    <x v="3"/>
    <x v="2"/>
    <n v="16.697274032999999"/>
  </r>
  <r>
    <x v="0"/>
    <x v="17"/>
    <x v="7"/>
    <x v="4"/>
    <x v="3"/>
    <x v="2"/>
    <n v="9.6657266509999999"/>
  </r>
  <r>
    <x v="0"/>
    <x v="17"/>
    <x v="7"/>
    <x v="5"/>
    <x v="3"/>
    <x v="2"/>
    <n v="32.513040947"/>
  </r>
  <r>
    <x v="0"/>
    <x v="17"/>
    <x v="7"/>
    <x v="6"/>
    <x v="3"/>
    <x v="2"/>
    <n v="15.119126978000001"/>
  </r>
  <r>
    <x v="0"/>
    <x v="17"/>
    <x v="7"/>
    <x v="7"/>
    <x v="3"/>
    <x v="2"/>
    <n v="13.370626705999999"/>
  </r>
  <r>
    <x v="0"/>
    <x v="17"/>
    <x v="7"/>
    <x v="8"/>
    <x v="3"/>
    <x v="2"/>
    <n v="7.0902303440000001"/>
  </r>
  <r>
    <x v="0"/>
    <x v="17"/>
    <x v="7"/>
    <x v="9"/>
    <x v="3"/>
    <x v="2"/>
    <n v="23.264068697999999"/>
  </r>
  <r>
    <x v="0"/>
    <x v="17"/>
    <x v="7"/>
    <x v="10"/>
    <x v="3"/>
    <x v="2"/>
    <n v="10.153692249000001"/>
  </r>
  <r>
    <x v="0"/>
    <x v="17"/>
    <x v="7"/>
    <x v="11"/>
    <x v="3"/>
    <x v="2"/>
    <n v="46.857686182999998"/>
  </r>
  <r>
    <x v="0"/>
    <x v="17"/>
    <x v="7"/>
    <x v="12"/>
    <x v="3"/>
    <x v="2"/>
    <n v="18.181690306"/>
  </r>
  <r>
    <x v="0"/>
    <x v="17"/>
    <x v="7"/>
    <x v="13"/>
    <x v="3"/>
    <x v="2"/>
    <n v="26.410549871000001"/>
  </r>
  <r>
    <x v="0"/>
    <x v="17"/>
    <x v="7"/>
    <x v="14"/>
    <x v="3"/>
    <x v="2"/>
    <n v="13.165438866000001"/>
  </r>
  <r>
    <x v="0"/>
    <x v="17"/>
    <x v="7"/>
    <x v="15"/>
    <x v="3"/>
    <x v="2"/>
    <n v="16.432435270999999"/>
  </r>
  <r>
    <x v="0"/>
    <x v="17"/>
    <x v="7"/>
    <x v="16"/>
    <x v="3"/>
    <x v="2"/>
    <n v="10.869769286"/>
  </r>
  <r>
    <x v="0"/>
    <x v="17"/>
    <x v="7"/>
    <x v="17"/>
    <x v="3"/>
    <x v="2"/>
    <n v="22.144120286"/>
  </r>
  <r>
    <x v="0"/>
    <x v="17"/>
    <x v="7"/>
    <x v="18"/>
    <x v="3"/>
    <x v="2"/>
    <n v="13.669506006000001"/>
  </r>
  <r>
    <x v="0"/>
    <x v="17"/>
    <x v="7"/>
    <x v="19"/>
    <x v="3"/>
    <x v="2"/>
    <n v="24.793558373"/>
  </r>
  <r>
    <x v="0"/>
    <x v="17"/>
    <x v="7"/>
    <x v="20"/>
    <x v="3"/>
    <x v="2"/>
    <n v="3.6261056960000002"/>
  </r>
  <r>
    <x v="0"/>
    <x v="17"/>
    <x v="7"/>
    <x v="21"/>
    <x v="3"/>
    <x v="2"/>
    <n v="1.5473294820000001"/>
  </r>
  <r>
    <x v="0"/>
    <x v="17"/>
    <x v="7"/>
    <x v="22"/>
    <x v="3"/>
    <x v="2"/>
    <n v="0.84785585100000005"/>
  </r>
  <r>
    <x v="0"/>
    <x v="17"/>
    <x v="7"/>
    <x v="23"/>
    <x v="3"/>
    <x v="2"/>
    <n v="1.016249476"/>
  </r>
  <r>
    <x v="0"/>
    <x v="17"/>
    <x v="7"/>
    <x v="24"/>
    <x v="3"/>
    <x v="2"/>
    <n v="20.138660180999999"/>
  </r>
  <r>
    <x v="0"/>
    <x v="17"/>
    <x v="7"/>
    <x v="25"/>
    <x v="3"/>
    <x v="2"/>
    <n v="0.88596363199999995"/>
  </r>
  <r>
    <x v="0"/>
    <x v="17"/>
    <x v="7"/>
    <x v="26"/>
    <x v="3"/>
    <x v="2"/>
    <n v="2.0078573300000002"/>
  </r>
  <r>
    <x v="0"/>
    <x v="17"/>
    <x v="7"/>
    <x v="27"/>
    <x v="3"/>
    <x v="2"/>
    <n v="65.510472711000006"/>
  </r>
  <r>
    <x v="0"/>
    <x v="17"/>
    <x v="7"/>
    <x v="28"/>
    <x v="3"/>
    <x v="2"/>
    <n v="92.042107446000003"/>
  </r>
  <r>
    <x v="0"/>
    <x v="17"/>
    <x v="7"/>
    <x v="29"/>
    <x v="3"/>
    <x v="2"/>
    <n v="76.203702831000001"/>
  </r>
  <r>
    <x v="0"/>
    <x v="17"/>
    <x v="7"/>
    <x v="30"/>
    <x v="3"/>
    <x v="2"/>
    <n v="36.271140658999997"/>
  </r>
  <r>
    <x v="0"/>
    <x v="17"/>
    <x v="7"/>
    <x v="31"/>
    <x v="3"/>
    <x v="2"/>
    <n v="18.984071109999999"/>
  </r>
  <r>
    <x v="0"/>
    <x v="17"/>
    <x v="7"/>
    <x v="32"/>
    <x v="3"/>
    <x v="2"/>
    <n v="80.241829174000003"/>
  </r>
  <r>
    <x v="0"/>
    <x v="17"/>
    <x v="7"/>
    <x v="33"/>
    <x v="3"/>
    <x v="2"/>
    <n v="24.813660228"/>
  </r>
  <r>
    <x v="0"/>
    <x v="17"/>
    <x v="7"/>
    <x v="34"/>
    <x v="3"/>
    <x v="2"/>
    <n v="41.812241579000002"/>
  </r>
  <r>
    <x v="0"/>
    <x v="17"/>
    <x v="7"/>
    <x v="35"/>
    <x v="3"/>
    <x v="2"/>
    <n v="43.199844902000002"/>
  </r>
  <r>
    <x v="0"/>
    <x v="17"/>
    <x v="7"/>
    <x v="36"/>
    <x v="3"/>
    <x v="2"/>
    <n v="19.306376525000001"/>
  </r>
  <r>
    <x v="0"/>
    <x v="17"/>
    <x v="7"/>
    <x v="37"/>
    <x v="3"/>
    <x v="2"/>
    <n v="33.063407650999999"/>
  </r>
  <r>
    <x v="0"/>
    <x v="17"/>
    <x v="7"/>
    <x v="38"/>
    <x v="3"/>
    <x v="2"/>
    <n v="208.35966285800001"/>
  </r>
  <r>
    <x v="0"/>
    <x v="17"/>
    <x v="7"/>
    <x v="39"/>
    <x v="3"/>
    <x v="2"/>
    <n v="65.275982131000006"/>
  </r>
  <r>
    <x v="0"/>
    <x v="17"/>
    <x v="7"/>
    <x v="40"/>
    <x v="3"/>
    <x v="2"/>
    <n v="15.175200827999999"/>
  </r>
  <r>
    <x v="0"/>
    <x v="17"/>
    <x v="7"/>
    <x v="41"/>
    <x v="3"/>
    <x v="2"/>
    <n v="366.73545018099998"/>
  </r>
  <r>
    <x v="0"/>
    <x v="17"/>
    <x v="8"/>
    <x v="0"/>
    <x v="3"/>
    <x v="3"/>
    <n v="8.1180315000000003E-2"/>
  </r>
  <r>
    <x v="0"/>
    <x v="17"/>
    <x v="8"/>
    <x v="1"/>
    <x v="3"/>
    <x v="3"/>
    <n v="8.1180315000000003E-2"/>
  </r>
  <r>
    <x v="0"/>
    <x v="17"/>
    <x v="8"/>
    <x v="2"/>
    <x v="3"/>
    <x v="3"/>
    <n v="8.1180315000000003E-2"/>
  </r>
  <r>
    <x v="0"/>
    <x v="17"/>
    <x v="8"/>
    <x v="3"/>
    <x v="3"/>
    <x v="3"/>
    <n v="8.1180315000000003E-2"/>
  </r>
  <r>
    <x v="0"/>
    <x v="17"/>
    <x v="8"/>
    <x v="4"/>
    <x v="3"/>
    <x v="3"/>
    <n v="8.1180315000000003E-2"/>
  </r>
  <r>
    <x v="0"/>
    <x v="17"/>
    <x v="8"/>
    <x v="5"/>
    <x v="3"/>
    <x v="3"/>
    <n v="8.1180315000000003E-2"/>
  </r>
  <r>
    <x v="0"/>
    <x v="17"/>
    <x v="8"/>
    <x v="6"/>
    <x v="3"/>
    <x v="3"/>
    <n v="8.1180315000000003E-2"/>
  </r>
  <r>
    <x v="0"/>
    <x v="17"/>
    <x v="8"/>
    <x v="7"/>
    <x v="3"/>
    <x v="3"/>
    <n v="8.1180315000000003E-2"/>
  </r>
  <r>
    <x v="0"/>
    <x v="17"/>
    <x v="8"/>
    <x v="8"/>
    <x v="3"/>
    <x v="3"/>
    <n v="8.1180315000000003E-2"/>
  </r>
  <r>
    <x v="0"/>
    <x v="17"/>
    <x v="8"/>
    <x v="9"/>
    <x v="3"/>
    <x v="3"/>
    <n v="8.1180315000000003E-2"/>
  </r>
  <r>
    <x v="0"/>
    <x v="17"/>
    <x v="8"/>
    <x v="10"/>
    <x v="3"/>
    <x v="3"/>
    <n v="8.1180315000000003E-2"/>
  </r>
  <r>
    <x v="0"/>
    <x v="17"/>
    <x v="8"/>
    <x v="11"/>
    <x v="3"/>
    <x v="3"/>
    <n v="8.1180315000000003E-2"/>
  </r>
  <r>
    <x v="0"/>
    <x v="17"/>
    <x v="8"/>
    <x v="12"/>
    <x v="3"/>
    <x v="3"/>
    <n v="8.1180315000000003E-2"/>
  </r>
  <r>
    <x v="0"/>
    <x v="17"/>
    <x v="8"/>
    <x v="13"/>
    <x v="3"/>
    <x v="3"/>
    <n v="8.1180315000000003E-2"/>
  </r>
  <r>
    <x v="0"/>
    <x v="17"/>
    <x v="8"/>
    <x v="14"/>
    <x v="3"/>
    <x v="3"/>
    <n v="8.1180315000000003E-2"/>
  </r>
  <r>
    <x v="0"/>
    <x v="17"/>
    <x v="8"/>
    <x v="15"/>
    <x v="3"/>
    <x v="3"/>
    <n v="8.1180315000000003E-2"/>
  </r>
  <r>
    <x v="0"/>
    <x v="17"/>
    <x v="8"/>
    <x v="16"/>
    <x v="3"/>
    <x v="3"/>
    <n v="8.1180315000000003E-2"/>
  </r>
  <r>
    <x v="0"/>
    <x v="17"/>
    <x v="8"/>
    <x v="17"/>
    <x v="3"/>
    <x v="3"/>
    <n v="8.1180315000000003E-2"/>
  </r>
  <r>
    <x v="0"/>
    <x v="17"/>
    <x v="8"/>
    <x v="18"/>
    <x v="3"/>
    <x v="3"/>
    <n v="8.1180315000000003E-2"/>
  </r>
  <r>
    <x v="0"/>
    <x v="17"/>
    <x v="8"/>
    <x v="19"/>
    <x v="3"/>
    <x v="3"/>
    <n v="8.1180315000000003E-2"/>
  </r>
  <r>
    <x v="0"/>
    <x v="17"/>
    <x v="8"/>
    <x v="20"/>
    <x v="3"/>
    <x v="3"/>
    <n v="8.1180315000000003E-2"/>
  </r>
  <r>
    <x v="0"/>
    <x v="17"/>
    <x v="8"/>
    <x v="21"/>
    <x v="3"/>
    <x v="3"/>
    <n v="8.1180315000000003E-2"/>
  </r>
  <r>
    <x v="0"/>
    <x v="17"/>
    <x v="8"/>
    <x v="22"/>
    <x v="3"/>
    <x v="3"/>
    <n v="8.1180315000000003E-2"/>
  </r>
  <r>
    <x v="0"/>
    <x v="17"/>
    <x v="8"/>
    <x v="23"/>
    <x v="3"/>
    <x v="3"/>
    <n v="8.1180315000000003E-2"/>
  </r>
  <r>
    <x v="0"/>
    <x v="17"/>
    <x v="8"/>
    <x v="24"/>
    <x v="3"/>
    <x v="3"/>
    <n v="8.1180315000000003E-2"/>
  </r>
  <r>
    <x v="0"/>
    <x v="17"/>
    <x v="8"/>
    <x v="25"/>
    <x v="3"/>
    <x v="3"/>
    <n v="8.1180315000000003E-2"/>
  </r>
  <r>
    <x v="0"/>
    <x v="17"/>
    <x v="8"/>
    <x v="26"/>
    <x v="3"/>
    <x v="3"/>
    <n v="8.1180315000000003E-2"/>
  </r>
  <r>
    <x v="0"/>
    <x v="17"/>
    <x v="8"/>
    <x v="27"/>
    <x v="3"/>
    <x v="3"/>
    <n v="8.1180315000000003E-2"/>
  </r>
  <r>
    <x v="0"/>
    <x v="17"/>
    <x v="8"/>
    <x v="28"/>
    <x v="3"/>
    <x v="3"/>
    <n v="8.1180315000000003E-2"/>
  </r>
  <r>
    <x v="0"/>
    <x v="17"/>
    <x v="8"/>
    <x v="29"/>
    <x v="3"/>
    <x v="3"/>
    <n v="8.1180315000000003E-2"/>
  </r>
  <r>
    <x v="0"/>
    <x v="17"/>
    <x v="8"/>
    <x v="30"/>
    <x v="3"/>
    <x v="3"/>
    <n v="8.1180315000000003E-2"/>
  </r>
  <r>
    <x v="0"/>
    <x v="17"/>
    <x v="8"/>
    <x v="31"/>
    <x v="3"/>
    <x v="3"/>
    <n v="8.1180315000000003E-2"/>
  </r>
  <r>
    <x v="0"/>
    <x v="17"/>
    <x v="8"/>
    <x v="32"/>
    <x v="3"/>
    <x v="3"/>
    <n v="8.1180315000000003E-2"/>
  </r>
  <r>
    <x v="0"/>
    <x v="17"/>
    <x v="8"/>
    <x v="33"/>
    <x v="3"/>
    <x v="3"/>
    <n v="8.1180315000000003E-2"/>
  </r>
  <r>
    <x v="0"/>
    <x v="17"/>
    <x v="8"/>
    <x v="34"/>
    <x v="3"/>
    <x v="3"/>
    <n v="8.1180315000000003E-2"/>
  </r>
  <r>
    <x v="0"/>
    <x v="17"/>
    <x v="8"/>
    <x v="35"/>
    <x v="3"/>
    <x v="3"/>
    <n v="8.1180315000000003E-2"/>
  </r>
  <r>
    <x v="0"/>
    <x v="17"/>
    <x v="8"/>
    <x v="36"/>
    <x v="3"/>
    <x v="3"/>
    <n v="8.1180315000000003E-2"/>
  </r>
  <r>
    <x v="0"/>
    <x v="17"/>
    <x v="8"/>
    <x v="37"/>
    <x v="3"/>
    <x v="3"/>
    <n v="8.1180315000000003E-2"/>
  </r>
  <r>
    <x v="0"/>
    <x v="17"/>
    <x v="8"/>
    <x v="38"/>
    <x v="3"/>
    <x v="3"/>
    <n v="8.1180315000000003E-2"/>
  </r>
  <r>
    <x v="0"/>
    <x v="17"/>
    <x v="8"/>
    <x v="39"/>
    <x v="3"/>
    <x v="3"/>
    <n v="8.1180315000000003E-2"/>
  </r>
  <r>
    <x v="0"/>
    <x v="17"/>
    <x v="8"/>
    <x v="40"/>
    <x v="3"/>
    <x v="3"/>
    <n v="8.1180315000000003E-2"/>
  </r>
  <r>
    <x v="0"/>
    <x v="17"/>
    <x v="8"/>
    <x v="41"/>
    <x v="3"/>
    <x v="3"/>
    <n v="8.1180315000000003E-2"/>
  </r>
  <r>
    <x v="0"/>
    <x v="17"/>
    <x v="9"/>
    <x v="42"/>
    <x v="4"/>
    <x v="4"/>
    <n v="81.965991900000006"/>
  </r>
  <r>
    <x v="0"/>
    <x v="17"/>
    <x v="9"/>
    <x v="42"/>
    <x v="5"/>
    <x v="4"/>
    <n v="1.1532718479999999"/>
  </r>
  <r>
    <x v="0"/>
    <x v="17"/>
    <x v="9"/>
    <x v="42"/>
    <x v="6"/>
    <x v="4"/>
    <n v="0"/>
  </r>
  <r>
    <x v="0"/>
    <x v="17"/>
    <x v="9"/>
    <x v="42"/>
    <x v="7"/>
    <x v="4"/>
    <n v="0"/>
  </r>
  <r>
    <x v="0"/>
    <x v="17"/>
    <x v="9"/>
    <x v="42"/>
    <x v="8"/>
    <x v="4"/>
    <n v="0"/>
  </r>
  <r>
    <x v="0"/>
    <x v="17"/>
    <x v="9"/>
    <x v="42"/>
    <x v="9"/>
    <x v="4"/>
    <n v="96.792473826000005"/>
  </r>
  <r>
    <x v="0"/>
    <x v="17"/>
    <x v="9"/>
    <x v="42"/>
    <x v="10"/>
    <x v="4"/>
    <n v="2.8879844750000001"/>
  </r>
  <r>
    <x v="0"/>
    <x v="17"/>
    <x v="9"/>
    <x v="42"/>
    <x v="11"/>
    <x v="4"/>
    <n v="17.327332061"/>
  </r>
  <r>
    <x v="0"/>
    <x v="17"/>
    <x v="9"/>
    <x v="42"/>
    <x v="12"/>
    <x v="4"/>
    <n v="2.495896068"/>
  </r>
  <r>
    <x v="0"/>
    <x v="17"/>
    <x v="9"/>
    <x v="42"/>
    <x v="13"/>
    <x v="4"/>
    <n v="3.9898878440000001"/>
  </r>
  <r>
    <x v="0"/>
    <x v="17"/>
    <x v="9"/>
    <x v="42"/>
    <x v="14"/>
    <x v="4"/>
    <n v="3.1363861640000001"/>
  </r>
  <r>
    <x v="0"/>
    <x v="17"/>
    <x v="9"/>
    <x v="42"/>
    <x v="15"/>
    <x v="4"/>
    <n v="13.824400493000001"/>
  </r>
  <r>
    <x v="0"/>
    <x v="17"/>
    <x v="9"/>
    <x v="42"/>
    <x v="16"/>
    <x v="4"/>
    <n v="1.8919572849999999"/>
  </r>
  <r>
    <x v="0"/>
    <x v="17"/>
    <x v="9"/>
    <x v="42"/>
    <x v="17"/>
    <x v="4"/>
    <n v="0"/>
  </r>
  <r>
    <x v="0"/>
    <x v="17"/>
    <x v="9"/>
    <x v="42"/>
    <x v="18"/>
    <x v="4"/>
    <n v="1.157536677"/>
  </r>
  <r>
    <x v="0"/>
    <x v="17"/>
    <x v="9"/>
    <x v="42"/>
    <x v="19"/>
    <x v="4"/>
    <n v="0.59539213499999999"/>
  </r>
  <r>
    <x v="0"/>
    <x v="17"/>
    <x v="9"/>
    <x v="42"/>
    <x v="20"/>
    <x v="4"/>
    <n v="0.151445369"/>
  </r>
  <r>
    <x v="0"/>
    <x v="17"/>
    <x v="9"/>
    <x v="42"/>
    <x v="21"/>
    <x v="4"/>
    <n v="10.2552366"/>
  </r>
  <r>
    <x v="0"/>
    <x v="17"/>
    <x v="9"/>
    <x v="42"/>
    <x v="22"/>
    <x v="4"/>
    <n v="10.943820707"/>
  </r>
  <r>
    <x v="0"/>
    <x v="17"/>
    <x v="9"/>
    <x v="42"/>
    <x v="23"/>
    <x v="4"/>
    <n v="9.8816362550000001"/>
  </r>
  <r>
    <x v="0"/>
    <x v="17"/>
    <x v="9"/>
    <x v="42"/>
    <x v="24"/>
    <x v="4"/>
    <n v="0.71415278999999998"/>
  </r>
  <r>
    <x v="0"/>
    <x v="17"/>
    <x v="9"/>
    <x v="42"/>
    <x v="25"/>
    <x v="4"/>
    <n v="0.77701279899999998"/>
  </r>
  <r>
    <x v="0"/>
    <x v="17"/>
    <x v="9"/>
    <x v="42"/>
    <x v="26"/>
    <x v="4"/>
    <n v="0"/>
  </r>
  <r>
    <x v="0"/>
    <x v="17"/>
    <x v="9"/>
    <x v="42"/>
    <x v="27"/>
    <x v="4"/>
    <n v="0"/>
  </r>
  <r>
    <x v="0"/>
    <x v="17"/>
    <x v="9"/>
    <x v="42"/>
    <x v="28"/>
    <x v="4"/>
    <n v="11.867157062"/>
  </r>
  <r>
    <x v="0"/>
    <x v="17"/>
    <x v="9"/>
    <x v="42"/>
    <x v="29"/>
    <x v="4"/>
    <n v="1.5680839200000001"/>
  </r>
  <r>
    <x v="0"/>
    <x v="17"/>
    <x v="9"/>
    <x v="42"/>
    <x v="30"/>
    <x v="4"/>
    <n v="0.80346786999999997"/>
  </r>
  <r>
    <x v="0"/>
    <x v="17"/>
    <x v="9"/>
    <x v="42"/>
    <x v="31"/>
    <x v="4"/>
    <n v="0"/>
  </r>
  <r>
    <x v="0"/>
    <x v="17"/>
    <x v="9"/>
    <x v="42"/>
    <x v="32"/>
    <x v="4"/>
    <n v="50.446331209"/>
  </r>
  <r>
    <x v="0"/>
    <x v="17"/>
    <x v="9"/>
    <x v="42"/>
    <x v="33"/>
    <x v="4"/>
    <n v="17.046111251999999"/>
  </r>
  <r>
    <x v="0"/>
    <x v="17"/>
    <x v="9"/>
    <x v="42"/>
    <x v="34"/>
    <x v="4"/>
    <n v="4.8576385130000004"/>
  </r>
  <r>
    <x v="0"/>
    <x v="17"/>
    <x v="9"/>
    <x v="42"/>
    <x v="35"/>
    <x v="4"/>
    <n v="23.958159255999998"/>
  </r>
  <r>
    <x v="0"/>
    <x v="17"/>
    <x v="9"/>
    <x v="42"/>
    <x v="36"/>
    <x v="4"/>
    <n v="31.565126505999999"/>
  </r>
  <r>
    <x v="0"/>
    <x v="17"/>
    <x v="9"/>
    <x v="42"/>
    <x v="37"/>
    <x v="4"/>
    <n v="211.905264931"/>
  </r>
  <r>
    <x v="0"/>
    <x v="17"/>
    <x v="9"/>
    <x v="42"/>
    <x v="38"/>
    <x v="4"/>
    <n v="0.642460904"/>
  </r>
  <r>
    <x v="0"/>
    <x v="17"/>
    <x v="9"/>
    <x v="42"/>
    <x v="39"/>
    <x v="4"/>
    <n v="0.30485294699999999"/>
  </r>
  <r>
    <x v="0"/>
    <x v="17"/>
    <x v="9"/>
    <x v="42"/>
    <x v="40"/>
    <x v="4"/>
    <n v="0.471176488"/>
  </r>
  <r>
    <x v="0"/>
    <x v="17"/>
    <x v="9"/>
    <x v="42"/>
    <x v="41"/>
    <x v="4"/>
    <n v="6.1743078059999998"/>
  </r>
  <r>
    <x v="0"/>
    <x v="17"/>
    <x v="9"/>
    <x v="42"/>
    <x v="42"/>
    <x v="4"/>
    <n v="-2.8510353830000001"/>
  </r>
  <r>
    <x v="0"/>
    <x v="17"/>
    <x v="9"/>
    <x v="42"/>
    <x v="43"/>
    <x v="4"/>
    <n v="3.5690944569999998"/>
  </r>
  <r>
    <x v="0"/>
    <x v="17"/>
    <x v="9"/>
    <x v="42"/>
    <x v="44"/>
    <x v="4"/>
    <n v="3.1396201430000001"/>
  </r>
  <r>
    <x v="0"/>
    <x v="17"/>
    <x v="9"/>
    <x v="42"/>
    <x v="45"/>
    <x v="4"/>
    <n v="-5.4956011999999999E-2"/>
  </r>
  <r>
    <x v="0"/>
    <x v="17"/>
    <x v="10"/>
    <x v="42"/>
    <x v="0"/>
    <x v="4"/>
    <n v="0.73731721400000005"/>
  </r>
  <r>
    <x v="0"/>
    <x v="17"/>
    <x v="11"/>
    <x v="42"/>
    <x v="0"/>
    <x v="4"/>
    <n v="17.724898995"/>
  </r>
  <r>
    <x v="0"/>
    <x v="17"/>
    <x v="9"/>
    <x v="43"/>
    <x v="4"/>
    <x v="4"/>
    <n v="144.96141763099999"/>
  </r>
  <r>
    <x v="0"/>
    <x v="17"/>
    <x v="9"/>
    <x v="43"/>
    <x v="5"/>
    <x v="4"/>
    <n v="0.74273960900000002"/>
  </r>
  <r>
    <x v="0"/>
    <x v="17"/>
    <x v="9"/>
    <x v="43"/>
    <x v="6"/>
    <x v="4"/>
    <n v="0"/>
  </r>
  <r>
    <x v="0"/>
    <x v="17"/>
    <x v="9"/>
    <x v="43"/>
    <x v="7"/>
    <x v="4"/>
    <n v="0"/>
  </r>
  <r>
    <x v="0"/>
    <x v="17"/>
    <x v="9"/>
    <x v="43"/>
    <x v="8"/>
    <x v="4"/>
    <n v="0"/>
  </r>
  <r>
    <x v="0"/>
    <x v="17"/>
    <x v="9"/>
    <x v="43"/>
    <x v="9"/>
    <x v="4"/>
    <n v="327.49257452299997"/>
  </r>
  <r>
    <x v="0"/>
    <x v="17"/>
    <x v="9"/>
    <x v="43"/>
    <x v="10"/>
    <x v="4"/>
    <n v="3.1963786989999998"/>
  </r>
  <r>
    <x v="0"/>
    <x v="17"/>
    <x v="9"/>
    <x v="43"/>
    <x v="11"/>
    <x v="4"/>
    <n v="63.311705891999999"/>
  </r>
  <r>
    <x v="0"/>
    <x v="17"/>
    <x v="9"/>
    <x v="43"/>
    <x v="12"/>
    <x v="4"/>
    <n v="5.8865965090000003"/>
  </r>
  <r>
    <x v="0"/>
    <x v="17"/>
    <x v="9"/>
    <x v="43"/>
    <x v="13"/>
    <x v="4"/>
    <n v="11.037698689000001"/>
  </r>
  <r>
    <x v="0"/>
    <x v="17"/>
    <x v="9"/>
    <x v="43"/>
    <x v="14"/>
    <x v="4"/>
    <n v="21.442560790000002"/>
  </r>
  <r>
    <x v="0"/>
    <x v="17"/>
    <x v="9"/>
    <x v="43"/>
    <x v="15"/>
    <x v="4"/>
    <n v="43.124535930999997"/>
  </r>
  <r>
    <x v="0"/>
    <x v="17"/>
    <x v="9"/>
    <x v="43"/>
    <x v="16"/>
    <x v="4"/>
    <n v="2.9127307519999999"/>
  </r>
  <r>
    <x v="0"/>
    <x v="17"/>
    <x v="9"/>
    <x v="43"/>
    <x v="17"/>
    <x v="4"/>
    <n v="0"/>
  </r>
  <r>
    <x v="0"/>
    <x v="17"/>
    <x v="9"/>
    <x v="43"/>
    <x v="18"/>
    <x v="4"/>
    <n v="3.4295122020000002"/>
  </r>
  <r>
    <x v="0"/>
    <x v="17"/>
    <x v="9"/>
    <x v="43"/>
    <x v="19"/>
    <x v="4"/>
    <n v="0.90749084999999996"/>
  </r>
  <r>
    <x v="0"/>
    <x v="17"/>
    <x v="9"/>
    <x v="43"/>
    <x v="20"/>
    <x v="4"/>
    <n v="0.89796834000000003"/>
  </r>
  <r>
    <x v="0"/>
    <x v="17"/>
    <x v="9"/>
    <x v="43"/>
    <x v="21"/>
    <x v="4"/>
    <n v="51.738732083999999"/>
  </r>
  <r>
    <x v="0"/>
    <x v="17"/>
    <x v="9"/>
    <x v="43"/>
    <x v="22"/>
    <x v="4"/>
    <n v="22.662636908"/>
  </r>
  <r>
    <x v="0"/>
    <x v="17"/>
    <x v="9"/>
    <x v="43"/>
    <x v="23"/>
    <x v="4"/>
    <n v="24.205463043000002"/>
  </r>
  <r>
    <x v="0"/>
    <x v="17"/>
    <x v="9"/>
    <x v="43"/>
    <x v="24"/>
    <x v="4"/>
    <n v="1.1721696180000001"/>
  </r>
  <r>
    <x v="0"/>
    <x v="17"/>
    <x v="9"/>
    <x v="43"/>
    <x v="25"/>
    <x v="4"/>
    <n v="1.1493352480000001"/>
  </r>
  <r>
    <x v="0"/>
    <x v="17"/>
    <x v="9"/>
    <x v="43"/>
    <x v="26"/>
    <x v="4"/>
    <n v="0"/>
  </r>
  <r>
    <x v="0"/>
    <x v="17"/>
    <x v="9"/>
    <x v="43"/>
    <x v="27"/>
    <x v="4"/>
    <n v="0"/>
  </r>
  <r>
    <x v="0"/>
    <x v="17"/>
    <x v="9"/>
    <x v="43"/>
    <x v="28"/>
    <x v="4"/>
    <n v="12.694403553000001"/>
  </r>
  <r>
    <x v="0"/>
    <x v="17"/>
    <x v="9"/>
    <x v="43"/>
    <x v="29"/>
    <x v="4"/>
    <n v="10.414147183000001"/>
  </r>
  <r>
    <x v="0"/>
    <x v="17"/>
    <x v="9"/>
    <x v="43"/>
    <x v="30"/>
    <x v="4"/>
    <n v="0.41259274600000001"/>
  </r>
  <r>
    <x v="0"/>
    <x v="17"/>
    <x v="9"/>
    <x v="43"/>
    <x v="31"/>
    <x v="4"/>
    <n v="0"/>
  </r>
  <r>
    <x v="0"/>
    <x v="17"/>
    <x v="9"/>
    <x v="43"/>
    <x v="32"/>
    <x v="4"/>
    <n v="56.650710771999996"/>
  </r>
  <r>
    <x v="0"/>
    <x v="17"/>
    <x v="9"/>
    <x v="43"/>
    <x v="33"/>
    <x v="4"/>
    <n v="17.119854675999999"/>
  </r>
  <r>
    <x v="0"/>
    <x v="17"/>
    <x v="9"/>
    <x v="43"/>
    <x v="34"/>
    <x v="4"/>
    <n v="-19.968082553999999"/>
  </r>
  <r>
    <x v="0"/>
    <x v="17"/>
    <x v="9"/>
    <x v="43"/>
    <x v="35"/>
    <x v="4"/>
    <n v="35.675633691000002"/>
  </r>
  <r>
    <x v="0"/>
    <x v="17"/>
    <x v="9"/>
    <x v="43"/>
    <x v="36"/>
    <x v="4"/>
    <n v="69.474879529000006"/>
  </r>
  <r>
    <x v="0"/>
    <x v="17"/>
    <x v="9"/>
    <x v="43"/>
    <x v="37"/>
    <x v="4"/>
    <n v="335.85171706300002"/>
  </r>
  <r>
    <x v="0"/>
    <x v="17"/>
    <x v="9"/>
    <x v="43"/>
    <x v="38"/>
    <x v="4"/>
    <n v="1.481175589"/>
  </r>
  <r>
    <x v="0"/>
    <x v="17"/>
    <x v="9"/>
    <x v="43"/>
    <x v="39"/>
    <x v="4"/>
    <n v="1.1857827E-2"/>
  </r>
  <r>
    <x v="0"/>
    <x v="17"/>
    <x v="9"/>
    <x v="43"/>
    <x v="40"/>
    <x v="4"/>
    <n v="-0.81357976899999995"/>
  </r>
  <r>
    <x v="0"/>
    <x v="17"/>
    <x v="9"/>
    <x v="43"/>
    <x v="41"/>
    <x v="4"/>
    <n v="-11.384236086"/>
  </r>
  <r>
    <x v="0"/>
    <x v="17"/>
    <x v="9"/>
    <x v="43"/>
    <x v="42"/>
    <x v="4"/>
    <n v="-31.209068266999999"/>
  </r>
  <r>
    <x v="0"/>
    <x v="17"/>
    <x v="9"/>
    <x v="43"/>
    <x v="43"/>
    <x v="4"/>
    <n v="-27.068617352"/>
  </r>
  <r>
    <x v="0"/>
    <x v="17"/>
    <x v="9"/>
    <x v="43"/>
    <x v="44"/>
    <x v="4"/>
    <n v="-0.72023267999999996"/>
  </r>
  <r>
    <x v="0"/>
    <x v="17"/>
    <x v="9"/>
    <x v="43"/>
    <x v="45"/>
    <x v="4"/>
    <n v="-2.0015844060000001"/>
  </r>
  <r>
    <x v="0"/>
    <x v="17"/>
    <x v="10"/>
    <x v="43"/>
    <x v="0"/>
    <x v="4"/>
    <n v="1.785705018"/>
  </r>
  <r>
    <x v="0"/>
    <x v="17"/>
    <x v="11"/>
    <x v="43"/>
    <x v="0"/>
    <x v="4"/>
    <n v="45.293851134999997"/>
  </r>
  <r>
    <x v="0"/>
    <x v="17"/>
    <x v="12"/>
    <x v="0"/>
    <x v="0"/>
    <x v="0"/>
    <n v="921.38369830299996"/>
  </r>
  <r>
    <x v="0"/>
    <x v="17"/>
    <x v="13"/>
    <x v="0"/>
    <x v="0"/>
    <x v="0"/>
    <n v="319.18742042100001"/>
  </r>
  <r>
    <x v="0"/>
    <x v="17"/>
    <x v="14"/>
    <x v="0"/>
    <x v="0"/>
    <x v="0"/>
    <n v="1.256143029"/>
  </r>
  <r>
    <x v="0"/>
    <x v="17"/>
    <x v="15"/>
    <x v="0"/>
    <x v="0"/>
    <x v="1"/>
    <n v="9.5279262000000003E-2"/>
  </r>
  <r>
    <x v="0"/>
    <x v="17"/>
    <x v="16"/>
    <x v="0"/>
    <x v="0"/>
    <x v="1"/>
    <n v="0.10084494500000001"/>
  </r>
  <r>
    <x v="0"/>
    <x v="17"/>
    <x v="12"/>
    <x v="1"/>
    <x v="0"/>
    <x v="0"/>
    <n v="307.96793050899998"/>
  </r>
  <r>
    <x v="0"/>
    <x v="17"/>
    <x v="13"/>
    <x v="1"/>
    <x v="0"/>
    <x v="0"/>
    <n v="41.760137673999999"/>
  </r>
  <r>
    <x v="0"/>
    <x v="17"/>
    <x v="14"/>
    <x v="1"/>
    <x v="0"/>
    <x v="0"/>
    <n v="0.41714441400000002"/>
  </r>
  <r>
    <x v="0"/>
    <x v="17"/>
    <x v="15"/>
    <x v="1"/>
    <x v="0"/>
    <x v="1"/>
    <n v="5.4434640999999999E-2"/>
  </r>
  <r>
    <x v="0"/>
    <x v="17"/>
    <x v="16"/>
    <x v="1"/>
    <x v="0"/>
    <x v="1"/>
    <n v="5.5209129000000003E-2"/>
  </r>
  <r>
    <x v="0"/>
    <x v="17"/>
    <x v="12"/>
    <x v="2"/>
    <x v="0"/>
    <x v="0"/>
    <n v="415.40579237499998"/>
  </r>
  <r>
    <x v="0"/>
    <x v="17"/>
    <x v="13"/>
    <x v="2"/>
    <x v="0"/>
    <x v="0"/>
    <n v="117.25022596700001"/>
  </r>
  <r>
    <x v="0"/>
    <x v="17"/>
    <x v="14"/>
    <x v="2"/>
    <x v="0"/>
    <x v="0"/>
    <n v="3.2745787210000001"/>
  </r>
  <r>
    <x v="0"/>
    <x v="17"/>
    <x v="15"/>
    <x v="2"/>
    <x v="0"/>
    <x v="1"/>
    <n v="3.4371315E-2"/>
  </r>
  <r>
    <x v="0"/>
    <x v="17"/>
    <x v="16"/>
    <x v="2"/>
    <x v="0"/>
    <x v="1"/>
    <n v="3.1170788000000001E-2"/>
  </r>
  <r>
    <x v="0"/>
    <x v="17"/>
    <x v="12"/>
    <x v="3"/>
    <x v="0"/>
    <x v="0"/>
    <n v="179.322300439"/>
  </r>
  <r>
    <x v="0"/>
    <x v="17"/>
    <x v="13"/>
    <x v="3"/>
    <x v="0"/>
    <x v="0"/>
    <n v="91.484430888000006"/>
  </r>
  <r>
    <x v="0"/>
    <x v="17"/>
    <x v="14"/>
    <x v="3"/>
    <x v="0"/>
    <x v="0"/>
    <n v="0.40392877300000002"/>
  </r>
  <r>
    <x v="0"/>
    <x v="17"/>
    <x v="15"/>
    <x v="3"/>
    <x v="0"/>
    <x v="1"/>
    <n v="4.3579308999999997E-2"/>
  </r>
  <r>
    <x v="0"/>
    <x v="17"/>
    <x v="16"/>
    <x v="3"/>
    <x v="0"/>
    <x v="1"/>
    <n v="4.3467767999999997E-2"/>
  </r>
  <r>
    <x v="0"/>
    <x v="17"/>
    <x v="12"/>
    <x v="4"/>
    <x v="0"/>
    <x v="0"/>
    <n v="80.433350304000001"/>
  </r>
  <r>
    <x v="0"/>
    <x v="17"/>
    <x v="13"/>
    <x v="4"/>
    <x v="0"/>
    <x v="0"/>
    <n v="7.4944167000000004"/>
  </r>
  <r>
    <x v="0"/>
    <x v="17"/>
    <x v="14"/>
    <x v="4"/>
    <x v="0"/>
    <x v="0"/>
    <n v="0.66424281100000004"/>
  </r>
  <r>
    <x v="0"/>
    <x v="17"/>
    <x v="15"/>
    <x v="4"/>
    <x v="0"/>
    <x v="1"/>
    <n v="4.9575890999999997E-2"/>
  </r>
  <r>
    <x v="0"/>
    <x v="17"/>
    <x v="16"/>
    <x v="4"/>
    <x v="0"/>
    <x v="1"/>
    <n v="4.9882123E-2"/>
  </r>
  <r>
    <x v="0"/>
    <x v="17"/>
    <x v="12"/>
    <x v="5"/>
    <x v="0"/>
    <x v="0"/>
    <n v="729.02296183600004"/>
  </r>
  <r>
    <x v="0"/>
    <x v="17"/>
    <x v="13"/>
    <x v="5"/>
    <x v="0"/>
    <x v="0"/>
    <n v="164.00064316000001"/>
  </r>
  <r>
    <x v="0"/>
    <x v="17"/>
    <x v="14"/>
    <x v="5"/>
    <x v="0"/>
    <x v="0"/>
    <n v="6.4612212729999996"/>
  </r>
  <r>
    <x v="0"/>
    <x v="17"/>
    <x v="15"/>
    <x v="5"/>
    <x v="0"/>
    <x v="1"/>
    <n v="7.2166421999999994E-2"/>
  </r>
  <r>
    <x v="0"/>
    <x v="17"/>
    <x v="16"/>
    <x v="5"/>
    <x v="0"/>
    <x v="1"/>
    <n v="7.4329992999999997E-2"/>
  </r>
  <r>
    <x v="0"/>
    <x v="17"/>
    <x v="12"/>
    <x v="6"/>
    <x v="0"/>
    <x v="0"/>
    <n v="246.93236980699999"/>
  </r>
  <r>
    <x v="0"/>
    <x v="17"/>
    <x v="13"/>
    <x v="6"/>
    <x v="0"/>
    <x v="0"/>
    <n v="27.764975527000001"/>
  </r>
  <r>
    <x v="0"/>
    <x v="17"/>
    <x v="14"/>
    <x v="6"/>
    <x v="0"/>
    <x v="0"/>
    <n v="12.448290804999999"/>
  </r>
  <r>
    <x v="0"/>
    <x v="17"/>
    <x v="15"/>
    <x v="6"/>
    <x v="0"/>
    <x v="1"/>
    <n v="6.5298455000000005E-2"/>
  </r>
  <r>
    <x v="0"/>
    <x v="17"/>
    <x v="16"/>
    <x v="6"/>
    <x v="0"/>
    <x v="1"/>
    <n v="6.6190384000000005E-2"/>
  </r>
  <r>
    <x v="0"/>
    <x v="17"/>
    <x v="12"/>
    <x v="7"/>
    <x v="0"/>
    <x v="0"/>
    <n v="131.029133683"/>
  </r>
  <r>
    <x v="0"/>
    <x v="17"/>
    <x v="13"/>
    <x v="7"/>
    <x v="0"/>
    <x v="0"/>
    <n v="42.725130000999997"/>
  </r>
  <r>
    <x v="0"/>
    <x v="17"/>
    <x v="14"/>
    <x v="7"/>
    <x v="0"/>
    <x v="0"/>
    <n v="25.416236274999999"/>
  </r>
  <r>
    <x v="0"/>
    <x v="17"/>
    <x v="15"/>
    <x v="7"/>
    <x v="0"/>
    <x v="1"/>
    <n v="6.7580912000000007E-2"/>
  </r>
  <r>
    <x v="0"/>
    <x v="17"/>
    <x v="16"/>
    <x v="7"/>
    <x v="0"/>
    <x v="1"/>
    <n v="7.0324383000000004E-2"/>
  </r>
  <r>
    <x v="0"/>
    <x v="17"/>
    <x v="12"/>
    <x v="8"/>
    <x v="0"/>
    <x v="0"/>
    <n v="101.897374306"/>
  </r>
  <r>
    <x v="0"/>
    <x v="17"/>
    <x v="13"/>
    <x v="8"/>
    <x v="0"/>
    <x v="0"/>
    <n v="11.352230110000001"/>
  </r>
  <r>
    <x v="0"/>
    <x v="17"/>
    <x v="14"/>
    <x v="8"/>
    <x v="0"/>
    <x v="0"/>
    <n v="9.6382350389999996"/>
  </r>
  <r>
    <x v="0"/>
    <x v="17"/>
    <x v="15"/>
    <x v="8"/>
    <x v="0"/>
    <x v="1"/>
    <n v="6.0687961999999998E-2"/>
  </r>
  <r>
    <x v="0"/>
    <x v="17"/>
    <x v="16"/>
    <x v="8"/>
    <x v="0"/>
    <x v="1"/>
    <n v="6.1451012999999999E-2"/>
  </r>
  <r>
    <x v="0"/>
    <x v="17"/>
    <x v="12"/>
    <x v="9"/>
    <x v="0"/>
    <x v="0"/>
    <n v="293.13568205000001"/>
  </r>
  <r>
    <x v="0"/>
    <x v="17"/>
    <x v="13"/>
    <x v="9"/>
    <x v="0"/>
    <x v="0"/>
    <n v="43.804180791999997"/>
  </r>
  <r>
    <x v="0"/>
    <x v="17"/>
    <x v="14"/>
    <x v="9"/>
    <x v="0"/>
    <x v="0"/>
    <n v="23.479723636999999"/>
  </r>
  <r>
    <x v="0"/>
    <x v="17"/>
    <x v="15"/>
    <x v="9"/>
    <x v="0"/>
    <x v="1"/>
    <n v="5.3767020999999998E-2"/>
  </r>
  <r>
    <x v="0"/>
    <x v="17"/>
    <x v="16"/>
    <x v="9"/>
    <x v="0"/>
    <x v="1"/>
    <n v="5.4457152000000002E-2"/>
  </r>
  <r>
    <x v="0"/>
    <x v="17"/>
    <x v="12"/>
    <x v="10"/>
    <x v="0"/>
    <x v="0"/>
    <n v="464.96381152399999"/>
  </r>
  <r>
    <x v="0"/>
    <x v="17"/>
    <x v="13"/>
    <x v="10"/>
    <x v="0"/>
    <x v="0"/>
    <n v="41.118409684"/>
  </r>
  <r>
    <x v="0"/>
    <x v="17"/>
    <x v="14"/>
    <x v="10"/>
    <x v="0"/>
    <x v="0"/>
    <n v="8.8258074450000006"/>
  </r>
  <r>
    <x v="0"/>
    <x v="17"/>
    <x v="15"/>
    <x v="10"/>
    <x v="0"/>
    <x v="1"/>
    <n v="3.833139E-2"/>
  </r>
  <r>
    <x v="0"/>
    <x v="17"/>
    <x v="16"/>
    <x v="10"/>
    <x v="0"/>
    <x v="1"/>
    <n v="3.8009744999999998E-2"/>
  </r>
  <r>
    <x v="0"/>
    <x v="17"/>
    <x v="12"/>
    <x v="11"/>
    <x v="0"/>
    <x v="0"/>
    <n v="1216.3849390410001"/>
  </r>
  <r>
    <x v="0"/>
    <x v="17"/>
    <x v="13"/>
    <x v="11"/>
    <x v="0"/>
    <x v="0"/>
    <n v="235.74812996899999"/>
  </r>
  <r>
    <x v="0"/>
    <x v="17"/>
    <x v="14"/>
    <x v="11"/>
    <x v="0"/>
    <x v="0"/>
    <n v="49.634604926999998"/>
  </r>
  <r>
    <x v="0"/>
    <x v="17"/>
    <x v="15"/>
    <x v="11"/>
    <x v="0"/>
    <x v="1"/>
    <n v="4.6780879999999997E-2"/>
  </r>
  <r>
    <x v="0"/>
    <x v="17"/>
    <x v="16"/>
    <x v="11"/>
    <x v="0"/>
    <x v="1"/>
    <n v="4.7083601000000003E-2"/>
  </r>
  <r>
    <x v="0"/>
    <x v="17"/>
    <x v="12"/>
    <x v="12"/>
    <x v="0"/>
    <x v="0"/>
    <n v="288.19231527800002"/>
  </r>
  <r>
    <x v="0"/>
    <x v="17"/>
    <x v="13"/>
    <x v="12"/>
    <x v="0"/>
    <x v="0"/>
    <n v="8.0356134299999997"/>
  </r>
  <r>
    <x v="0"/>
    <x v="17"/>
    <x v="14"/>
    <x v="12"/>
    <x v="0"/>
    <x v="0"/>
    <n v="10.635203126"/>
  </r>
  <r>
    <x v="0"/>
    <x v="17"/>
    <x v="15"/>
    <x v="12"/>
    <x v="0"/>
    <x v="1"/>
    <n v="4.7209863999999997E-2"/>
  </r>
  <r>
    <x v="0"/>
    <x v="17"/>
    <x v="16"/>
    <x v="12"/>
    <x v="0"/>
    <x v="1"/>
    <n v="4.7259584E-2"/>
  </r>
  <r>
    <x v="0"/>
    <x v="17"/>
    <x v="12"/>
    <x v="13"/>
    <x v="0"/>
    <x v="0"/>
    <n v="852.63143674499997"/>
  </r>
  <r>
    <x v="0"/>
    <x v="17"/>
    <x v="13"/>
    <x v="13"/>
    <x v="0"/>
    <x v="0"/>
    <n v="85.670237911000001"/>
  </r>
  <r>
    <x v="0"/>
    <x v="17"/>
    <x v="14"/>
    <x v="13"/>
    <x v="0"/>
    <x v="0"/>
    <n v="26.914064631999999"/>
  </r>
  <r>
    <x v="0"/>
    <x v="17"/>
    <x v="15"/>
    <x v="13"/>
    <x v="0"/>
    <x v="1"/>
    <n v="3.9046549999999999E-2"/>
  </r>
  <r>
    <x v="0"/>
    <x v="17"/>
    <x v="16"/>
    <x v="13"/>
    <x v="0"/>
    <x v="1"/>
    <n v="3.8733980000000001E-2"/>
  </r>
  <r>
    <x v="0"/>
    <x v="17"/>
    <x v="12"/>
    <x v="14"/>
    <x v="0"/>
    <x v="0"/>
    <n v="217.844156086"/>
  </r>
  <r>
    <x v="0"/>
    <x v="17"/>
    <x v="13"/>
    <x v="14"/>
    <x v="0"/>
    <x v="0"/>
    <n v="11.383948148"/>
  </r>
  <r>
    <x v="0"/>
    <x v="17"/>
    <x v="14"/>
    <x v="14"/>
    <x v="0"/>
    <x v="0"/>
    <n v="19.945259935999999"/>
  </r>
  <r>
    <x v="0"/>
    <x v="17"/>
    <x v="15"/>
    <x v="14"/>
    <x v="0"/>
    <x v="1"/>
    <n v="4.5305405999999999E-2"/>
  </r>
  <r>
    <x v="0"/>
    <x v="17"/>
    <x v="16"/>
    <x v="14"/>
    <x v="0"/>
    <x v="1"/>
    <n v="4.5345993000000001E-2"/>
  </r>
  <r>
    <x v="0"/>
    <x v="17"/>
    <x v="12"/>
    <x v="15"/>
    <x v="0"/>
    <x v="0"/>
    <n v="225.29835895799999"/>
  </r>
  <r>
    <x v="0"/>
    <x v="17"/>
    <x v="13"/>
    <x v="15"/>
    <x v="0"/>
    <x v="0"/>
    <n v="74.361563868000005"/>
  </r>
  <r>
    <x v="0"/>
    <x v="17"/>
    <x v="14"/>
    <x v="15"/>
    <x v="0"/>
    <x v="0"/>
    <n v="27.944797219000002"/>
  </r>
  <r>
    <x v="0"/>
    <x v="17"/>
    <x v="15"/>
    <x v="15"/>
    <x v="0"/>
    <x v="1"/>
    <n v="4.8944605000000002E-2"/>
  </r>
  <r>
    <x v="0"/>
    <x v="17"/>
    <x v="16"/>
    <x v="15"/>
    <x v="0"/>
    <x v="1"/>
    <n v="4.9809950999999998E-2"/>
  </r>
  <r>
    <x v="0"/>
    <x v="17"/>
    <x v="12"/>
    <x v="16"/>
    <x v="0"/>
    <x v="0"/>
    <n v="141.96161439599999"/>
  </r>
  <r>
    <x v="0"/>
    <x v="17"/>
    <x v="13"/>
    <x v="16"/>
    <x v="0"/>
    <x v="0"/>
    <n v="63.135247843999998"/>
  </r>
  <r>
    <x v="0"/>
    <x v="17"/>
    <x v="14"/>
    <x v="16"/>
    <x v="0"/>
    <x v="0"/>
    <n v="13.079645091"/>
  </r>
  <r>
    <x v="0"/>
    <x v="17"/>
    <x v="15"/>
    <x v="16"/>
    <x v="0"/>
    <x v="1"/>
    <n v="5.1063720999999999E-2"/>
  </r>
  <r>
    <x v="0"/>
    <x v="17"/>
    <x v="16"/>
    <x v="16"/>
    <x v="0"/>
    <x v="1"/>
    <n v="5.2632311000000001E-2"/>
  </r>
  <r>
    <x v="0"/>
    <x v="17"/>
    <x v="12"/>
    <x v="17"/>
    <x v="0"/>
    <x v="0"/>
    <n v="349.39409470200002"/>
  </r>
  <r>
    <x v="0"/>
    <x v="17"/>
    <x v="13"/>
    <x v="17"/>
    <x v="0"/>
    <x v="0"/>
    <n v="105.873573761"/>
  </r>
  <r>
    <x v="0"/>
    <x v="17"/>
    <x v="14"/>
    <x v="17"/>
    <x v="0"/>
    <x v="0"/>
    <n v="21.652853053000001"/>
  </r>
  <r>
    <x v="0"/>
    <x v="17"/>
    <x v="15"/>
    <x v="17"/>
    <x v="0"/>
    <x v="1"/>
    <n v="5.1177673E-2"/>
  </r>
  <r>
    <x v="0"/>
    <x v="17"/>
    <x v="16"/>
    <x v="17"/>
    <x v="0"/>
    <x v="1"/>
    <n v="5.2249971999999999E-2"/>
  </r>
  <r>
    <x v="0"/>
    <x v="17"/>
    <x v="12"/>
    <x v="18"/>
    <x v="0"/>
    <x v="0"/>
    <n v="279.16440298100002"/>
  </r>
  <r>
    <x v="0"/>
    <x v="17"/>
    <x v="13"/>
    <x v="18"/>
    <x v="0"/>
    <x v="0"/>
    <n v="58.450293655000003"/>
  </r>
  <r>
    <x v="0"/>
    <x v="17"/>
    <x v="14"/>
    <x v="18"/>
    <x v="0"/>
    <x v="0"/>
    <n v="48.061837683999997"/>
  </r>
  <r>
    <x v="0"/>
    <x v="17"/>
    <x v="15"/>
    <x v="18"/>
    <x v="0"/>
    <x v="1"/>
    <n v="4.6234967000000002E-2"/>
  </r>
  <r>
    <x v="0"/>
    <x v="17"/>
    <x v="16"/>
    <x v="18"/>
    <x v="0"/>
    <x v="1"/>
    <n v="4.6498093999999997E-2"/>
  </r>
  <r>
    <x v="0"/>
    <x v="17"/>
    <x v="12"/>
    <x v="19"/>
    <x v="0"/>
    <x v="0"/>
    <n v="285.08943578100002"/>
  </r>
  <r>
    <x v="0"/>
    <x v="17"/>
    <x v="13"/>
    <x v="19"/>
    <x v="0"/>
    <x v="0"/>
    <n v="348.76926079899999"/>
  </r>
  <r>
    <x v="0"/>
    <x v="17"/>
    <x v="14"/>
    <x v="19"/>
    <x v="0"/>
    <x v="0"/>
    <n v="121.211197402"/>
  </r>
  <r>
    <x v="0"/>
    <x v="17"/>
    <x v="15"/>
    <x v="19"/>
    <x v="0"/>
    <x v="1"/>
    <n v="4.8254685999999998E-2"/>
  </r>
  <r>
    <x v="0"/>
    <x v="17"/>
    <x v="16"/>
    <x v="19"/>
    <x v="0"/>
    <x v="1"/>
    <n v="5.1119196999999998E-2"/>
  </r>
  <r>
    <x v="0"/>
    <x v="17"/>
    <x v="12"/>
    <x v="20"/>
    <x v="0"/>
    <x v="0"/>
    <n v="47.470880741999999"/>
  </r>
  <r>
    <x v="0"/>
    <x v="17"/>
    <x v="13"/>
    <x v="20"/>
    <x v="0"/>
    <x v="0"/>
    <n v="50.066208836000001"/>
  </r>
  <r>
    <x v="0"/>
    <x v="17"/>
    <x v="14"/>
    <x v="20"/>
    <x v="0"/>
    <x v="0"/>
    <n v="9.8912607159999997"/>
  </r>
  <r>
    <x v="0"/>
    <x v="17"/>
    <x v="15"/>
    <x v="20"/>
    <x v="0"/>
    <x v="1"/>
    <n v="4.6360485999999999E-2"/>
  </r>
  <r>
    <x v="0"/>
    <x v="17"/>
    <x v="16"/>
    <x v="20"/>
    <x v="0"/>
    <x v="1"/>
    <n v="4.7953274999999997E-2"/>
  </r>
  <r>
    <x v="0"/>
    <x v="17"/>
    <x v="12"/>
    <x v="21"/>
    <x v="0"/>
    <x v="0"/>
    <n v="20.350209246999999"/>
  </r>
  <r>
    <x v="0"/>
    <x v="17"/>
    <x v="13"/>
    <x v="21"/>
    <x v="0"/>
    <x v="0"/>
    <n v="1.0529281779999999"/>
  </r>
  <r>
    <x v="0"/>
    <x v="17"/>
    <x v="14"/>
    <x v="21"/>
    <x v="0"/>
    <x v="0"/>
    <n v="1.7861188050000001"/>
  </r>
  <r>
    <x v="0"/>
    <x v="17"/>
    <x v="15"/>
    <x v="21"/>
    <x v="0"/>
    <x v="1"/>
    <n v="5.6626187000000001E-2"/>
  </r>
  <r>
    <x v="0"/>
    <x v="17"/>
    <x v="16"/>
    <x v="21"/>
    <x v="0"/>
    <x v="1"/>
    <n v="5.6911620000000003E-2"/>
  </r>
  <r>
    <x v="0"/>
    <x v="17"/>
    <x v="12"/>
    <x v="22"/>
    <x v="0"/>
    <x v="0"/>
    <n v="104.50854158600001"/>
  </r>
  <r>
    <x v="0"/>
    <x v="17"/>
    <x v="13"/>
    <x v="22"/>
    <x v="0"/>
    <x v="0"/>
    <n v="1.4322158650000001"/>
  </r>
  <r>
    <x v="0"/>
    <x v="17"/>
    <x v="14"/>
    <x v="22"/>
    <x v="0"/>
    <x v="0"/>
    <n v="6.1486973420000002"/>
  </r>
  <r>
    <x v="0"/>
    <x v="17"/>
    <x v="15"/>
    <x v="22"/>
    <x v="0"/>
    <x v="1"/>
    <n v="1.1288288E-2"/>
  </r>
  <r>
    <x v="0"/>
    <x v="17"/>
    <x v="16"/>
    <x v="22"/>
    <x v="0"/>
    <x v="1"/>
    <n v="9.4872600000000008E-3"/>
  </r>
  <r>
    <x v="0"/>
    <x v="17"/>
    <x v="12"/>
    <x v="23"/>
    <x v="0"/>
    <x v="0"/>
    <n v="9.9737725800000003"/>
  </r>
  <r>
    <x v="0"/>
    <x v="17"/>
    <x v="13"/>
    <x v="23"/>
    <x v="0"/>
    <x v="0"/>
    <n v="0"/>
  </r>
  <r>
    <x v="0"/>
    <x v="17"/>
    <x v="14"/>
    <x v="23"/>
    <x v="0"/>
    <x v="0"/>
    <n v="0"/>
  </r>
  <r>
    <x v="0"/>
    <x v="17"/>
    <x v="15"/>
    <x v="23"/>
    <x v="0"/>
    <x v="1"/>
    <n v="5.4261950000000003E-2"/>
  </r>
  <r>
    <x v="0"/>
    <x v="17"/>
    <x v="16"/>
    <x v="23"/>
    <x v="0"/>
    <x v="1"/>
    <n v="5.4261950000000003E-2"/>
  </r>
  <r>
    <x v="0"/>
    <x v="17"/>
    <x v="12"/>
    <x v="24"/>
    <x v="0"/>
    <x v="0"/>
    <n v="524.57941458699997"/>
  </r>
  <r>
    <x v="0"/>
    <x v="17"/>
    <x v="13"/>
    <x v="24"/>
    <x v="0"/>
    <x v="0"/>
    <n v="0.337658189"/>
  </r>
  <r>
    <x v="0"/>
    <x v="17"/>
    <x v="14"/>
    <x v="24"/>
    <x v="0"/>
    <x v="0"/>
    <n v="0.480117615"/>
  </r>
  <r>
    <x v="0"/>
    <x v="17"/>
    <x v="15"/>
    <x v="24"/>
    <x v="0"/>
    <x v="1"/>
    <n v="4.1713264999999999E-2"/>
  </r>
  <r>
    <x v="0"/>
    <x v="17"/>
    <x v="16"/>
    <x v="24"/>
    <x v="0"/>
    <x v="1"/>
    <n v="4.1712424999999997E-2"/>
  </r>
  <r>
    <x v="0"/>
    <x v="17"/>
    <x v="12"/>
    <x v="25"/>
    <x v="0"/>
    <x v="0"/>
    <n v="27.090533140000002"/>
  </r>
  <r>
    <x v="0"/>
    <x v="17"/>
    <x v="13"/>
    <x v="25"/>
    <x v="0"/>
    <x v="0"/>
    <n v="1.99E-7"/>
  </r>
  <r>
    <x v="0"/>
    <x v="17"/>
    <x v="14"/>
    <x v="25"/>
    <x v="0"/>
    <x v="0"/>
    <n v="0"/>
  </r>
  <r>
    <x v="0"/>
    <x v="17"/>
    <x v="15"/>
    <x v="25"/>
    <x v="0"/>
    <x v="1"/>
    <n v="3.7816450000000001E-2"/>
  </r>
  <r>
    <x v="0"/>
    <x v="17"/>
    <x v="16"/>
    <x v="25"/>
    <x v="0"/>
    <x v="1"/>
    <n v="3.7816450000000001E-2"/>
  </r>
  <r>
    <x v="0"/>
    <x v="17"/>
    <x v="12"/>
    <x v="26"/>
    <x v="0"/>
    <x v="0"/>
    <n v="13.619459371"/>
  </r>
  <r>
    <x v="0"/>
    <x v="17"/>
    <x v="13"/>
    <x v="26"/>
    <x v="0"/>
    <x v="0"/>
    <n v="0"/>
  </r>
  <r>
    <x v="0"/>
    <x v="17"/>
    <x v="14"/>
    <x v="26"/>
    <x v="0"/>
    <x v="0"/>
    <n v="0"/>
  </r>
  <r>
    <x v="0"/>
    <x v="17"/>
    <x v="15"/>
    <x v="26"/>
    <x v="0"/>
    <x v="1"/>
    <n v="5.3439523000000003E-2"/>
  </r>
  <r>
    <x v="0"/>
    <x v="17"/>
    <x v="16"/>
    <x v="26"/>
    <x v="0"/>
    <x v="1"/>
    <n v="5.3439523000000003E-2"/>
  </r>
  <r>
    <x v="0"/>
    <x v="17"/>
    <x v="12"/>
    <x v="27"/>
    <x v="0"/>
    <x v="0"/>
    <n v="512.29285918300002"/>
  </r>
  <r>
    <x v="0"/>
    <x v="17"/>
    <x v="13"/>
    <x v="27"/>
    <x v="0"/>
    <x v="0"/>
    <n v="4.7228003789999997"/>
  </r>
  <r>
    <x v="0"/>
    <x v="17"/>
    <x v="14"/>
    <x v="27"/>
    <x v="0"/>
    <x v="0"/>
    <n v="2.0259691470000001"/>
  </r>
  <r>
    <x v="0"/>
    <x v="17"/>
    <x v="15"/>
    <x v="27"/>
    <x v="0"/>
    <x v="1"/>
    <n v="6.1345072E-2"/>
  </r>
  <r>
    <x v="0"/>
    <x v="17"/>
    <x v="16"/>
    <x v="27"/>
    <x v="0"/>
    <x v="1"/>
    <n v="6.1411459000000002E-2"/>
  </r>
  <r>
    <x v="0"/>
    <x v="17"/>
    <x v="12"/>
    <x v="28"/>
    <x v="0"/>
    <x v="0"/>
    <n v="704.82265705199995"/>
  </r>
  <r>
    <x v="0"/>
    <x v="17"/>
    <x v="13"/>
    <x v="28"/>
    <x v="0"/>
    <x v="0"/>
    <n v="0"/>
  </r>
  <r>
    <x v="0"/>
    <x v="17"/>
    <x v="14"/>
    <x v="28"/>
    <x v="0"/>
    <x v="0"/>
    <n v="89.119752899999995"/>
  </r>
  <r>
    <x v="0"/>
    <x v="17"/>
    <x v="15"/>
    <x v="28"/>
    <x v="0"/>
    <x v="1"/>
    <n v="4.2933369999999998E-2"/>
  </r>
  <r>
    <x v="0"/>
    <x v="17"/>
    <x v="16"/>
    <x v="28"/>
    <x v="0"/>
    <x v="1"/>
    <n v="4.2933369999999998E-2"/>
  </r>
  <r>
    <x v="0"/>
    <x v="17"/>
    <x v="12"/>
    <x v="29"/>
    <x v="0"/>
    <x v="0"/>
    <n v="676.493074417"/>
  </r>
  <r>
    <x v="0"/>
    <x v="17"/>
    <x v="13"/>
    <x v="29"/>
    <x v="0"/>
    <x v="0"/>
    <n v="65.960614894000003"/>
  </r>
  <r>
    <x v="0"/>
    <x v="17"/>
    <x v="14"/>
    <x v="29"/>
    <x v="0"/>
    <x v="0"/>
    <n v="30.973539815999999"/>
  </r>
  <r>
    <x v="0"/>
    <x v="17"/>
    <x v="15"/>
    <x v="29"/>
    <x v="0"/>
    <x v="1"/>
    <n v="4.7945335999999998E-2"/>
  </r>
  <r>
    <x v="0"/>
    <x v="17"/>
    <x v="16"/>
    <x v="29"/>
    <x v="0"/>
    <x v="1"/>
    <n v="4.8171496000000001E-2"/>
  </r>
  <r>
    <x v="0"/>
    <x v="17"/>
    <x v="12"/>
    <x v="30"/>
    <x v="0"/>
    <x v="0"/>
    <n v="180.39372726100001"/>
  </r>
  <r>
    <x v="0"/>
    <x v="17"/>
    <x v="13"/>
    <x v="30"/>
    <x v="0"/>
    <x v="0"/>
    <n v="45.867637356000003"/>
  </r>
  <r>
    <x v="0"/>
    <x v="17"/>
    <x v="14"/>
    <x v="30"/>
    <x v="0"/>
    <x v="0"/>
    <n v="1.2655370079999999"/>
  </r>
  <r>
    <x v="0"/>
    <x v="17"/>
    <x v="15"/>
    <x v="30"/>
    <x v="0"/>
    <x v="1"/>
    <n v="7.4308884000000006E-2"/>
  </r>
  <r>
    <x v="0"/>
    <x v="17"/>
    <x v="16"/>
    <x v="30"/>
    <x v="0"/>
    <x v="1"/>
    <n v="7.7124543000000004E-2"/>
  </r>
  <r>
    <x v="0"/>
    <x v="17"/>
    <x v="12"/>
    <x v="31"/>
    <x v="0"/>
    <x v="0"/>
    <n v="239.23084766100001"/>
  </r>
  <r>
    <x v="0"/>
    <x v="17"/>
    <x v="13"/>
    <x v="31"/>
    <x v="0"/>
    <x v="0"/>
    <n v="9.1167975650000006"/>
  </r>
  <r>
    <x v="0"/>
    <x v="17"/>
    <x v="14"/>
    <x v="31"/>
    <x v="0"/>
    <x v="0"/>
    <n v="8.2805806059999991"/>
  </r>
  <r>
    <x v="0"/>
    <x v="17"/>
    <x v="15"/>
    <x v="31"/>
    <x v="0"/>
    <x v="1"/>
    <n v="3.8934187000000002E-2"/>
  </r>
  <r>
    <x v="0"/>
    <x v="17"/>
    <x v="16"/>
    <x v="31"/>
    <x v="0"/>
    <x v="1"/>
    <n v="3.8793578000000002E-2"/>
  </r>
  <r>
    <x v="0"/>
    <x v="17"/>
    <x v="12"/>
    <x v="32"/>
    <x v="0"/>
    <x v="0"/>
    <n v="840.34742160899998"/>
  </r>
  <r>
    <x v="0"/>
    <x v="17"/>
    <x v="13"/>
    <x v="32"/>
    <x v="0"/>
    <x v="0"/>
    <n v="5.0074194869999999"/>
  </r>
  <r>
    <x v="0"/>
    <x v="17"/>
    <x v="14"/>
    <x v="32"/>
    <x v="0"/>
    <x v="0"/>
    <n v="4.0238271780000003"/>
  </r>
  <r>
    <x v="0"/>
    <x v="17"/>
    <x v="15"/>
    <x v="32"/>
    <x v="0"/>
    <x v="1"/>
    <n v="3.7602089999999998E-2"/>
  </r>
  <r>
    <x v="0"/>
    <x v="17"/>
    <x v="16"/>
    <x v="32"/>
    <x v="0"/>
    <x v="1"/>
    <n v="3.7570928000000003E-2"/>
  </r>
  <r>
    <x v="0"/>
    <x v="17"/>
    <x v="12"/>
    <x v="33"/>
    <x v="0"/>
    <x v="0"/>
    <n v="710.67577411900004"/>
  </r>
  <r>
    <x v="0"/>
    <x v="17"/>
    <x v="13"/>
    <x v="33"/>
    <x v="0"/>
    <x v="0"/>
    <n v="0"/>
  </r>
  <r>
    <x v="0"/>
    <x v="17"/>
    <x v="14"/>
    <x v="33"/>
    <x v="0"/>
    <x v="0"/>
    <n v="0"/>
  </r>
  <r>
    <x v="0"/>
    <x v="17"/>
    <x v="15"/>
    <x v="33"/>
    <x v="0"/>
    <x v="1"/>
    <n v="2.3059634999999998E-2"/>
  </r>
  <r>
    <x v="0"/>
    <x v="17"/>
    <x v="16"/>
    <x v="33"/>
    <x v="0"/>
    <x v="1"/>
    <n v="2.3059634999999998E-2"/>
  </r>
  <r>
    <x v="0"/>
    <x v="17"/>
    <x v="12"/>
    <x v="34"/>
    <x v="0"/>
    <x v="0"/>
    <n v="396.27362376299999"/>
  </r>
  <r>
    <x v="0"/>
    <x v="17"/>
    <x v="13"/>
    <x v="34"/>
    <x v="0"/>
    <x v="0"/>
    <n v="68.941654034999999"/>
  </r>
  <r>
    <x v="0"/>
    <x v="17"/>
    <x v="14"/>
    <x v="34"/>
    <x v="0"/>
    <x v="0"/>
    <n v="19.716432522000002"/>
  </r>
  <r>
    <x v="0"/>
    <x v="17"/>
    <x v="15"/>
    <x v="34"/>
    <x v="0"/>
    <x v="1"/>
    <n v="5.1287853000000001E-2"/>
  </r>
  <r>
    <x v="0"/>
    <x v="17"/>
    <x v="16"/>
    <x v="34"/>
    <x v="0"/>
    <x v="1"/>
    <n v="5.1958690000000002E-2"/>
  </r>
  <r>
    <x v="0"/>
    <x v="17"/>
    <x v="12"/>
    <x v="35"/>
    <x v="0"/>
    <x v="0"/>
    <n v="332.869774753"/>
  </r>
  <r>
    <x v="0"/>
    <x v="17"/>
    <x v="13"/>
    <x v="35"/>
    <x v="0"/>
    <x v="0"/>
    <n v="7.4312009630000002"/>
  </r>
  <r>
    <x v="0"/>
    <x v="17"/>
    <x v="14"/>
    <x v="35"/>
    <x v="0"/>
    <x v="0"/>
    <n v="0.123568862"/>
  </r>
  <r>
    <x v="0"/>
    <x v="17"/>
    <x v="15"/>
    <x v="35"/>
    <x v="0"/>
    <x v="1"/>
    <n v="5.4918757999999998E-2"/>
  </r>
  <r>
    <x v="0"/>
    <x v="17"/>
    <x v="16"/>
    <x v="35"/>
    <x v="0"/>
    <x v="1"/>
    <n v="5.5039605999999998E-2"/>
  </r>
  <r>
    <x v="0"/>
    <x v="17"/>
    <x v="12"/>
    <x v="36"/>
    <x v="0"/>
    <x v="0"/>
    <n v="113.21487868600001"/>
  </r>
  <r>
    <x v="0"/>
    <x v="17"/>
    <x v="13"/>
    <x v="36"/>
    <x v="0"/>
    <x v="0"/>
    <n v="16.915115739000001"/>
  </r>
  <r>
    <x v="0"/>
    <x v="17"/>
    <x v="14"/>
    <x v="36"/>
    <x v="0"/>
    <x v="0"/>
    <n v="0.52838177099999994"/>
  </r>
  <r>
    <x v="0"/>
    <x v="17"/>
    <x v="15"/>
    <x v="36"/>
    <x v="0"/>
    <x v="1"/>
    <n v="6.2182291000000001E-2"/>
  </r>
  <r>
    <x v="0"/>
    <x v="17"/>
    <x v="16"/>
    <x v="36"/>
    <x v="0"/>
    <x v="1"/>
    <n v="6.3391759000000006E-2"/>
  </r>
  <r>
    <x v="0"/>
    <x v="17"/>
    <x v="12"/>
    <x v="37"/>
    <x v="0"/>
    <x v="0"/>
    <n v="130.15268244000001"/>
  </r>
  <r>
    <x v="0"/>
    <x v="17"/>
    <x v="13"/>
    <x v="37"/>
    <x v="0"/>
    <x v="0"/>
    <n v="4.0073480750000003"/>
  </r>
  <r>
    <x v="0"/>
    <x v="17"/>
    <x v="14"/>
    <x v="37"/>
    <x v="0"/>
    <x v="0"/>
    <n v="0.34485279600000002"/>
  </r>
  <r>
    <x v="0"/>
    <x v="17"/>
    <x v="15"/>
    <x v="37"/>
    <x v="0"/>
    <x v="1"/>
    <n v="6.7692709000000004E-2"/>
  </r>
  <r>
    <x v="0"/>
    <x v="17"/>
    <x v="16"/>
    <x v="37"/>
    <x v="0"/>
    <x v="1"/>
    <n v="6.8012990999999995E-2"/>
  </r>
  <r>
    <x v="0"/>
    <x v="17"/>
    <x v="12"/>
    <x v="38"/>
    <x v="0"/>
    <x v="0"/>
    <n v="414.289855768"/>
  </r>
  <r>
    <x v="0"/>
    <x v="17"/>
    <x v="13"/>
    <x v="38"/>
    <x v="0"/>
    <x v="0"/>
    <n v="18.845476886"/>
  </r>
  <r>
    <x v="0"/>
    <x v="17"/>
    <x v="14"/>
    <x v="38"/>
    <x v="0"/>
    <x v="0"/>
    <n v="0.121063873"/>
  </r>
  <r>
    <x v="0"/>
    <x v="17"/>
    <x v="15"/>
    <x v="38"/>
    <x v="0"/>
    <x v="1"/>
    <n v="9.7753558000000004E-2"/>
  </r>
  <r>
    <x v="0"/>
    <x v="17"/>
    <x v="16"/>
    <x v="38"/>
    <x v="0"/>
    <x v="1"/>
    <n v="9.8615992E-2"/>
  </r>
  <r>
    <x v="0"/>
    <x v="17"/>
    <x v="12"/>
    <x v="39"/>
    <x v="0"/>
    <x v="0"/>
    <n v="216.922938566"/>
  </r>
  <r>
    <x v="0"/>
    <x v="17"/>
    <x v="13"/>
    <x v="39"/>
    <x v="0"/>
    <x v="0"/>
    <n v="7.396703381"/>
  </r>
  <r>
    <x v="0"/>
    <x v="17"/>
    <x v="14"/>
    <x v="39"/>
    <x v="0"/>
    <x v="0"/>
    <n v="0.11799538699999999"/>
  </r>
  <r>
    <x v="0"/>
    <x v="17"/>
    <x v="15"/>
    <x v="39"/>
    <x v="0"/>
    <x v="1"/>
    <n v="8.0180647999999993E-2"/>
  </r>
  <r>
    <x v="0"/>
    <x v="17"/>
    <x v="16"/>
    <x v="39"/>
    <x v="0"/>
    <x v="1"/>
    <n v="8.0611044000000007E-2"/>
  </r>
  <r>
    <x v="0"/>
    <x v="17"/>
    <x v="12"/>
    <x v="40"/>
    <x v="0"/>
    <x v="0"/>
    <n v="80.475500796000006"/>
  </r>
  <r>
    <x v="0"/>
    <x v="17"/>
    <x v="13"/>
    <x v="40"/>
    <x v="0"/>
    <x v="0"/>
    <n v="43.401515429"/>
  </r>
  <r>
    <x v="0"/>
    <x v="17"/>
    <x v="14"/>
    <x v="40"/>
    <x v="0"/>
    <x v="0"/>
    <n v="2.4122999539999999"/>
  </r>
  <r>
    <x v="0"/>
    <x v="17"/>
    <x v="15"/>
    <x v="40"/>
    <x v="0"/>
    <x v="1"/>
    <n v="5.7523840999999999E-2"/>
  </r>
  <r>
    <x v="0"/>
    <x v="17"/>
    <x v="16"/>
    <x v="40"/>
    <x v="0"/>
    <x v="1"/>
    <n v="6.1234565999999997E-2"/>
  </r>
  <r>
    <x v="0"/>
    <x v="17"/>
    <x v="12"/>
    <x v="41"/>
    <x v="0"/>
    <x v="0"/>
    <n v="857.28036123699997"/>
  </r>
  <r>
    <x v="0"/>
    <x v="17"/>
    <x v="13"/>
    <x v="41"/>
    <x v="0"/>
    <x v="0"/>
    <n v="14.658647352999999"/>
  </r>
  <r>
    <x v="0"/>
    <x v="17"/>
    <x v="14"/>
    <x v="41"/>
    <x v="0"/>
    <x v="0"/>
    <n v="0.20475538300000001"/>
  </r>
  <r>
    <x v="0"/>
    <x v="17"/>
    <x v="15"/>
    <x v="41"/>
    <x v="0"/>
    <x v="1"/>
    <n v="9.3907549000000007E-2"/>
  </r>
  <r>
    <x v="0"/>
    <x v="17"/>
    <x v="16"/>
    <x v="41"/>
    <x v="0"/>
    <x v="1"/>
    <n v="9.4191860000000002E-2"/>
  </r>
  <r>
    <x v="0"/>
    <x v="17"/>
    <x v="17"/>
    <x v="0"/>
    <x v="46"/>
    <x v="1"/>
    <n v="93.007676130999997"/>
  </r>
  <r>
    <x v="0"/>
    <x v="17"/>
    <x v="17"/>
    <x v="0"/>
    <x v="47"/>
    <x v="1"/>
    <n v="93.007676130999997"/>
  </r>
  <r>
    <x v="0"/>
    <x v="17"/>
    <x v="17"/>
    <x v="0"/>
    <x v="48"/>
    <x v="1"/>
    <n v="93.007676130999997"/>
  </r>
  <r>
    <x v="0"/>
    <x v="17"/>
    <x v="17"/>
    <x v="0"/>
    <x v="49"/>
    <x v="1"/>
    <n v="0"/>
  </r>
  <r>
    <x v="0"/>
    <x v="17"/>
    <x v="17"/>
    <x v="0"/>
    <x v="50"/>
    <x v="1"/>
    <n v="0"/>
  </r>
  <r>
    <x v="0"/>
    <x v="17"/>
    <x v="17"/>
    <x v="0"/>
    <x v="51"/>
    <x v="1"/>
    <n v="0"/>
  </r>
  <r>
    <x v="0"/>
    <x v="17"/>
    <x v="17"/>
    <x v="0"/>
    <x v="52"/>
    <x v="1"/>
    <n v="0"/>
  </r>
  <r>
    <x v="0"/>
    <x v="17"/>
    <x v="17"/>
    <x v="0"/>
    <x v="53"/>
    <x v="1"/>
    <n v="0"/>
  </r>
  <r>
    <x v="0"/>
    <x v="17"/>
    <x v="17"/>
    <x v="0"/>
    <x v="54"/>
    <x v="1"/>
    <n v="0"/>
  </r>
  <r>
    <x v="0"/>
    <x v="17"/>
    <x v="17"/>
    <x v="0"/>
    <x v="55"/>
    <x v="1"/>
    <n v="0"/>
  </r>
  <r>
    <x v="0"/>
    <x v="17"/>
    <x v="17"/>
    <x v="1"/>
    <x v="46"/>
    <x v="1"/>
    <n v="17.023541083000001"/>
  </r>
  <r>
    <x v="0"/>
    <x v="17"/>
    <x v="17"/>
    <x v="1"/>
    <x v="47"/>
    <x v="1"/>
    <n v="17.023541083000001"/>
  </r>
  <r>
    <x v="0"/>
    <x v="17"/>
    <x v="17"/>
    <x v="1"/>
    <x v="48"/>
    <x v="1"/>
    <n v="17.023541083000001"/>
  </r>
  <r>
    <x v="0"/>
    <x v="17"/>
    <x v="17"/>
    <x v="1"/>
    <x v="49"/>
    <x v="1"/>
    <n v="0"/>
  </r>
  <r>
    <x v="0"/>
    <x v="17"/>
    <x v="17"/>
    <x v="1"/>
    <x v="50"/>
    <x v="1"/>
    <n v="0"/>
  </r>
  <r>
    <x v="0"/>
    <x v="17"/>
    <x v="17"/>
    <x v="1"/>
    <x v="51"/>
    <x v="1"/>
    <n v="0"/>
  </r>
  <r>
    <x v="0"/>
    <x v="17"/>
    <x v="17"/>
    <x v="1"/>
    <x v="52"/>
    <x v="1"/>
    <n v="0"/>
  </r>
  <r>
    <x v="0"/>
    <x v="17"/>
    <x v="17"/>
    <x v="1"/>
    <x v="53"/>
    <x v="1"/>
    <n v="0"/>
  </r>
  <r>
    <x v="0"/>
    <x v="17"/>
    <x v="17"/>
    <x v="1"/>
    <x v="54"/>
    <x v="1"/>
    <n v="0"/>
  </r>
  <r>
    <x v="0"/>
    <x v="17"/>
    <x v="17"/>
    <x v="1"/>
    <x v="55"/>
    <x v="1"/>
    <n v="0"/>
  </r>
  <r>
    <x v="0"/>
    <x v="17"/>
    <x v="17"/>
    <x v="2"/>
    <x v="46"/>
    <x v="1"/>
    <n v="13.061408760999999"/>
  </r>
  <r>
    <x v="0"/>
    <x v="17"/>
    <x v="17"/>
    <x v="2"/>
    <x v="47"/>
    <x v="1"/>
    <n v="13.061408760999999"/>
  </r>
  <r>
    <x v="0"/>
    <x v="17"/>
    <x v="17"/>
    <x v="2"/>
    <x v="48"/>
    <x v="1"/>
    <n v="13.061408760999999"/>
  </r>
  <r>
    <x v="0"/>
    <x v="17"/>
    <x v="17"/>
    <x v="2"/>
    <x v="49"/>
    <x v="1"/>
    <n v="0"/>
  </r>
  <r>
    <x v="0"/>
    <x v="17"/>
    <x v="17"/>
    <x v="2"/>
    <x v="50"/>
    <x v="1"/>
    <n v="0"/>
  </r>
  <r>
    <x v="0"/>
    <x v="17"/>
    <x v="17"/>
    <x v="2"/>
    <x v="51"/>
    <x v="1"/>
    <n v="0"/>
  </r>
  <r>
    <x v="0"/>
    <x v="17"/>
    <x v="17"/>
    <x v="2"/>
    <x v="52"/>
    <x v="1"/>
    <n v="0"/>
  </r>
  <r>
    <x v="0"/>
    <x v="17"/>
    <x v="17"/>
    <x v="2"/>
    <x v="53"/>
    <x v="1"/>
    <n v="0"/>
  </r>
  <r>
    <x v="0"/>
    <x v="17"/>
    <x v="17"/>
    <x v="2"/>
    <x v="54"/>
    <x v="1"/>
    <n v="0"/>
  </r>
  <r>
    <x v="0"/>
    <x v="17"/>
    <x v="17"/>
    <x v="2"/>
    <x v="55"/>
    <x v="1"/>
    <n v="0"/>
  </r>
  <r>
    <x v="0"/>
    <x v="17"/>
    <x v="17"/>
    <x v="3"/>
    <x v="46"/>
    <x v="1"/>
    <n v="7.8128983429999996"/>
  </r>
  <r>
    <x v="0"/>
    <x v="17"/>
    <x v="17"/>
    <x v="3"/>
    <x v="47"/>
    <x v="1"/>
    <n v="7.8128983429999996"/>
  </r>
  <r>
    <x v="0"/>
    <x v="17"/>
    <x v="17"/>
    <x v="3"/>
    <x v="48"/>
    <x v="1"/>
    <n v="7.8128983429999996"/>
  </r>
  <r>
    <x v="0"/>
    <x v="17"/>
    <x v="17"/>
    <x v="3"/>
    <x v="49"/>
    <x v="1"/>
    <n v="0"/>
  </r>
  <r>
    <x v="0"/>
    <x v="17"/>
    <x v="17"/>
    <x v="3"/>
    <x v="50"/>
    <x v="1"/>
    <n v="0"/>
  </r>
  <r>
    <x v="0"/>
    <x v="17"/>
    <x v="17"/>
    <x v="3"/>
    <x v="51"/>
    <x v="1"/>
    <n v="0"/>
  </r>
  <r>
    <x v="0"/>
    <x v="17"/>
    <x v="17"/>
    <x v="3"/>
    <x v="52"/>
    <x v="1"/>
    <n v="0"/>
  </r>
  <r>
    <x v="0"/>
    <x v="17"/>
    <x v="17"/>
    <x v="3"/>
    <x v="53"/>
    <x v="1"/>
    <n v="0"/>
  </r>
  <r>
    <x v="0"/>
    <x v="17"/>
    <x v="17"/>
    <x v="3"/>
    <x v="54"/>
    <x v="1"/>
    <n v="0"/>
  </r>
  <r>
    <x v="0"/>
    <x v="17"/>
    <x v="17"/>
    <x v="3"/>
    <x v="55"/>
    <x v="1"/>
    <n v="0"/>
  </r>
  <r>
    <x v="0"/>
    <x v="17"/>
    <x v="17"/>
    <x v="4"/>
    <x v="46"/>
    <x v="1"/>
    <n v="4.0437109199999997"/>
  </r>
  <r>
    <x v="0"/>
    <x v="17"/>
    <x v="17"/>
    <x v="4"/>
    <x v="47"/>
    <x v="1"/>
    <n v="4.0437109199999997"/>
  </r>
  <r>
    <x v="0"/>
    <x v="17"/>
    <x v="17"/>
    <x v="4"/>
    <x v="48"/>
    <x v="1"/>
    <n v="4.0437109199999997"/>
  </r>
  <r>
    <x v="0"/>
    <x v="17"/>
    <x v="17"/>
    <x v="4"/>
    <x v="49"/>
    <x v="1"/>
    <n v="0"/>
  </r>
  <r>
    <x v="0"/>
    <x v="17"/>
    <x v="17"/>
    <x v="4"/>
    <x v="50"/>
    <x v="1"/>
    <n v="0"/>
  </r>
  <r>
    <x v="0"/>
    <x v="17"/>
    <x v="17"/>
    <x v="4"/>
    <x v="51"/>
    <x v="1"/>
    <n v="0"/>
  </r>
  <r>
    <x v="0"/>
    <x v="17"/>
    <x v="17"/>
    <x v="4"/>
    <x v="52"/>
    <x v="1"/>
    <n v="0"/>
  </r>
  <r>
    <x v="0"/>
    <x v="17"/>
    <x v="17"/>
    <x v="4"/>
    <x v="53"/>
    <x v="1"/>
    <n v="0"/>
  </r>
  <r>
    <x v="0"/>
    <x v="17"/>
    <x v="17"/>
    <x v="4"/>
    <x v="54"/>
    <x v="1"/>
    <n v="0"/>
  </r>
  <r>
    <x v="0"/>
    <x v="17"/>
    <x v="17"/>
    <x v="4"/>
    <x v="55"/>
    <x v="1"/>
    <n v="0"/>
  </r>
  <r>
    <x v="0"/>
    <x v="17"/>
    <x v="17"/>
    <x v="5"/>
    <x v="46"/>
    <x v="1"/>
    <n v="54.572894044000002"/>
  </r>
  <r>
    <x v="0"/>
    <x v="17"/>
    <x v="17"/>
    <x v="5"/>
    <x v="47"/>
    <x v="1"/>
    <n v="54.572894044000002"/>
  </r>
  <r>
    <x v="0"/>
    <x v="17"/>
    <x v="17"/>
    <x v="5"/>
    <x v="48"/>
    <x v="1"/>
    <n v="54.572894044000002"/>
  </r>
  <r>
    <x v="0"/>
    <x v="17"/>
    <x v="17"/>
    <x v="5"/>
    <x v="49"/>
    <x v="1"/>
    <n v="0"/>
  </r>
  <r>
    <x v="0"/>
    <x v="17"/>
    <x v="17"/>
    <x v="5"/>
    <x v="50"/>
    <x v="1"/>
    <n v="0"/>
  </r>
  <r>
    <x v="0"/>
    <x v="17"/>
    <x v="17"/>
    <x v="5"/>
    <x v="51"/>
    <x v="1"/>
    <n v="0"/>
  </r>
  <r>
    <x v="0"/>
    <x v="17"/>
    <x v="17"/>
    <x v="5"/>
    <x v="52"/>
    <x v="1"/>
    <n v="0"/>
  </r>
  <r>
    <x v="0"/>
    <x v="17"/>
    <x v="17"/>
    <x v="5"/>
    <x v="53"/>
    <x v="1"/>
    <n v="0"/>
  </r>
  <r>
    <x v="0"/>
    <x v="17"/>
    <x v="17"/>
    <x v="5"/>
    <x v="54"/>
    <x v="1"/>
    <n v="0"/>
  </r>
  <r>
    <x v="0"/>
    <x v="17"/>
    <x v="17"/>
    <x v="5"/>
    <x v="55"/>
    <x v="1"/>
    <n v="0"/>
  </r>
  <r>
    <x v="0"/>
    <x v="17"/>
    <x v="17"/>
    <x v="6"/>
    <x v="46"/>
    <x v="1"/>
    <n v="17.067832782"/>
  </r>
  <r>
    <x v="0"/>
    <x v="17"/>
    <x v="17"/>
    <x v="6"/>
    <x v="47"/>
    <x v="1"/>
    <n v="17.067832782"/>
  </r>
  <r>
    <x v="0"/>
    <x v="17"/>
    <x v="17"/>
    <x v="6"/>
    <x v="48"/>
    <x v="1"/>
    <n v="17.067832782"/>
  </r>
  <r>
    <x v="0"/>
    <x v="17"/>
    <x v="17"/>
    <x v="6"/>
    <x v="49"/>
    <x v="1"/>
    <n v="0"/>
  </r>
  <r>
    <x v="0"/>
    <x v="17"/>
    <x v="17"/>
    <x v="6"/>
    <x v="50"/>
    <x v="1"/>
    <n v="0"/>
  </r>
  <r>
    <x v="0"/>
    <x v="17"/>
    <x v="17"/>
    <x v="6"/>
    <x v="51"/>
    <x v="1"/>
    <n v="0"/>
  </r>
  <r>
    <x v="0"/>
    <x v="17"/>
    <x v="17"/>
    <x v="6"/>
    <x v="52"/>
    <x v="1"/>
    <n v="0"/>
  </r>
  <r>
    <x v="0"/>
    <x v="17"/>
    <x v="17"/>
    <x v="6"/>
    <x v="53"/>
    <x v="1"/>
    <n v="0"/>
  </r>
  <r>
    <x v="0"/>
    <x v="17"/>
    <x v="17"/>
    <x v="6"/>
    <x v="54"/>
    <x v="1"/>
    <n v="0"/>
  </r>
  <r>
    <x v="0"/>
    <x v="17"/>
    <x v="17"/>
    <x v="6"/>
    <x v="55"/>
    <x v="1"/>
    <n v="0"/>
  </r>
  <r>
    <x v="0"/>
    <x v="17"/>
    <x v="17"/>
    <x v="7"/>
    <x v="46"/>
    <x v="1"/>
    <n v="10.709323553000001"/>
  </r>
  <r>
    <x v="0"/>
    <x v="17"/>
    <x v="17"/>
    <x v="7"/>
    <x v="47"/>
    <x v="1"/>
    <n v="10.709323553000001"/>
  </r>
  <r>
    <x v="0"/>
    <x v="17"/>
    <x v="17"/>
    <x v="7"/>
    <x v="48"/>
    <x v="1"/>
    <n v="10.709323553000001"/>
  </r>
  <r>
    <x v="0"/>
    <x v="17"/>
    <x v="17"/>
    <x v="7"/>
    <x v="49"/>
    <x v="1"/>
    <n v="0"/>
  </r>
  <r>
    <x v="0"/>
    <x v="17"/>
    <x v="17"/>
    <x v="7"/>
    <x v="50"/>
    <x v="1"/>
    <n v="0"/>
  </r>
  <r>
    <x v="0"/>
    <x v="17"/>
    <x v="17"/>
    <x v="7"/>
    <x v="51"/>
    <x v="1"/>
    <n v="0"/>
  </r>
  <r>
    <x v="0"/>
    <x v="17"/>
    <x v="17"/>
    <x v="7"/>
    <x v="52"/>
    <x v="1"/>
    <n v="0"/>
  </r>
  <r>
    <x v="0"/>
    <x v="17"/>
    <x v="17"/>
    <x v="7"/>
    <x v="53"/>
    <x v="1"/>
    <n v="0"/>
  </r>
  <r>
    <x v="0"/>
    <x v="17"/>
    <x v="17"/>
    <x v="7"/>
    <x v="54"/>
    <x v="1"/>
    <n v="0"/>
  </r>
  <r>
    <x v="0"/>
    <x v="17"/>
    <x v="17"/>
    <x v="7"/>
    <x v="55"/>
    <x v="1"/>
    <n v="0"/>
  </r>
  <r>
    <x v="0"/>
    <x v="17"/>
    <x v="17"/>
    <x v="8"/>
    <x v="46"/>
    <x v="1"/>
    <n v="6.8067286219999996"/>
  </r>
  <r>
    <x v="0"/>
    <x v="17"/>
    <x v="17"/>
    <x v="8"/>
    <x v="47"/>
    <x v="1"/>
    <n v="6.8067286219999996"/>
  </r>
  <r>
    <x v="0"/>
    <x v="17"/>
    <x v="17"/>
    <x v="8"/>
    <x v="48"/>
    <x v="1"/>
    <n v="6.8067286219999996"/>
  </r>
  <r>
    <x v="0"/>
    <x v="17"/>
    <x v="17"/>
    <x v="8"/>
    <x v="49"/>
    <x v="1"/>
    <n v="0"/>
  </r>
  <r>
    <x v="0"/>
    <x v="17"/>
    <x v="17"/>
    <x v="8"/>
    <x v="50"/>
    <x v="1"/>
    <n v="0"/>
  </r>
  <r>
    <x v="0"/>
    <x v="17"/>
    <x v="17"/>
    <x v="8"/>
    <x v="51"/>
    <x v="1"/>
    <n v="0"/>
  </r>
  <r>
    <x v="0"/>
    <x v="17"/>
    <x v="17"/>
    <x v="8"/>
    <x v="52"/>
    <x v="1"/>
    <n v="0"/>
  </r>
  <r>
    <x v="0"/>
    <x v="17"/>
    <x v="17"/>
    <x v="8"/>
    <x v="53"/>
    <x v="1"/>
    <n v="0"/>
  </r>
  <r>
    <x v="0"/>
    <x v="17"/>
    <x v="17"/>
    <x v="8"/>
    <x v="54"/>
    <x v="1"/>
    <n v="0"/>
  </r>
  <r>
    <x v="0"/>
    <x v="17"/>
    <x v="17"/>
    <x v="8"/>
    <x v="55"/>
    <x v="1"/>
    <n v="0"/>
  </r>
  <r>
    <x v="0"/>
    <x v="17"/>
    <x v="17"/>
    <x v="9"/>
    <x v="46"/>
    <x v="1"/>
    <n v="17.110232844999999"/>
  </r>
  <r>
    <x v="0"/>
    <x v="17"/>
    <x v="17"/>
    <x v="9"/>
    <x v="47"/>
    <x v="1"/>
    <n v="17.110232844999999"/>
  </r>
  <r>
    <x v="0"/>
    <x v="17"/>
    <x v="17"/>
    <x v="9"/>
    <x v="48"/>
    <x v="1"/>
    <n v="17.110232844999999"/>
  </r>
  <r>
    <x v="0"/>
    <x v="17"/>
    <x v="17"/>
    <x v="9"/>
    <x v="49"/>
    <x v="1"/>
    <n v="0"/>
  </r>
  <r>
    <x v="0"/>
    <x v="17"/>
    <x v="17"/>
    <x v="9"/>
    <x v="50"/>
    <x v="1"/>
    <n v="0"/>
  </r>
  <r>
    <x v="0"/>
    <x v="17"/>
    <x v="17"/>
    <x v="9"/>
    <x v="51"/>
    <x v="1"/>
    <n v="0"/>
  </r>
  <r>
    <x v="0"/>
    <x v="17"/>
    <x v="17"/>
    <x v="9"/>
    <x v="52"/>
    <x v="1"/>
    <n v="0"/>
  </r>
  <r>
    <x v="0"/>
    <x v="17"/>
    <x v="17"/>
    <x v="9"/>
    <x v="53"/>
    <x v="1"/>
    <n v="0"/>
  </r>
  <r>
    <x v="0"/>
    <x v="17"/>
    <x v="17"/>
    <x v="9"/>
    <x v="54"/>
    <x v="1"/>
    <n v="0"/>
  </r>
  <r>
    <x v="0"/>
    <x v="17"/>
    <x v="17"/>
    <x v="9"/>
    <x v="55"/>
    <x v="1"/>
    <n v="0"/>
  </r>
  <r>
    <x v="0"/>
    <x v="17"/>
    <x v="17"/>
    <x v="10"/>
    <x v="46"/>
    <x v="1"/>
    <n v="18.025970036"/>
  </r>
  <r>
    <x v="0"/>
    <x v="17"/>
    <x v="17"/>
    <x v="10"/>
    <x v="47"/>
    <x v="1"/>
    <n v="18.025970036"/>
  </r>
  <r>
    <x v="0"/>
    <x v="17"/>
    <x v="17"/>
    <x v="10"/>
    <x v="48"/>
    <x v="1"/>
    <n v="18.025970036"/>
  </r>
  <r>
    <x v="0"/>
    <x v="17"/>
    <x v="17"/>
    <x v="10"/>
    <x v="49"/>
    <x v="1"/>
    <n v="0"/>
  </r>
  <r>
    <x v="0"/>
    <x v="17"/>
    <x v="17"/>
    <x v="10"/>
    <x v="50"/>
    <x v="1"/>
    <n v="0"/>
  </r>
  <r>
    <x v="0"/>
    <x v="17"/>
    <x v="17"/>
    <x v="10"/>
    <x v="51"/>
    <x v="1"/>
    <n v="0"/>
  </r>
  <r>
    <x v="0"/>
    <x v="17"/>
    <x v="17"/>
    <x v="10"/>
    <x v="52"/>
    <x v="1"/>
    <n v="0"/>
  </r>
  <r>
    <x v="0"/>
    <x v="17"/>
    <x v="17"/>
    <x v="10"/>
    <x v="53"/>
    <x v="1"/>
    <n v="0"/>
  </r>
  <r>
    <x v="0"/>
    <x v="17"/>
    <x v="17"/>
    <x v="10"/>
    <x v="54"/>
    <x v="1"/>
    <n v="0"/>
  </r>
  <r>
    <x v="0"/>
    <x v="17"/>
    <x v="17"/>
    <x v="10"/>
    <x v="55"/>
    <x v="1"/>
    <n v="0"/>
  </r>
  <r>
    <x v="0"/>
    <x v="17"/>
    <x v="17"/>
    <x v="11"/>
    <x v="46"/>
    <x v="1"/>
    <n v="59.552567975000002"/>
  </r>
  <r>
    <x v="0"/>
    <x v="17"/>
    <x v="17"/>
    <x v="11"/>
    <x v="47"/>
    <x v="1"/>
    <n v="59.552567975000002"/>
  </r>
  <r>
    <x v="0"/>
    <x v="17"/>
    <x v="17"/>
    <x v="11"/>
    <x v="48"/>
    <x v="1"/>
    <n v="59.552567975000002"/>
  </r>
  <r>
    <x v="0"/>
    <x v="17"/>
    <x v="17"/>
    <x v="11"/>
    <x v="49"/>
    <x v="1"/>
    <n v="0"/>
  </r>
  <r>
    <x v="0"/>
    <x v="17"/>
    <x v="17"/>
    <x v="11"/>
    <x v="50"/>
    <x v="1"/>
    <n v="0"/>
  </r>
  <r>
    <x v="0"/>
    <x v="17"/>
    <x v="17"/>
    <x v="11"/>
    <x v="51"/>
    <x v="1"/>
    <n v="0"/>
  </r>
  <r>
    <x v="0"/>
    <x v="17"/>
    <x v="17"/>
    <x v="11"/>
    <x v="52"/>
    <x v="1"/>
    <n v="0"/>
  </r>
  <r>
    <x v="0"/>
    <x v="17"/>
    <x v="17"/>
    <x v="11"/>
    <x v="53"/>
    <x v="1"/>
    <n v="0"/>
  </r>
  <r>
    <x v="0"/>
    <x v="17"/>
    <x v="17"/>
    <x v="11"/>
    <x v="54"/>
    <x v="1"/>
    <n v="0"/>
  </r>
  <r>
    <x v="0"/>
    <x v="17"/>
    <x v="17"/>
    <x v="11"/>
    <x v="55"/>
    <x v="1"/>
    <n v="0"/>
  </r>
  <r>
    <x v="0"/>
    <x v="17"/>
    <x v="17"/>
    <x v="12"/>
    <x v="46"/>
    <x v="1"/>
    <n v="14.147720958000001"/>
  </r>
  <r>
    <x v="0"/>
    <x v="17"/>
    <x v="17"/>
    <x v="12"/>
    <x v="47"/>
    <x v="1"/>
    <n v="14.147720958000001"/>
  </r>
  <r>
    <x v="0"/>
    <x v="17"/>
    <x v="17"/>
    <x v="12"/>
    <x v="48"/>
    <x v="1"/>
    <n v="14.147720958000001"/>
  </r>
  <r>
    <x v="0"/>
    <x v="17"/>
    <x v="17"/>
    <x v="12"/>
    <x v="49"/>
    <x v="1"/>
    <n v="0"/>
  </r>
  <r>
    <x v="0"/>
    <x v="17"/>
    <x v="17"/>
    <x v="12"/>
    <x v="50"/>
    <x v="1"/>
    <n v="0"/>
  </r>
  <r>
    <x v="0"/>
    <x v="17"/>
    <x v="17"/>
    <x v="12"/>
    <x v="51"/>
    <x v="1"/>
    <n v="0"/>
  </r>
  <r>
    <x v="0"/>
    <x v="17"/>
    <x v="17"/>
    <x v="12"/>
    <x v="52"/>
    <x v="1"/>
    <n v="0"/>
  </r>
  <r>
    <x v="0"/>
    <x v="17"/>
    <x v="17"/>
    <x v="12"/>
    <x v="53"/>
    <x v="1"/>
    <n v="0"/>
  </r>
  <r>
    <x v="0"/>
    <x v="17"/>
    <x v="17"/>
    <x v="12"/>
    <x v="54"/>
    <x v="1"/>
    <n v="0"/>
  </r>
  <r>
    <x v="0"/>
    <x v="17"/>
    <x v="17"/>
    <x v="12"/>
    <x v="55"/>
    <x v="1"/>
    <n v="0"/>
  </r>
  <r>
    <x v="0"/>
    <x v="17"/>
    <x v="17"/>
    <x v="13"/>
    <x v="46"/>
    <x v="1"/>
    <n v="34.183368010999999"/>
  </r>
  <r>
    <x v="0"/>
    <x v="17"/>
    <x v="17"/>
    <x v="13"/>
    <x v="47"/>
    <x v="1"/>
    <n v="34.183368010999999"/>
  </r>
  <r>
    <x v="0"/>
    <x v="17"/>
    <x v="17"/>
    <x v="13"/>
    <x v="48"/>
    <x v="1"/>
    <n v="34.183368010999999"/>
  </r>
  <r>
    <x v="0"/>
    <x v="17"/>
    <x v="17"/>
    <x v="13"/>
    <x v="49"/>
    <x v="1"/>
    <n v="0"/>
  </r>
  <r>
    <x v="0"/>
    <x v="17"/>
    <x v="17"/>
    <x v="13"/>
    <x v="50"/>
    <x v="1"/>
    <n v="0"/>
  </r>
  <r>
    <x v="0"/>
    <x v="17"/>
    <x v="17"/>
    <x v="13"/>
    <x v="51"/>
    <x v="1"/>
    <n v="0"/>
  </r>
  <r>
    <x v="0"/>
    <x v="17"/>
    <x v="17"/>
    <x v="13"/>
    <x v="52"/>
    <x v="1"/>
    <n v="0"/>
  </r>
  <r>
    <x v="0"/>
    <x v="17"/>
    <x v="17"/>
    <x v="13"/>
    <x v="53"/>
    <x v="1"/>
    <n v="0"/>
  </r>
  <r>
    <x v="0"/>
    <x v="17"/>
    <x v="17"/>
    <x v="13"/>
    <x v="54"/>
    <x v="1"/>
    <n v="0"/>
  </r>
  <r>
    <x v="0"/>
    <x v="17"/>
    <x v="17"/>
    <x v="13"/>
    <x v="55"/>
    <x v="1"/>
    <n v="0"/>
  </r>
  <r>
    <x v="0"/>
    <x v="17"/>
    <x v="17"/>
    <x v="14"/>
    <x v="46"/>
    <x v="1"/>
    <n v="10.809954218"/>
  </r>
  <r>
    <x v="0"/>
    <x v="17"/>
    <x v="17"/>
    <x v="14"/>
    <x v="47"/>
    <x v="1"/>
    <n v="10.809954218"/>
  </r>
  <r>
    <x v="0"/>
    <x v="17"/>
    <x v="17"/>
    <x v="14"/>
    <x v="48"/>
    <x v="1"/>
    <n v="10.809954218"/>
  </r>
  <r>
    <x v="0"/>
    <x v="17"/>
    <x v="17"/>
    <x v="14"/>
    <x v="49"/>
    <x v="1"/>
    <n v="0"/>
  </r>
  <r>
    <x v="0"/>
    <x v="17"/>
    <x v="17"/>
    <x v="14"/>
    <x v="50"/>
    <x v="1"/>
    <n v="0"/>
  </r>
  <r>
    <x v="0"/>
    <x v="17"/>
    <x v="17"/>
    <x v="14"/>
    <x v="51"/>
    <x v="1"/>
    <n v="0"/>
  </r>
  <r>
    <x v="0"/>
    <x v="17"/>
    <x v="17"/>
    <x v="14"/>
    <x v="52"/>
    <x v="1"/>
    <n v="0"/>
  </r>
  <r>
    <x v="0"/>
    <x v="17"/>
    <x v="17"/>
    <x v="14"/>
    <x v="53"/>
    <x v="1"/>
    <n v="0"/>
  </r>
  <r>
    <x v="0"/>
    <x v="17"/>
    <x v="17"/>
    <x v="14"/>
    <x v="54"/>
    <x v="1"/>
    <n v="0"/>
  </r>
  <r>
    <x v="0"/>
    <x v="17"/>
    <x v="17"/>
    <x v="14"/>
    <x v="55"/>
    <x v="1"/>
    <n v="0"/>
  </r>
  <r>
    <x v="0"/>
    <x v="17"/>
    <x v="17"/>
    <x v="15"/>
    <x v="46"/>
    <x v="1"/>
    <n v="12.620193588999999"/>
  </r>
  <r>
    <x v="0"/>
    <x v="17"/>
    <x v="17"/>
    <x v="15"/>
    <x v="47"/>
    <x v="1"/>
    <n v="12.620193588999999"/>
  </r>
  <r>
    <x v="0"/>
    <x v="17"/>
    <x v="17"/>
    <x v="15"/>
    <x v="48"/>
    <x v="1"/>
    <n v="12.620193588999999"/>
  </r>
  <r>
    <x v="0"/>
    <x v="17"/>
    <x v="17"/>
    <x v="15"/>
    <x v="49"/>
    <x v="1"/>
    <n v="0"/>
  </r>
  <r>
    <x v="0"/>
    <x v="17"/>
    <x v="17"/>
    <x v="15"/>
    <x v="50"/>
    <x v="1"/>
    <n v="0"/>
  </r>
  <r>
    <x v="0"/>
    <x v="17"/>
    <x v="17"/>
    <x v="15"/>
    <x v="51"/>
    <x v="1"/>
    <n v="0"/>
  </r>
  <r>
    <x v="0"/>
    <x v="17"/>
    <x v="17"/>
    <x v="15"/>
    <x v="52"/>
    <x v="1"/>
    <n v="0"/>
  </r>
  <r>
    <x v="0"/>
    <x v="17"/>
    <x v="17"/>
    <x v="15"/>
    <x v="53"/>
    <x v="1"/>
    <n v="0"/>
  </r>
  <r>
    <x v="0"/>
    <x v="17"/>
    <x v="17"/>
    <x v="15"/>
    <x v="54"/>
    <x v="1"/>
    <n v="0"/>
  </r>
  <r>
    <x v="0"/>
    <x v="17"/>
    <x v="17"/>
    <x v="15"/>
    <x v="55"/>
    <x v="1"/>
    <n v="0"/>
  </r>
  <r>
    <x v="0"/>
    <x v="17"/>
    <x v="17"/>
    <x v="16"/>
    <x v="46"/>
    <x v="1"/>
    <n v="8.1451348019999994"/>
  </r>
  <r>
    <x v="0"/>
    <x v="17"/>
    <x v="17"/>
    <x v="16"/>
    <x v="47"/>
    <x v="1"/>
    <n v="8.1451348019999994"/>
  </r>
  <r>
    <x v="0"/>
    <x v="17"/>
    <x v="17"/>
    <x v="16"/>
    <x v="48"/>
    <x v="1"/>
    <n v="8.1451348019999994"/>
  </r>
  <r>
    <x v="0"/>
    <x v="17"/>
    <x v="17"/>
    <x v="16"/>
    <x v="49"/>
    <x v="1"/>
    <n v="0"/>
  </r>
  <r>
    <x v="0"/>
    <x v="17"/>
    <x v="17"/>
    <x v="16"/>
    <x v="50"/>
    <x v="1"/>
    <n v="0"/>
  </r>
  <r>
    <x v="0"/>
    <x v="17"/>
    <x v="17"/>
    <x v="16"/>
    <x v="51"/>
    <x v="1"/>
    <n v="0"/>
  </r>
  <r>
    <x v="0"/>
    <x v="17"/>
    <x v="17"/>
    <x v="16"/>
    <x v="52"/>
    <x v="1"/>
    <n v="0"/>
  </r>
  <r>
    <x v="0"/>
    <x v="17"/>
    <x v="17"/>
    <x v="16"/>
    <x v="53"/>
    <x v="1"/>
    <n v="0"/>
  </r>
  <r>
    <x v="0"/>
    <x v="17"/>
    <x v="17"/>
    <x v="16"/>
    <x v="54"/>
    <x v="1"/>
    <n v="0"/>
  </r>
  <r>
    <x v="0"/>
    <x v="17"/>
    <x v="17"/>
    <x v="16"/>
    <x v="55"/>
    <x v="1"/>
    <n v="0"/>
  </r>
  <r>
    <x v="0"/>
    <x v="17"/>
    <x v="17"/>
    <x v="17"/>
    <x v="46"/>
    <x v="1"/>
    <n v="19.356988836999999"/>
  </r>
  <r>
    <x v="0"/>
    <x v="17"/>
    <x v="17"/>
    <x v="17"/>
    <x v="47"/>
    <x v="1"/>
    <n v="19.356988836999999"/>
  </r>
  <r>
    <x v="0"/>
    <x v="17"/>
    <x v="17"/>
    <x v="17"/>
    <x v="48"/>
    <x v="1"/>
    <n v="19.356988836999999"/>
  </r>
  <r>
    <x v="0"/>
    <x v="17"/>
    <x v="17"/>
    <x v="17"/>
    <x v="49"/>
    <x v="1"/>
    <n v="0"/>
  </r>
  <r>
    <x v="0"/>
    <x v="17"/>
    <x v="17"/>
    <x v="17"/>
    <x v="50"/>
    <x v="1"/>
    <n v="0"/>
  </r>
  <r>
    <x v="0"/>
    <x v="17"/>
    <x v="17"/>
    <x v="17"/>
    <x v="51"/>
    <x v="1"/>
    <n v="0"/>
  </r>
  <r>
    <x v="0"/>
    <x v="17"/>
    <x v="17"/>
    <x v="17"/>
    <x v="52"/>
    <x v="1"/>
    <n v="0"/>
  </r>
  <r>
    <x v="0"/>
    <x v="17"/>
    <x v="17"/>
    <x v="17"/>
    <x v="53"/>
    <x v="1"/>
    <n v="0"/>
  </r>
  <r>
    <x v="0"/>
    <x v="17"/>
    <x v="17"/>
    <x v="17"/>
    <x v="54"/>
    <x v="1"/>
    <n v="0"/>
  </r>
  <r>
    <x v="0"/>
    <x v="17"/>
    <x v="17"/>
    <x v="17"/>
    <x v="55"/>
    <x v="1"/>
    <n v="0"/>
  </r>
  <r>
    <x v="0"/>
    <x v="17"/>
    <x v="17"/>
    <x v="18"/>
    <x v="46"/>
    <x v="1"/>
    <n v="15.257864125999999"/>
  </r>
  <r>
    <x v="0"/>
    <x v="17"/>
    <x v="17"/>
    <x v="18"/>
    <x v="47"/>
    <x v="1"/>
    <n v="15.257864125999999"/>
  </r>
  <r>
    <x v="0"/>
    <x v="17"/>
    <x v="17"/>
    <x v="18"/>
    <x v="48"/>
    <x v="1"/>
    <n v="15.257864125999999"/>
  </r>
  <r>
    <x v="0"/>
    <x v="17"/>
    <x v="17"/>
    <x v="18"/>
    <x v="49"/>
    <x v="1"/>
    <n v="0"/>
  </r>
  <r>
    <x v="0"/>
    <x v="17"/>
    <x v="17"/>
    <x v="18"/>
    <x v="50"/>
    <x v="1"/>
    <n v="0"/>
  </r>
  <r>
    <x v="0"/>
    <x v="17"/>
    <x v="17"/>
    <x v="18"/>
    <x v="51"/>
    <x v="1"/>
    <n v="0"/>
  </r>
  <r>
    <x v="0"/>
    <x v="17"/>
    <x v="17"/>
    <x v="18"/>
    <x v="52"/>
    <x v="1"/>
    <n v="0"/>
  </r>
  <r>
    <x v="0"/>
    <x v="17"/>
    <x v="17"/>
    <x v="18"/>
    <x v="53"/>
    <x v="1"/>
    <n v="0"/>
  </r>
  <r>
    <x v="0"/>
    <x v="17"/>
    <x v="17"/>
    <x v="18"/>
    <x v="54"/>
    <x v="1"/>
    <n v="0"/>
  </r>
  <r>
    <x v="0"/>
    <x v="17"/>
    <x v="17"/>
    <x v="18"/>
    <x v="55"/>
    <x v="1"/>
    <n v="0"/>
  </r>
  <r>
    <x v="0"/>
    <x v="17"/>
    <x v="17"/>
    <x v="19"/>
    <x v="46"/>
    <x v="1"/>
    <n v="20.723214073000001"/>
  </r>
  <r>
    <x v="0"/>
    <x v="17"/>
    <x v="17"/>
    <x v="19"/>
    <x v="47"/>
    <x v="1"/>
    <n v="20.723214073000001"/>
  </r>
  <r>
    <x v="0"/>
    <x v="17"/>
    <x v="17"/>
    <x v="19"/>
    <x v="48"/>
    <x v="1"/>
    <n v="20.723214073000001"/>
  </r>
  <r>
    <x v="0"/>
    <x v="17"/>
    <x v="17"/>
    <x v="19"/>
    <x v="49"/>
    <x v="1"/>
    <n v="0"/>
  </r>
  <r>
    <x v="0"/>
    <x v="17"/>
    <x v="17"/>
    <x v="19"/>
    <x v="50"/>
    <x v="1"/>
    <n v="0"/>
  </r>
  <r>
    <x v="0"/>
    <x v="17"/>
    <x v="17"/>
    <x v="19"/>
    <x v="51"/>
    <x v="1"/>
    <n v="0"/>
  </r>
  <r>
    <x v="0"/>
    <x v="17"/>
    <x v="17"/>
    <x v="19"/>
    <x v="52"/>
    <x v="1"/>
    <n v="0"/>
  </r>
  <r>
    <x v="0"/>
    <x v="17"/>
    <x v="17"/>
    <x v="19"/>
    <x v="53"/>
    <x v="1"/>
    <n v="0"/>
  </r>
  <r>
    <x v="0"/>
    <x v="17"/>
    <x v="17"/>
    <x v="19"/>
    <x v="54"/>
    <x v="1"/>
    <n v="0"/>
  </r>
  <r>
    <x v="0"/>
    <x v="17"/>
    <x v="17"/>
    <x v="19"/>
    <x v="55"/>
    <x v="1"/>
    <n v="0"/>
  </r>
  <r>
    <x v="0"/>
    <x v="17"/>
    <x v="17"/>
    <x v="20"/>
    <x v="46"/>
    <x v="1"/>
    <n v="2.7357511849999998"/>
  </r>
  <r>
    <x v="0"/>
    <x v="17"/>
    <x v="17"/>
    <x v="20"/>
    <x v="47"/>
    <x v="1"/>
    <n v="2.7357511849999998"/>
  </r>
  <r>
    <x v="0"/>
    <x v="17"/>
    <x v="17"/>
    <x v="20"/>
    <x v="48"/>
    <x v="1"/>
    <n v="2.7357511849999998"/>
  </r>
  <r>
    <x v="0"/>
    <x v="17"/>
    <x v="17"/>
    <x v="20"/>
    <x v="49"/>
    <x v="1"/>
    <n v="0"/>
  </r>
  <r>
    <x v="0"/>
    <x v="17"/>
    <x v="17"/>
    <x v="20"/>
    <x v="50"/>
    <x v="1"/>
    <n v="0"/>
  </r>
  <r>
    <x v="0"/>
    <x v="17"/>
    <x v="17"/>
    <x v="20"/>
    <x v="51"/>
    <x v="1"/>
    <n v="0"/>
  </r>
  <r>
    <x v="0"/>
    <x v="17"/>
    <x v="17"/>
    <x v="20"/>
    <x v="52"/>
    <x v="1"/>
    <n v="0"/>
  </r>
  <r>
    <x v="0"/>
    <x v="17"/>
    <x v="17"/>
    <x v="20"/>
    <x v="53"/>
    <x v="1"/>
    <n v="0"/>
  </r>
  <r>
    <x v="0"/>
    <x v="17"/>
    <x v="17"/>
    <x v="20"/>
    <x v="54"/>
    <x v="1"/>
    <n v="0"/>
  </r>
  <r>
    <x v="0"/>
    <x v="17"/>
    <x v="17"/>
    <x v="20"/>
    <x v="55"/>
    <x v="1"/>
    <n v="0"/>
  </r>
  <r>
    <x v="0"/>
    <x v="17"/>
    <x v="17"/>
    <x v="21"/>
    <x v="46"/>
    <x v="1"/>
    <n v="1.248853641"/>
  </r>
  <r>
    <x v="0"/>
    <x v="17"/>
    <x v="17"/>
    <x v="21"/>
    <x v="47"/>
    <x v="1"/>
    <n v="1.248853641"/>
  </r>
  <r>
    <x v="0"/>
    <x v="17"/>
    <x v="17"/>
    <x v="21"/>
    <x v="48"/>
    <x v="1"/>
    <n v="1.248853641"/>
  </r>
  <r>
    <x v="0"/>
    <x v="17"/>
    <x v="17"/>
    <x v="21"/>
    <x v="49"/>
    <x v="1"/>
    <n v="0"/>
  </r>
  <r>
    <x v="0"/>
    <x v="17"/>
    <x v="17"/>
    <x v="21"/>
    <x v="50"/>
    <x v="1"/>
    <n v="0"/>
  </r>
  <r>
    <x v="0"/>
    <x v="17"/>
    <x v="17"/>
    <x v="21"/>
    <x v="51"/>
    <x v="1"/>
    <n v="0"/>
  </r>
  <r>
    <x v="0"/>
    <x v="17"/>
    <x v="17"/>
    <x v="21"/>
    <x v="52"/>
    <x v="1"/>
    <n v="0"/>
  </r>
  <r>
    <x v="0"/>
    <x v="17"/>
    <x v="17"/>
    <x v="21"/>
    <x v="53"/>
    <x v="1"/>
    <n v="0"/>
  </r>
  <r>
    <x v="0"/>
    <x v="17"/>
    <x v="17"/>
    <x v="21"/>
    <x v="54"/>
    <x v="1"/>
    <n v="0"/>
  </r>
  <r>
    <x v="0"/>
    <x v="17"/>
    <x v="17"/>
    <x v="21"/>
    <x v="55"/>
    <x v="1"/>
    <n v="0"/>
  </r>
  <r>
    <x v="0"/>
    <x v="17"/>
    <x v="17"/>
    <x v="22"/>
    <x v="46"/>
    <x v="1"/>
    <n v="1.100375908"/>
  </r>
  <r>
    <x v="0"/>
    <x v="17"/>
    <x v="17"/>
    <x v="22"/>
    <x v="47"/>
    <x v="1"/>
    <n v="1.100375908"/>
  </r>
  <r>
    <x v="0"/>
    <x v="17"/>
    <x v="17"/>
    <x v="22"/>
    <x v="48"/>
    <x v="1"/>
    <n v="1.100375908"/>
  </r>
  <r>
    <x v="0"/>
    <x v="17"/>
    <x v="17"/>
    <x v="22"/>
    <x v="49"/>
    <x v="1"/>
    <n v="0"/>
  </r>
  <r>
    <x v="0"/>
    <x v="17"/>
    <x v="17"/>
    <x v="22"/>
    <x v="50"/>
    <x v="1"/>
    <n v="0"/>
  </r>
  <r>
    <x v="0"/>
    <x v="17"/>
    <x v="17"/>
    <x v="22"/>
    <x v="51"/>
    <x v="1"/>
    <n v="0"/>
  </r>
  <r>
    <x v="0"/>
    <x v="17"/>
    <x v="17"/>
    <x v="22"/>
    <x v="52"/>
    <x v="1"/>
    <n v="0"/>
  </r>
  <r>
    <x v="0"/>
    <x v="17"/>
    <x v="17"/>
    <x v="22"/>
    <x v="53"/>
    <x v="1"/>
    <n v="0"/>
  </r>
  <r>
    <x v="0"/>
    <x v="17"/>
    <x v="17"/>
    <x v="22"/>
    <x v="54"/>
    <x v="1"/>
    <n v="0"/>
  </r>
  <r>
    <x v="0"/>
    <x v="17"/>
    <x v="17"/>
    <x v="22"/>
    <x v="55"/>
    <x v="1"/>
    <n v="0"/>
  </r>
  <r>
    <x v="0"/>
    <x v="17"/>
    <x v="17"/>
    <x v="23"/>
    <x v="46"/>
    <x v="1"/>
    <n v="0.54119630799999996"/>
  </r>
  <r>
    <x v="0"/>
    <x v="17"/>
    <x v="17"/>
    <x v="23"/>
    <x v="47"/>
    <x v="1"/>
    <n v="0.54119630799999996"/>
  </r>
  <r>
    <x v="0"/>
    <x v="17"/>
    <x v="17"/>
    <x v="23"/>
    <x v="48"/>
    <x v="1"/>
    <n v="0.54119630799999996"/>
  </r>
  <r>
    <x v="0"/>
    <x v="17"/>
    <x v="17"/>
    <x v="23"/>
    <x v="49"/>
    <x v="1"/>
    <n v="0"/>
  </r>
  <r>
    <x v="0"/>
    <x v="17"/>
    <x v="17"/>
    <x v="23"/>
    <x v="50"/>
    <x v="1"/>
    <n v="0"/>
  </r>
  <r>
    <x v="0"/>
    <x v="17"/>
    <x v="17"/>
    <x v="23"/>
    <x v="51"/>
    <x v="1"/>
    <n v="0"/>
  </r>
  <r>
    <x v="0"/>
    <x v="17"/>
    <x v="17"/>
    <x v="23"/>
    <x v="52"/>
    <x v="1"/>
    <n v="0"/>
  </r>
  <r>
    <x v="0"/>
    <x v="17"/>
    <x v="17"/>
    <x v="23"/>
    <x v="53"/>
    <x v="1"/>
    <n v="0"/>
  </r>
  <r>
    <x v="0"/>
    <x v="17"/>
    <x v="17"/>
    <x v="23"/>
    <x v="54"/>
    <x v="1"/>
    <n v="0"/>
  </r>
  <r>
    <x v="0"/>
    <x v="17"/>
    <x v="17"/>
    <x v="23"/>
    <x v="55"/>
    <x v="1"/>
    <n v="0"/>
  </r>
  <r>
    <x v="0"/>
    <x v="17"/>
    <x v="17"/>
    <x v="24"/>
    <x v="46"/>
    <x v="1"/>
    <n v="21.902044521000001"/>
  </r>
  <r>
    <x v="0"/>
    <x v="17"/>
    <x v="17"/>
    <x v="24"/>
    <x v="47"/>
    <x v="1"/>
    <n v="21.902044521000001"/>
  </r>
  <r>
    <x v="0"/>
    <x v="17"/>
    <x v="17"/>
    <x v="24"/>
    <x v="48"/>
    <x v="1"/>
    <n v="21.902044521000001"/>
  </r>
  <r>
    <x v="0"/>
    <x v="17"/>
    <x v="17"/>
    <x v="24"/>
    <x v="49"/>
    <x v="1"/>
    <n v="0"/>
  </r>
  <r>
    <x v="0"/>
    <x v="17"/>
    <x v="17"/>
    <x v="24"/>
    <x v="50"/>
    <x v="1"/>
    <n v="0"/>
  </r>
  <r>
    <x v="0"/>
    <x v="17"/>
    <x v="17"/>
    <x v="24"/>
    <x v="51"/>
    <x v="1"/>
    <n v="0"/>
  </r>
  <r>
    <x v="0"/>
    <x v="17"/>
    <x v="17"/>
    <x v="24"/>
    <x v="52"/>
    <x v="1"/>
    <n v="0"/>
  </r>
  <r>
    <x v="0"/>
    <x v="17"/>
    <x v="17"/>
    <x v="24"/>
    <x v="53"/>
    <x v="1"/>
    <n v="0"/>
  </r>
  <r>
    <x v="0"/>
    <x v="17"/>
    <x v="17"/>
    <x v="24"/>
    <x v="54"/>
    <x v="1"/>
    <n v="0"/>
  </r>
  <r>
    <x v="0"/>
    <x v="17"/>
    <x v="17"/>
    <x v="24"/>
    <x v="55"/>
    <x v="1"/>
    <n v="0"/>
  </r>
  <r>
    <x v="0"/>
    <x v="17"/>
    <x v="17"/>
    <x v="25"/>
    <x v="46"/>
    <x v="1"/>
    <n v="1.024467786"/>
  </r>
  <r>
    <x v="0"/>
    <x v="17"/>
    <x v="17"/>
    <x v="25"/>
    <x v="47"/>
    <x v="1"/>
    <n v="1.024467786"/>
  </r>
  <r>
    <x v="0"/>
    <x v="17"/>
    <x v="17"/>
    <x v="25"/>
    <x v="48"/>
    <x v="1"/>
    <n v="1.024467786"/>
  </r>
  <r>
    <x v="0"/>
    <x v="17"/>
    <x v="17"/>
    <x v="25"/>
    <x v="49"/>
    <x v="1"/>
    <n v="0"/>
  </r>
  <r>
    <x v="0"/>
    <x v="17"/>
    <x v="17"/>
    <x v="25"/>
    <x v="50"/>
    <x v="1"/>
    <n v="0"/>
  </r>
  <r>
    <x v="0"/>
    <x v="17"/>
    <x v="17"/>
    <x v="25"/>
    <x v="51"/>
    <x v="1"/>
    <n v="0"/>
  </r>
  <r>
    <x v="0"/>
    <x v="17"/>
    <x v="17"/>
    <x v="25"/>
    <x v="52"/>
    <x v="1"/>
    <n v="0"/>
  </r>
  <r>
    <x v="0"/>
    <x v="17"/>
    <x v="17"/>
    <x v="25"/>
    <x v="53"/>
    <x v="1"/>
    <n v="0"/>
  </r>
  <r>
    <x v="0"/>
    <x v="17"/>
    <x v="17"/>
    <x v="25"/>
    <x v="54"/>
    <x v="1"/>
    <n v="0"/>
  </r>
  <r>
    <x v="0"/>
    <x v="17"/>
    <x v="17"/>
    <x v="25"/>
    <x v="55"/>
    <x v="1"/>
    <n v="0"/>
  </r>
  <r>
    <x v="0"/>
    <x v="17"/>
    <x v="17"/>
    <x v="26"/>
    <x v="46"/>
    <x v="1"/>
    <n v="0.72781735999999997"/>
  </r>
  <r>
    <x v="0"/>
    <x v="17"/>
    <x v="17"/>
    <x v="26"/>
    <x v="47"/>
    <x v="1"/>
    <n v="0.72781735999999997"/>
  </r>
  <r>
    <x v="0"/>
    <x v="17"/>
    <x v="17"/>
    <x v="26"/>
    <x v="48"/>
    <x v="1"/>
    <n v="0.72781735999999997"/>
  </r>
  <r>
    <x v="0"/>
    <x v="17"/>
    <x v="17"/>
    <x v="26"/>
    <x v="49"/>
    <x v="1"/>
    <n v="0"/>
  </r>
  <r>
    <x v="0"/>
    <x v="17"/>
    <x v="17"/>
    <x v="26"/>
    <x v="50"/>
    <x v="1"/>
    <n v="0"/>
  </r>
  <r>
    <x v="0"/>
    <x v="17"/>
    <x v="17"/>
    <x v="26"/>
    <x v="51"/>
    <x v="1"/>
    <n v="0"/>
  </r>
  <r>
    <x v="0"/>
    <x v="17"/>
    <x v="17"/>
    <x v="26"/>
    <x v="52"/>
    <x v="1"/>
    <n v="0"/>
  </r>
  <r>
    <x v="0"/>
    <x v="17"/>
    <x v="17"/>
    <x v="26"/>
    <x v="53"/>
    <x v="1"/>
    <n v="0"/>
  </r>
  <r>
    <x v="0"/>
    <x v="17"/>
    <x v="17"/>
    <x v="26"/>
    <x v="54"/>
    <x v="1"/>
    <n v="0"/>
  </r>
  <r>
    <x v="0"/>
    <x v="17"/>
    <x v="17"/>
    <x v="26"/>
    <x v="55"/>
    <x v="1"/>
    <n v="0"/>
  </r>
  <r>
    <x v="0"/>
    <x v="17"/>
    <x v="17"/>
    <x v="27"/>
    <x v="46"/>
    <x v="1"/>
    <n v="31.576284553000001"/>
  </r>
  <r>
    <x v="0"/>
    <x v="17"/>
    <x v="17"/>
    <x v="27"/>
    <x v="47"/>
    <x v="1"/>
    <n v="31.576284553000001"/>
  </r>
  <r>
    <x v="0"/>
    <x v="17"/>
    <x v="17"/>
    <x v="27"/>
    <x v="48"/>
    <x v="1"/>
    <n v="31.576284553000001"/>
  </r>
  <r>
    <x v="0"/>
    <x v="17"/>
    <x v="17"/>
    <x v="27"/>
    <x v="49"/>
    <x v="1"/>
    <n v="0"/>
  </r>
  <r>
    <x v="0"/>
    <x v="17"/>
    <x v="17"/>
    <x v="27"/>
    <x v="50"/>
    <x v="1"/>
    <n v="0"/>
  </r>
  <r>
    <x v="0"/>
    <x v="17"/>
    <x v="17"/>
    <x v="27"/>
    <x v="51"/>
    <x v="1"/>
    <n v="0"/>
  </r>
  <r>
    <x v="0"/>
    <x v="17"/>
    <x v="17"/>
    <x v="27"/>
    <x v="52"/>
    <x v="1"/>
    <n v="0"/>
  </r>
  <r>
    <x v="0"/>
    <x v="17"/>
    <x v="17"/>
    <x v="27"/>
    <x v="53"/>
    <x v="1"/>
    <n v="0"/>
  </r>
  <r>
    <x v="0"/>
    <x v="17"/>
    <x v="17"/>
    <x v="27"/>
    <x v="54"/>
    <x v="1"/>
    <n v="0"/>
  </r>
  <r>
    <x v="0"/>
    <x v="17"/>
    <x v="17"/>
    <x v="27"/>
    <x v="55"/>
    <x v="1"/>
    <n v="0"/>
  </r>
  <r>
    <x v="0"/>
    <x v="17"/>
    <x v="17"/>
    <x v="28"/>
    <x v="46"/>
    <x v="1"/>
    <n v="34.182097073000001"/>
  </r>
  <r>
    <x v="0"/>
    <x v="17"/>
    <x v="17"/>
    <x v="28"/>
    <x v="47"/>
    <x v="1"/>
    <n v="34.182097073000001"/>
  </r>
  <r>
    <x v="0"/>
    <x v="17"/>
    <x v="17"/>
    <x v="28"/>
    <x v="48"/>
    <x v="1"/>
    <n v="34.182097073000001"/>
  </r>
  <r>
    <x v="0"/>
    <x v="17"/>
    <x v="17"/>
    <x v="28"/>
    <x v="49"/>
    <x v="1"/>
    <n v="0"/>
  </r>
  <r>
    <x v="0"/>
    <x v="17"/>
    <x v="17"/>
    <x v="28"/>
    <x v="50"/>
    <x v="1"/>
    <n v="0"/>
  </r>
  <r>
    <x v="0"/>
    <x v="17"/>
    <x v="17"/>
    <x v="28"/>
    <x v="51"/>
    <x v="1"/>
    <n v="0"/>
  </r>
  <r>
    <x v="0"/>
    <x v="17"/>
    <x v="17"/>
    <x v="28"/>
    <x v="52"/>
    <x v="1"/>
    <n v="0"/>
  </r>
  <r>
    <x v="0"/>
    <x v="17"/>
    <x v="17"/>
    <x v="28"/>
    <x v="53"/>
    <x v="1"/>
    <n v="0"/>
  </r>
  <r>
    <x v="0"/>
    <x v="17"/>
    <x v="17"/>
    <x v="28"/>
    <x v="54"/>
    <x v="1"/>
    <n v="0"/>
  </r>
  <r>
    <x v="0"/>
    <x v="17"/>
    <x v="17"/>
    <x v="28"/>
    <x v="55"/>
    <x v="1"/>
    <n v="0"/>
  </r>
  <r>
    <x v="0"/>
    <x v="17"/>
    <x v="17"/>
    <x v="29"/>
    <x v="46"/>
    <x v="1"/>
    <n v="34.011568707999999"/>
  </r>
  <r>
    <x v="0"/>
    <x v="17"/>
    <x v="17"/>
    <x v="29"/>
    <x v="47"/>
    <x v="1"/>
    <n v="34.011568707999999"/>
  </r>
  <r>
    <x v="0"/>
    <x v="17"/>
    <x v="17"/>
    <x v="29"/>
    <x v="48"/>
    <x v="1"/>
    <n v="34.011568707999999"/>
  </r>
  <r>
    <x v="0"/>
    <x v="17"/>
    <x v="17"/>
    <x v="29"/>
    <x v="49"/>
    <x v="1"/>
    <n v="0"/>
  </r>
  <r>
    <x v="0"/>
    <x v="17"/>
    <x v="17"/>
    <x v="29"/>
    <x v="50"/>
    <x v="1"/>
    <n v="0"/>
  </r>
  <r>
    <x v="0"/>
    <x v="17"/>
    <x v="17"/>
    <x v="29"/>
    <x v="51"/>
    <x v="1"/>
    <n v="0"/>
  </r>
  <r>
    <x v="0"/>
    <x v="17"/>
    <x v="17"/>
    <x v="29"/>
    <x v="52"/>
    <x v="1"/>
    <n v="0"/>
  </r>
  <r>
    <x v="0"/>
    <x v="17"/>
    <x v="17"/>
    <x v="29"/>
    <x v="53"/>
    <x v="1"/>
    <n v="0"/>
  </r>
  <r>
    <x v="0"/>
    <x v="17"/>
    <x v="17"/>
    <x v="29"/>
    <x v="54"/>
    <x v="1"/>
    <n v="0"/>
  </r>
  <r>
    <x v="0"/>
    <x v="17"/>
    <x v="17"/>
    <x v="29"/>
    <x v="55"/>
    <x v="1"/>
    <n v="0"/>
  </r>
  <r>
    <x v="0"/>
    <x v="17"/>
    <x v="17"/>
    <x v="30"/>
    <x v="46"/>
    <x v="1"/>
    <n v="13.991581369"/>
  </r>
  <r>
    <x v="0"/>
    <x v="17"/>
    <x v="17"/>
    <x v="30"/>
    <x v="47"/>
    <x v="1"/>
    <n v="13.991581369"/>
  </r>
  <r>
    <x v="0"/>
    <x v="17"/>
    <x v="17"/>
    <x v="30"/>
    <x v="48"/>
    <x v="1"/>
    <n v="13.991581369"/>
  </r>
  <r>
    <x v="0"/>
    <x v="17"/>
    <x v="17"/>
    <x v="30"/>
    <x v="49"/>
    <x v="1"/>
    <n v="0"/>
  </r>
  <r>
    <x v="0"/>
    <x v="17"/>
    <x v="17"/>
    <x v="30"/>
    <x v="50"/>
    <x v="1"/>
    <n v="0"/>
  </r>
  <r>
    <x v="0"/>
    <x v="17"/>
    <x v="17"/>
    <x v="30"/>
    <x v="51"/>
    <x v="1"/>
    <n v="0"/>
  </r>
  <r>
    <x v="0"/>
    <x v="17"/>
    <x v="17"/>
    <x v="30"/>
    <x v="52"/>
    <x v="1"/>
    <n v="0"/>
  </r>
  <r>
    <x v="0"/>
    <x v="17"/>
    <x v="17"/>
    <x v="30"/>
    <x v="53"/>
    <x v="1"/>
    <n v="0"/>
  </r>
  <r>
    <x v="0"/>
    <x v="17"/>
    <x v="17"/>
    <x v="30"/>
    <x v="54"/>
    <x v="1"/>
    <n v="0"/>
  </r>
  <r>
    <x v="0"/>
    <x v="17"/>
    <x v="17"/>
    <x v="30"/>
    <x v="55"/>
    <x v="1"/>
    <n v="0"/>
  </r>
  <r>
    <x v="0"/>
    <x v="17"/>
    <x v="17"/>
    <x v="31"/>
    <x v="46"/>
    <x v="1"/>
    <n v="9.6172687040000007"/>
  </r>
  <r>
    <x v="0"/>
    <x v="17"/>
    <x v="17"/>
    <x v="31"/>
    <x v="47"/>
    <x v="1"/>
    <n v="9.6172687040000007"/>
  </r>
  <r>
    <x v="0"/>
    <x v="17"/>
    <x v="17"/>
    <x v="31"/>
    <x v="48"/>
    <x v="1"/>
    <n v="9.6172687040000007"/>
  </r>
  <r>
    <x v="0"/>
    <x v="17"/>
    <x v="17"/>
    <x v="31"/>
    <x v="49"/>
    <x v="1"/>
    <n v="0"/>
  </r>
  <r>
    <x v="0"/>
    <x v="17"/>
    <x v="17"/>
    <x v="31"/>
    <x v="50"/>
    <x v="1"/>
    <n v="0"/>
  </r>
  <r>
    <x v="0"/>
    <x v="17"/>
    <x v="17"/>
    <x v="31"/>
    <x v="51"/>
    <x v="1"/>
    <n v="0"/>
  </r>
  <r>
    <x v="0"/>
    <x v="17"/>
    <x v="17"/>
    <x v="31"/>
    <x v="52"/>
    <x v="1"/>
    <n v="0"/>
  </r>
  <r>
    <x v="0"/>
    <x v="17"/>
    <x v="17"/>
    <x v="31"/>
    <x v="53"/>
    <x v="1"/>
    <n v="0"/>
  </r>
  <r>
    <x v="0"/>
    <x v="17"/>
    <x v="17"/>
    <x v="31"/>
    <x v="54"/>
    <x v="1"/>
    <n v="0"/>
  </r>
  <r>
    <x v="0"/>
    <x v="17"/>
    <x v="17"/>
    <x v="31"/>
    <x v="55"/>
    <x v="1"/>
    <n v="0"/>
  </r>
  <r>
    <x v="0"/>
    <x v="17"/>
    <x v="17"/>
    <x v="32"/>
    <x v="46"/>
    <x v="1"/>
    <n v="31.732026025"/>
  </r>
  <r>
    <x v="0"/>
    <x v="17"/>
    <x v="17"/>
    <x v="32"/>
    <x v="47"/>
    <x v="1"/>
    <n v="31.732026025"/>
  </r>
  <r>
    <x v="0"/>
    <x v="17"/>
    <x v="17"/>
    <x v="32"/>
    <x v="48"/>
    <x v="1"/>
    <n v="31.732026025"/>
  </r>
  <r>
    <x v="0"/>
    <x v="17"/>
    <x v="17"/>
    <x v="32"/>
    <x v="49"/>
    <x v="1"/>
    <n v="0"/>
  </r>
  <r>
    <x v="0"/>
    <x v="17"/>
    <x v="17"/>
    <x v="32"/>
    <x v="50"/>
    <x v="1"/>
    <n v="0"/>
  </r>
  <r>
    <x v="0"/>
    <x v="17"/>
    <x v="17"/>
    <x v="32"/>
    <x v="51"/>
    <x v="1"/>
    <n v="0"/>
  </r>
  <r>
    <x v="0"/>
    <x v="17"/>
    <x v="17"/>
    <x v="32"/>
    <x v="52"/>
    <x v="1"/>
    <n v="0"/>
  </r>
  <r>
    <x v="0"/>
    <x v="17"/>
    <x v="17"/>
    <x v="32"/>
    <x v="53"/>
    <x v="1"/>
    <n v="0"/>
  </r>
  <r>
    <x v="0"/>
    <x v="17"/>
    <x v="17"/>
    <x v="32"/>
    <x v="54"/>
    <x v="1"/>
    <n v="0"/>
  </r>
  <r>
    <x v="0"/>
    <x v="17"/>
    <x v="17"/>
    <x v="32"/>
    <x v="55"/>
    <x v="1"/>
    <n v="0"/>
  </r>
  <r>
    <x v="0"/>
    <x v="17"/>
    <x v="17"/>
    <x v="33"/>
    <x v="46"/>
    <x v="1"/>
    <n v="16.389120728999998"/>
  </r>
  <r>
    <x v="0"/>
    <x v="17"/>
    <x v="17"/>
    <x v="33"/>
    <x v="47"/>
    <x v="1"/>
    <n v="16.389120728999998"/>
  </r>
  <r>
    <x v="0"/>
    <x v="17"/>
    <x v="17"/>
    <x v="33"/>
    <x v="48"/>
    <x v="1"/>
    <n v="16.389120728999998"/>
  </r>
  <r>
    <x v="0"/>
    <x v="17"/>
    <x v="17"/>
    <x v="33"/>
    <x v="49"/>
    <x v="1"/>
    <n v="0"/>
  </r>
  <r>
    <x v="0"/>
    <x v="17"/>
    <x v="17"/>
    <x v="33"/>
    <x v="50"/>
    <x v="1"/>
    <n v="0"/>
  </r>
  <r>
    <x v="0"/>
    <x v="17"/>
    <x v="17"/>
    <x v="33"/>
    <x v="51"/>
    <x v="1"/>
    <n v="0"/>
  </r>
  <r>
    <x v="0"/>
    <x v="17"/>
    <x v="17"/>
    <x v="33"/>
    <x v="52"/>
    <x v="1"/>
    <n v="0"/>
  </r>
  <r>
    <x v="0"/>
    <x v="17"/>
    <x v="17"/>
    <x v="33"/>
    <x v="53"/>
    <x v="1"/>
    <n v="0"/>
  </r>
  <r>
    <x v="0"/>
    <x v="17"/>
    <x v="17"/>
    <x v="33"/>
    <x v="54"/>
    <x v="1"/>
    <n v="0"/>
  </r>
  <r>
    <x v="0"/>
    <x v="17"/>
    <x v="17"/>
    <x v="33"/>
    <x v="55"/>
    <x v="1"/>
    <n v="0"/>
  </r>
  <r>
    <x v="0"/>
    <x v="17"/>
    <x v="17"/>
    <x v="34"/>
    <x v="46"/>
    <x v="1"/>
    <n v="21.531853997999999"/>
  </r>
  <r>
    <x v="0"/>
    <x v="17"/>
    <x v="17"/>
    <x v="34"/>
    <x v="47"/>
    <x v="1"/>
    <n v="21.531853997999999"/>
  </r>
  <r>
    <x v="0"/>
    <x v="17"/>
    <x v="17"/>
    <x v="34"/>
    <x v="48"/>
    <x v="1"/>
    <n v="21.531853997999999"/>
  </r>
  <r>
    <x v="0"/>
    <x v="17"/>
    <x v="17"/>
    <x v="34"/>
    <x v="49"/>
    <x v="1"/>
    <n v="0"/>
  </r>
  <r>
    <x v="0"/>
    <x v="17"/>
    <x v="17"/>
    <x v="34"/>
    <x v="50"/>
    <x v="1"/>
    <n v="0"/>
  </r>
  <r>
    <x v="0"/>
    <x v="17"/>
    <x v="17"/>
    <x v="34"/>
    <x v="51"/>
    <x v="1"/>
    <n v="0"/>
  </r>
  <r>
    <x v="0"/>
    <x v="17"/>
    <x v="17"/>
    <x v="34"/>
    <x v="52"/>
    <x v="1"/>
    <n v="0"/>
  </r>
  <r>
    <x v="0"/>
    <x v="17"/>
    <x v="17"/>
    <x v="34"/>
    <x v="53"/>
    <x v="1"/>
    <n v="0"/>
  </r>
  <r>
    <x v="0"/>
    <x v="17"/>
    <x v="17"/>
    <x v="34"/>
    <x v="54"/>
    <x v="1"/>
    <n v="0"/>
  </r>
  <r>
    <x v="0"/>
    <x v="17"/>
    <x v="17"/>
    <x v="34"/>
    <x v="55"/>
    <x v="1"/>
    <n v="0"/>
  </r>
  <r>
    <x v="0"/>
    <x v="17"/>
    <x v="17"/>
    <x v="35"/>
    <x v="46"/>
    <x v="1"/>
    <n v="18.326970134"/>
  </r>
  <r>
    <x v="0"/>
    <x v="17"/>
    <x v="17"/>
    <x v="35"/>
    <x v="47"/>
    <x v="1"/>
    <n v="18.326970134"/>
  </r>
  <r>
    <x v="0"/>
    <x v="17"/>
    <x v="17"/>
    <x v="35"/>
    <x v="48"/>
    <x v="1"/>
    <n v="18.326970134"/>
  </r>
  <r>
    <x v="0"/>
    <x v="17"/>
    <x v="17"/>
    <x v="35"/>
    <x v="49"/>
    <x v="1"/>
    <n v="0"/>
  </r>
  <r>
    <x v="0"/>
    <x v="17"/>
    <x v="17"/>
    <x v="35"/>
    <x v="50"/>
    <x v="1"/>
    <n v="0"/>
  </r>
  <r>
    <x v="0"/>
    <x v="17"/>
    <x v="17"/>
    <x v="35"/>
    <x v="51"/>
    <x v="1"/>
    <n v="0"/>
  </r>
  <r>
    <x v="0"/>
    <x v="17"/>
    <x v="17"/>
    <x v="35"/>
    <x v="52"/>
    <x v="1"/>
    <n v="0"/>
  </r>
  <r>
    <x v="0"/>
    <x v="17"/>
    <x v="17"/>
    <x v="35"/>
    <x v="53"/>
    <x v="1"/>
    <n v="0"/>
  </r>
  <r>
    <x v="0"/>
    <x v="17"/>
    <x v="17"/>
    <x v="35"/>
    <x v="54"/>
    <x v="1"/>
    <n v="0"/>
  </r>
  <r>
    <x v="0"/>
    <x v="17"/>
    <x v="17"/>
    <x v="35"/>
    <x v="55"/>
    <x v="1"/>
    <n v="0"/>
  </r>
  <r>
    <x v="0"/>
    <x v="17"/>
    <x v="17"/>
    <x v="36"/>
    <x v="46"/>
    <x v="1"/>
    <n v="7.202193265"/>
  </r>
  <r>
    <x v="0"/>
    <x v="17"/>
    <x v="17"/>
    <x v="36"/>
    <x v="47"/>
    <x v="1"/>
    <n v="7.202193265"/>
  </r>
  <r>
    <x v="0"/>
    <x v="17"/>
    <x v="17"/>
    <x v="36"/>
    <x v="48"/>
    <x v="1"/>
    <n v="7.202193265"/>
  </r>
  <r>
    <x v="0"/>
    <x v="17"/>
    <x v="17"/>
    <x v="36"/>
    <x v="49"/>
    <x v="1"/>
    <n v="0"/>
  </r>
  <r>
    <x v="0"/>
    <x v="17"/>
    <x v="17"/>
    <x v="36"/>
    <x v="50"/>
    <x v="1"/>
    <n v="0"/>
  </r>
  <r>
    <x v="0"/>
    <x v="17"/>
    <x v="17"/>
    <x v="36"/>
    <x v="51"/>
    <x v="1"/>
    <n v="0"/>
  </r>
  <r>
    <x v="0"/>
    <x v="17"/>
    <x v="17"/>
    <x v="36"/>
    <x v="52"/>
    <x v="1"/>
    <n v="0"/>
  </r>
  <r>
    <x v="0"/>
    <x v="17"/>
    <x v="17"/>
    <x v="36"/>
    <x v="53"/>
    <x v="1"/>
    <n v="0"/>
  </r>
  <r>
    <x v="0"/>
    <x v="17"/>
    <x v="17"/>
    <x v="36"/>
    <x v="54"/>
    <x v="1"/>
    <n v="0"/>
  </r>
  <r>
    <x v="0"/>
    <x v="17"/>
    <x v="17"/>
    <x v="36"/>
    <x v="55"/>
    <x v="1"/>
    <n v="0"/>
  </r>
  <r>
    <x v="0"/>
    <x v="17"/>
    <x v="17"/>
    <x v="37"/>
    <x v="46"/>
    <x v="1"/>
    <n v="8.8720432680000005"/>
  </r>
  <r>
    <x v="0"/>
    <x v="17"/>
    <x v="17"/>
    <x v="37"/>
    <x v="47"/>
    <x v="1"/>
    <n v="8.8720432680000005"/>
  </r>
  <r>
    <x v="0"/>
    <x v="17"/>
    <x v="17"/>
    <x v="37"/>
    <x v="48"/>
    <x v="1"/>
    <n v="8.8720432680000005"/>
  </r>
  <r>
    <x v="0"/>
    <x v="17"/>
    <x v="17"/>
    <x v="37"/>
    <x v="49"/>
    <x v="1"/>
    <n v="0"/>
  </r>
  <r>
    <x v="0"/>
    <x v="17"/>
    <x v="17"/>
    <x v="37"/>
    <x v="50"/>
    <x v="1"/>
    <n v="0"/>
  </r>
  <r>
    <x v="0"/>
    <x v="17"/>
    <x v="17"/>
    <x v="37"/>
    <x v="51"/>
    <x v="1"/>
    <n v="0"/>
  </r>
  <r>
    <x v="0"/>
    <x v="17"/>
    <x v="17"/>
    <x v="37"/>
    <x v="52"/>
    <x v="1"/>
    <n v="0"/>
  </r>
  <r>
    <x v="0"/>
    <x v="17"/>
    <x v="17"/>
    <x v="37"/>
    <x v="53"/>
    <x v="1"/>
    <n v="0"/>
  </r>
  <r>
    <x v="0"/>
    <x v="17"/>
    <x v="17"/>
    <x v="37"/>
    <x v="54"/>
    <x v="1"/>
    <n v="0"/>
  </r>
  <r>
    <x v="0"/>
    <x v="17"/>
    <x v="17"/>
    <x v="37"/>
    <x v="55"/>
    <x v="1"/>
    <n v="0"/>
  </r>
  <r>
    <x v="0"/>
    <x v="17"/>
    <x v="17"/>
    <x v="38"/>
    <x v="46"/>
    <x v="1"/>
    <n v="40.863123221999999"/>
  </r>
  <r>
    <x v="0"/>
    <x v="17"/>
    <x v="17"/>
    <x v="38"/>
    <x v="47"/>
    <x v="1"/>
    <n v="40.863123221999999"/>
  </r>
  <r>
    <x v="0"/>
    <x v="17"/>
    <x v="17"/>
    <x v="38"/>
    <x v="48"/>
    <x v="1"/>
    <n v="40.863123221999999"/>
  </r>
  <r>
    <x v="0"/>
    <x v="17"/>
    <x v="17"/>
    <x v="38"/>
    <x v="49"/>
    <x v="1"/>
    <n v="0"/>
  </r>
  <r>
    <x v="0"/>
    <x v="17"/>
    <x v="17"/>
    <x v="38"/>
    <x v="50"/>
    <x v="1"/>
    <n v="0"/>
  </r>
  <r>
    <x v="0"/>
    <x v="17"/>
    <x v="17"/>
    <x v="38"/>
    <x v="51"/>
    <x v="1"/>
    <n v="0"/>
  </r>
  <r>
    <x v="0"/>
    <x v="17"/>
    <x v="17"/>
    <x v="38"/>
    <x v="52"/>
    <x v="1"/>
    <n v="0"/>
  </r>
  <r>
    <x v="0"/>
    <x v="17"/>
    <x v="17"/>
    <x v="38"/>
    <x v="53"/>
    <x v="1"/>
    <n v="0"/>
  </r>
  <r>
    <x v="0"/>
    <x v="17"/>
    <x v="17"/>
    <x v="38"/>
    <x v="54"/>
    <x v="1"/>
    <n v="0"/>
  </r>
  <r>
    <x v="0"/>
    <x v="17"/>
    <x v="17"/>
    <x v="38"/>
    <x v="55"/>
    <x v="1"/>
    <n v="0"/>
  </r>
  <r>
    <x v="0"/>
    <x v="17"/>
    <x v="17"/>
    <x v="39"/>
    <x v="46"/>
    <x v="1"/>
    <n v="17.493234874999999"/>
  </r>
  <r>
    <x v="0"/>
    <x v="17"/>
    <x v="17"/>
    <x v="39"/>
    <x v="47"/>
    <x v="1"/>
    <n v="17.493234874999999"/>
  </r>
  <r>
    <x v="0"/>
    <x v="17"/>
    <x v="17"/>
    <x v="39"/>
    <x v="48"/>
    <x v="1"/>
    <n v="17.493234874999999"/>
  </r>
  <r>
    <x v="0"/>
    <x v="17"/>
    <x v="17"/>
    <x v="39"/>
    <x v="49"/>
    <x v="1"/>
    <n v="0"/>
  </r>
  <r>
    <x v="0"/>
    <x v="17"/>
    <x v="17"/>
    <x v="39"/>
    <x v="50"/>
    <x v="1"/>
    <n v="0"/>
  </r>
  <r>
    <x v="0"/>
    <x v="17"/>
    <x v="17"/>
    <x v="39"/>
    <x v="51"/>
    <x v="1"/>
    <n v="0"/>
  </r>
  <r>
    <x v="0"/>
    <x v="17"/>
    <x v="17"/>
    <x v="39"/>
    <x v="52"/>
    <x v="1"/>
    <n v="0"/>
  </r>
  <r>
    <x v="0"/>
    <x v="17"/>
    <x v="17"/>
    <x v="39"/>
    <x v="53"/>
    <x v="1"/>
    <n v="0"/>
  </r>
  <r>
    <x v="0"/>
    <x v="17"/>
    <x v="17"/>
    <x v="39"/>
    <x v="54"/>
    <x v="1"/>
    <n v="0"/>
  </r>
  <r>
    <x v="0"/>
    <x v="17"/>
    <x v="17"/>
    <x v="39"/>
    <x v="55"/>
    <x v="1"/>
    <n v="0"/>
  </r>
  <r>
    <x v="0"/>
    <x v="17"/>
    <x v="17"/>
    <x v="40"/>
    <x v="46"/>
    <x v="1"/>
    <n v="5.051736139"/>
  </r>
  <r>
    <x v="0"/>
    <x v="17"/>
    <x v="17"/>
    <x v="40"/>
    <x v="47"/>
    <x v="1"/>
    <n v="5.051736139"/>
  </r>
  <r>
    <x v="0"/>
    <x v="17"/>
    <x v="17"/>
    <x v="40"/>
    <x v="48"/>
    <x v="1"/>
    <n v="5.051736139"/>
  </r>
  <r>
    <x v="0"/>
    <x v="17"/>
    <x v="17"/>
    <x v="40"/>
    <x v="49"/>
    <x v="1"/>
    <n v="0"/>
  </r>
  <r>
    <x v="0"/>
    <x v="17"/>
    <x v="17"/>
    <x v="40"/>
    <x v="50"/>
    <x v="1"/>
    <n v="0"/>
  </r>
  <r>
    <x v="0"/>
    <x v="17"/>
    <x v="17"/>
    <x v="40"/>
    <x v="51"/>
    <x v="1"/>
    <n v="0"/>
  </r>
  <r>
    <x v="0"/>
    <x v="17"/>
    <x v="17"/>
    <x v="40"/>
    <x v="52"/>
    <x v="1"/>
    <n v="0"/>
  </r>
  <r>
    <x v="0"/>
    <x v="17"/>
    <x v="17"/>
    <x v="40"/>
    <x v="53"/>
    <x v="1"/>
    <n v="0"/>
  </r>
  <r>
    <x v="0"/>
    <x v="17"/>
    <x v="17"/>
    <x v="40"/>
    <x v="54"/>
    <x v="1"/>
    <n v="0"/>
  </r>
  <r>
    <x v="0"/>
    <x v="17"/>
    <x v="17"/>
    <x v="40"/>
    <x v="55"/>
    <x v="1"/>
    <n v="0"/>
  </r>
  <r>
    <x v="0"/>
    <x v="17"/>
    <x v="17"/>
    <x v="41"/>
    <x v="46"/>
    <x v="1"/>
    <n v="80.760475954"/>
  </r>
  <r>
    <x v="0"/>
    <x v="17"/>
    <x v="17"/>
    <x v="41"/>
    <x v="47"/>
    <x v="1"/>
    <n v="80.760475954"/>
  </r>
  <r>
    <x v="0"/>
    <x v="17"/>
    <x v="17"/>
    <x v="41"/>
    <x v="48"/>
    <x v="1"/>
    <n v="80.760475954"/>
  </r>
  <r>
    <x v="0"/>
    <x v="17"/>
    <x v="17"/>
    <x v="41"/>
    <x v="49"/>
    <x v="1"/>
    <n v="0"/>
  </r>
  <r>
    <x v="0"/>
    <x v="17"/>
    <x v="17"/>
    <x v="41"/>
    <x v="50"/>
    <x v="1"/>
    <n v="0"/>
  </r>
  <r>
    <x v="0"/>
    <x v="17"/>
    <x v="17"/>
    <x v="41"/>
    <x v="51"/>
    <x v="1"/>
    <n v="0"/>
  </r>
  <r>
    <x v="0"/>
    <x v="17"/>
    <x v="17"/>
    <x v="41"/>
    <x v="52"/>
    <x v="1"/>
    <n v="0"/>
  </r>
  <r>
    <x v="0"/>
    <x v="17"/>
    <x v="17"/>
    <x v="41"/>
    <x v="53"/>
    <x v="1"/>
    <n v="0"/>
  </r>
  <r>
    <x v="0"/>
    <x v="17"/>
    <x v="17"/>
    <x v="41"/>
    <x v="54"/>
    <x v="1"/>
    <n v="0"/>
  </r>
  <r>
    <x v="0"/>
    <x v="17"/>
    <x v="17"/>
    <x v="41"/>
    <x v="55"/>
    <x v="1"/>
    <n v="0"/>
  </r>
  <r>
    <x v="0"/>
    <x v="17"/>
    <x v="18"/>
    <x v="42"/>
    <x v="46"/>
    <x v="1"/>
    <n v="30.740881420000001"/>
  </r>
  <r>
    <x v="0"/>
    <x v="17"/>
    <x v="18"/>
    <x v="42"/>
    <x v="47"/>
    <x v="1"/>
    <n v="30.740881420000001"/>
  </r>
  <r>
    <x v="0"/>
    <x v="17"/>
    <x v="18"/>
    <x v="42"/>
    <x v="48"/>
    <x v="1"/>
    <n v="30.740881420000001"/>
  </r>
  <r>
    <x v="0"/>
    <x v="17"/>
    <x v="18"/>
    <x v="42"/>
    <x v="49"/>
    <x v="1"/>
    <n v="0"/>
  </r>
  <r>
    <x v="0"/>
    <x v="17"/>
    <x v="18"/>
    <x v="42"/>
    <x v="50"/>
    <x v="1"/>
    <n v="0"/>
  </r>
  <r>
    <x v="0"/>
    <x v="17"/>
    <x v="18"/>
    <x v="42"/>
    <x v="51"/>
    <x v="1"/>
    <n v="0"/>
  </r>
  <r>
    <x v="0"/>
    <x v="17"/>
    <x v="18"/>
    <x v="42"/>
    <x v="52"/>
    <x v="1"/>
    <n v="0"/>
  </r>
  <r>
    <x v="0"/>
    <x v="17"/>
    <x v="18"/>
    <x v="42"/>
    <x v="53"/>
    <x v="1"/>
    <n v="0"/>
  </r>
  <r>
    <x v="0"/>
    <x v="17"/>
    <x v="18"/>
    <x v="42"/>
    <x v="54"/>
    <x v="1"/>
    <n v="0"/>
  </r>
  <r>
    <x v="0"/>
    <x v="17"/>
    <x v="18"/>
    <x v="42"/>
    <x v="55"/>
    <x v="1"/>
    <n v="0"/>
  </r>
  <r>
    <x v="0"/>
    <x v="17"/>
    <x v="18"/>
    <x v="43"/>
    <x v="46"/>
    <x v="1"/>
    <n v="59.395378325999999"/>
  </r>
  <r>
    <x v="0"/>
    <x v="17"/>
    <x v="18"/>
    <x v="43"/>
    <x v="47"/>
    <x v="1"/>
    <n v="59.395378325999999"/>
  </r>
  <r>
    <x v="0"/>
    <x v="17"/>
    <x v="18"/>
    <x v="43"/>
    <x v="48"/>
    <x v="1"/>
    <n v="59.395378325999999"/>
  </r>
  <r>
    <x v="0"/>
    <x v="17"/>
    <x v="18"/>
    <x v="43"/>
    <x v="49"/>
    <x v="1"/>
    <n v="0"/>
  </r>
  <r>
    <x v="0"/>
    <x v="17"/>
    <x v="18"/>
    <x v="43"/>
    <x v="50"/>
    <x v="1"/>
    <n v="0"/>
  </r>
  <r>
    <x v="0"/>
    <x v="17"/>
    <x v="18"/>
    <x v="43"/>
    <x v="51"/>
    <x v="1"/>
    <n v="0"/>
  </r>
  <r>
    <x v="0"/>
    <x v="17"/>
    <x v="18"/>
    <x v="43"/>
    <x v="52"/>
    <x v="1"/>
    <n v="0"/>
  </r>
  <r>
    <x v="0"/>
    <x v="17"/>
    <x v="18"/>
    <x v="43"/>
    <x v="53"/>
    <x v="1"/>
    <n v="0"/>
  </r>
  <r>
    <x v="0"/>
    <x v="17"/>
    <x v="18"/>
    <x v="43"/>
    <x v="54"/>
    <x v="1"/>
    <n v="0"/>
  </r>
  <r>
    <x v="0"/>
    <x v="17"/>
    <x v="18"/>
    <x v="43"/>
    <x v="55"/>
    <x v="1"/>
    <n v="0"/>
  </r>
  <r>
    <x v="0"/>
    <x v="17"/>
    <x v="19"/>
    <x v="44"/>
    <x v="46"/>
    <x v="5"/>
    <n v="945.05756818199995"/>
  </r>
  <r>
    <x v="0"/>
    <x v="17"/>
    <x v="19"/>
    <x v="44"/>
    <x v="47"/>
    <x v="5"/>
    <n v="945.05756818199995"/>
  </r>
  <r>
    <x v="0"/>
    <x v="17"/>
    <x v="19"/>
    <x v="44"/>
    <x v="48"/>
    <x v="5"/>
    <n v="945.05756818199995"/>
  </r>
  <r>
    <x v="0"/>
    <x v="17"/>
    <x v="19"/>
    <x v="44"/>
    <x v="49"/>
    <x v="5"/>
    <n v="0"/>
  </r>
  <r>
    <x v="0"/>
    <x v="17"/>
    <x v="19"/>
    <x v="44"/>
    <x v="50"/>
    <x v="5"/>
    <n v="0"/>
  </r>
  <r>
    <x v="0"/>
    <x v="17"/>
    <x v="19"/>
    <x v="44"/>
    <x v="51"/>
    <x v="5"/>
    <n v="0"/>
  </r>
  <r>
    <x v="0"/>
    <x v="17"/>
    <x v="19"/>
    <x v="44"/>
    <x v="52"/>
    <x v="5"/>
    <n v="0"/>
  </r>
  <r>
    <x v="0"/>
    <x v="17"/>
    <x v="19"/>
    <x v="44"/>
    <x v="53"/>
    <x v="5"/>
    <n v="0"/>
  </r>
  <r>
    <x v="0"/>
    <x v="17"/>
    <x v="19"/>
    <x v="44"/>
    <x v="54"/>
    <x v="5"/>
    <n v="0"/>
  </r>
  <r>
    <x v="0"/>
    <x v="17"/>
    <x v="19"/>
    <x v="44"/>
    <x v="55"/>
    <x v="5"/>
    <n v="0"/>
  </r>
  <r>
    <x v="0"/>
    <x v="17"/>
    <x v="20"/>
    <x v="44"/>
    <x v="0"/>
    <x v="6"/>
    <n v="377.87189121199998"/>
  </r>
  <r>
    <x v="0"/>
    <x v="17"/>
    <x v="21"/>
    <x v="44"/>
    <x v="0"/>
    <x v="6"/>
    <n v="5427.815732131"/>
  </r>
  <r>
    <x v="0"/>
    <x v="17"/>
    <x v="22"/>
    <x v="44"/>
    <x v="0"/>
    <x v="5"/>
    <n v="6.9617671000000006E-2"/>
  </r>
  <r>
    <x v="0"/>
    <x v="17"/>
    <x v="23"/>
    <x v="44"/>
    <x v="0"/>
    <x v="5"/>
    <n v="961.80244862500001"/>
  </r>
  <r>
    <x v="0"/>
    <x v="17"/>
    <x v="24"/>
    <x v="44"/>
    <x v="0"/>
    <x v="6"/>
    <n v="1802.248495998"/>
  </r>
  <r>
    <x v="0"/>
    <x v="17"/>
    <x v="25"/>
    <x v="45"/>
    <x v="0"/>
    <x v="6"/>
    <n v="2690.0194497010002"/>
  </r>
  <r>
    <x v="0"/>
    <x v="17"/>
    <x v="26"/>
    <x v="44"/>
    <x v="0"/>
    <x v="6"/>
    <n v="1394.5338899339999"/>
  </r>
  <r>
    <x v="0"/>
    <x v="17"/>
    <x v="27"/>
    <x v="44"/>
    <x v="0"/>
    <x v="6"/>
    <n v="986.82054663899999"/>
  </r>
  <r>
    <x v="0"/>
    <x v="17"/>
    <x v="28"/>
    <x v="44"/>
    <x v="0"/>
    <x v="6"/>
    <n v="1445.8066501400001"/>
  </r>
  <r>
    <x v="0"/>
    <x v="17"/>
    <x v="29"/>
    <x v="44"/>
    <x v="0"/>
    <x v="6"/>
    <n v="6.0809862170000004"/>
  </r>
  <r>
    <x v="0"/>
    <x v="17"/>
    <x v="30"/>
    <x v="44"/>
    <x v="0"/>
    <x v="6"/>
    <n v="341.38574862500002"/>
  </r>
  <r>
    <x v="0"/>
    <x v="17"/>
    <x v="31"/>
    <x v="44"/>
    <x v="0"/>
    <x v="6"/>
    <n v="17026.101999859002"/>
  </r>
  <r>
    <x v="0"/>
    <x v="17"/>
    <x v="32"/>
    <x v="44"/>
    <x v="0"/>
    <x v="5"/>
    <n v="2.0050729E-2"/>
  </r>
  <r>
    <x v="0"/>
    <x v="17"/>
    <x v="33"/>
    <x v="44"/>
    <x v="0"/>
    <x v="5"/>
    <n v="1.6838999999999999E-5"/>
  </r>
  <r>
    <x v="0"/>
    <x v="17"/>
    <x v="34"/>
    <x v="44"/>
    <x v="0"/>
    <x v="5"/>
    <n v="1"/>
  </r>
  <r>
    <x v="0"/>
    <x v="17"/>
    <x v="35"/>
    <x v="44"/>
    <x v="0"/>
    <x v="5"/>
    <n v="1.075"/>
  </r>
  <r>
    <x v="0"/>
    <x v="17"/>
    <x v="36"/>
    <x v="44"/>
    <x v="0"/>
    <x v="5"/>
    <n v="3.2989944E-2"/>
  </r>
  <r>
    <x v="0"/>
    <x v="17"/>
    <x v="37"/>
    <x v="45"/>
    <x v="0"/>
    <x v="6"/>
    <n v="0"/>
  </r>
  <r>
    <x v="0"/>
    <x v="17"/>
    <x v="38"/>
    <x v="45"/>
    <x v="0"/>
    <x v="6"/>
    <n v="0"/>
  </r>
  <r>
    <x v="0"/>
    <x v="17"/>
    <x v="39"/>
    <x v="45"/>
    <x v="0"/>
    <x v="6"/>
    <n v="1"/>
  </r>
  <r>
    <x v="0"/>
    <x v="17"/>
    <x v="40"/>
    <x v="45"/>
    <x v="0"/>
    <x v="6"/>
    <n v="258.161709621"/>
  </r>
  <r>
    <x v="0"/>
    <x v="17"/>
    <x v="41"/>
    <x v="45"/>
    <x v="0"/>
    <x v="6"/>
    <n v="242.67726883700001"/>
  </r>
  <r>
    <x v="0"/>
    <x v="17"/>
    <x v="42"/>
    <x v="45"/>
    <x v="0"/>
    <x v="6"/>
    <n v="15.484440784"/>
  </r>
  <r>
    <x v="0"/>
    <x v="17"/>
    <x v="43"/>
    <x v="45"/>
    <x v="0"/>
    <x v="6"/>
    <n v="293.35566010000002"/>
  </r>
  <r>
    <x v="0"/>
    <x v="17"/>
    <x v="44"/>
    <x v="45"/>
    <x v="0"/>
    <x v="6"/>
    <n v="0"/>
  </r>
  <r>
    <x v="0"/>
    <x v="17"/>
    <x v="45"/>
    <x v="44"/>
    <x v="0"/>
    <x v="5"/>
    <n v="5.2783849000000001E-2"/>
  </r>
  <r>
    <x v="0"/>
    <x v="17"/>
    <x v="46"/>
    <x v="45"/>
    <x v="0"/>
    <x v="5"/>
    <n v="4.6887238699999996"/>
  </r>
  <r>
    <x v="0"/>
    <x v="17"/>
    <x v="47"/>
    <x v="46"/>
    <x v="0"/>
    <x v="6"/>
    <n v="0.42893952600000002"/>
  </r>
  <r>
    <x v="0"/>
    <x v="17"/>
    <x v="48"/>
    <x v="47"/>
    <x v="0"/>
    <x v="6"/>
    <n v="0"/>
  </r>
  <r>
    <x v="0"/>
    <x v="17"/>
    <x v="49"/>
    <x v="47"/>
    <x v="0"/>
    <x v="6"/>
    <n v="0"/>
  </r>
  <r>
    <x v="0"/>
    <x v="17"/>
    <x v="50"/>
    <x v="48"/>
    <x v="0"/>
    <x v="7"/>
    <n v="176.06657315699999"/>
  </r>
  <r>
    <x v="0"/>
    <x v="17"/>
    <x v="50"/>
    <x v="49"/>
    <x v="0"/>
    <x v="7"/>
    <n v="164.890235942"/>
  </r>
  <r>
    <x v="0"/>
    <x v="17"/>
    <x v="51"/>
    <x v="42"/>
    <x v="0"/>
    <x v="4"/>
    <n v="82.460035078000004"/>
  </r>
  <r>
    <x v="0"/>
    <x v="17"/>
    <x v="51"/>
    <x v="43"/>
    <x v="0"/>
    <x v="4"/>
    <n v="275.50837986300002"/>
  </r>
  <r>
    <x v="0"/>
    <x v="17"/>
    <x v="52"/>
    <x v="42"/>
    <x v="0"/>
    <x v="4"/>
    <n v="43.384493597999999"/>
  </r>
  <r>
    <x v="0"/>
    <x v="17"/>
    <x v="52"/>
    <x v="43"/>
    <x v="0"/>
    <x v="4"/>
    <n v="77.885000591999997"/>
  </r>
  <r>
    <x v="0"/>
    <x v="17"/>
    <x v="53"/>
    <x v="42"/>
    <x v="0"/>
    <x v="4"/>
    <n v="12.643612177"/>
  </r>
  <r>
    <x v="0"/>
    <x v="17"/>
    <x v="53"/>
    <x v="43"/>
    <x v="0"/>
    <x v="4"/>
    <n v="18.489622265000001"/>
  </r>
  <r>
    <x v="0"/>
    <x v="17"/>
    <x v="54"/>
    <x v="42"/>
    <x v="56"/>
    <x v="4"/>
    <n v="32.927367533000002"/>
  </r>
  <r>
    <x v="0"/>
    <x v="17"/>
    <x v="54"/>
    <x v="43"/>
    <x v="56"/>
    <x v="4"/>
    <n v="188.71406547199999"/>
  </r>
  <r>
    <x v="0"/>
    <x v="17"/>
    <x v="55"/>
    <x v="42"/>
    <x v="0"/>
    <x v="4"/>
    <n v="6.4493912E-2"/>
  </r>
  <r>
    <x v="0"/>
    <x v="17"/>
    <x v="55"/>
    <x v="43"/>
    <x v="0"/>
    <x v="4"/>
    <n v="5.9723181E-2"/>
  </r>
  <r>
    <x v="0"/>
    <x v="17"/>
    <x v="56"/>
    <x v="42"/>
    <x v="0"/>
    <x v="4"/>
    <n v="8.2237893000000006E-2"/>
  </r>
  <r>
    <x v="0"/>
    <x v="17"/>
    <x v="56"/>
    <x v="43"/>
    <x v="0"/>
    <x v="4"/>
    <n v="7.9460759000000006E-2"/>
  </r>
  <r>
    <x v="0"/>
    <x v="17"/>
    <x v="57"/>
    <x v="42"/>
    <x v="0"/>
    <x v="4"/>
    <n v="4.2014597000000001E-2"/>
  </r>
  <r>
    <x v="0"/>
    <x v="17"/>
    <x v="57"/>
    <x v="43"/>
    <x v="0"/>
    <x v="4"/>
    <n v="3.9705325E-2"/>
  </r>
  <r>
    <x v="0"/>
    <x v="17"/>
    <x v="58"/>
    <x v="44"/>
    <x v="57"/>
    <x v="5"/>
    <n v="4.3874923000000003E-2"/>
  </r>
  <r>
    <x v="0"/>
    <x v="17"/>
    <x v="59"/>
    <x v="44"/>
    <x v="57"/>
    <x v="6"/>
    <n v="704.06799999999998"/>
  </r>
  <r>
    <x v="0"/>
    <x v="17"/>
    <x v="60"/>
    <x v="0"/>
    <x v="57"/>
    <x v="8"/>
    <n v="229.296297713"/>
  </r>
  <r>
    <x v="0"/>
    <x v="17"/>
    <x v="60"/>
    <x v="1"/>
    <x v="57"/>
    <x v="8"/>
    <n v="28.422501163"/>
  </r>
  <r>
    <x v="0"/>
    <x v="17"/>
    <x v="60"/>
    <x v="2"/>
    <x v="57"/>
    <x v="8"/>
    <n v="99.388700353999994"/>
  </r>
  <r>
    <x v="0"/>
    <x v="17"/>
    <x v="60"/>
    <x v="3"/>
    <x v="57"/>
    <x v="8"/>
    <n v="67.033775606000006"/>
  </r>
  <r>
    <x v="0"/>
    <x v="17"/>
    <x v="60"/>
    <x v="4"/>
    <x v="57"/>
    <x v="8"/>
    <n v="4.9120983039999997"/>
  </r>
  <r>
    <x v="0"/>
    <x v="17"/>
    <x v="60"/>
    <x v="5"/>
    <x v="57"/>
    <x v="8"/>
    <n v="94.450486909999995"/>
  </r>
  <r>
    <x v="0"/>
    <x v="17"/>
    <x v="60"/>
    <x v="6"/>
    <x v="57"/>
    <x v="8"/>
    <n v="15.509414567"/>
  </r>
  <r>
    <x v="0"/>
    <x v="17"/>
    <x v="60"/>
    <x v="7"/>
    <x v="57"/>
    <x v="8"/>
    <n v="24.30522461"/>
  </r>
  <r>
    <x v="0"/>
    <x v="17"/>
    <x v="60"/>
    <x v="8"/>
    <x v="57"/>
    <x v="8"/>
    <n v="6.477134189"/>
  </r>
  <r>
    <x v="0"/>
    <x v="17"/>
    <x v="60"/>
    <x v="9"/>
    <x v="57"/>
    <x v="8"/>
    <n v="25.383398200999999"/>
  </r>
  <r>
    <x v="0"/>
    <x v="17"/>
    <x v="60"/>
    <x v="10"/>
    <x v="57"/>
    <x v="8"/>
    <n v="23.371529924000001"/>
  </r>
  <r>
    <x v="0"/>
    <x v="17"/>
    <x v="60"/>
    <x v="11"/>
    <x v="57"/>
    <x v="8"/>
    <n v="135.98085028899999"/>
  </r>
  <r>
    <x v="0"/>
    <x v="17"/>
    <x v="60"/>
    <x v="12"/>
    <x v="57"/>
    <x v="8"/>
    <n v="4.6280895080000004"/>
  </r>
  <r>
    <x v="0"/>
    <x v="17"/>
    <x v="60"/>
    <x v="13"/>
    <x v="57"/>
    <x v="8"/>
    <n v="48.728479333999999"/>
  </r>
  <r>
    <x v="0"/>
    <x v="17"/>
    <x v="60"/>
    <x v="14"/>
    <x v="57"/>
    <x v="8"/>
    <n v="6.3881380439999997"/>
  </r>
  <r>
    <x v="0"/>
    <x v="17"/>
    <x v="60"/>
    <x v="15"/>
    <x v="57"/>
    <x v="8"/>
    <n v="43.658254380000002"/>
  </r>
  <r>
    <x v="0"/>
    <x v="17"/>
    <x v="60"/>
    <x v="16"/>
    <x v="57"/>
    <x v="8"/>
    <n v="37.158684747999999"/>
  </r>
  <r>
    <x v="0"/>
    <x v="17"/>
    <x v="60"/>
    <x v="17"/>
    <x v="57"/>
    <x v="8"/>
    <n v="61.096253805000003"/>
  </r>
  <r>
    <x v="0"/>
    <x v="17"/>
    <x v="60"/>
    <x v="18"/>
    <x v="57"/>
    <x v="8"/>
    <n v="32.985576541999997"/>
  </r>
  <r>
    <x v="0"/>
    <x v="17"/>
    <x v="60"/>
    <x v="19"/>
    <x v="57"/>
    <x v="8"/>
    <n v="217.24442665399999"/>
  </r>
  <r>
    <x v="0"/>
    <x v="17"/>
    <x v="60"/>
    <x v="20"/>
    <x v="57"/>
    <x v="8"/>
    <n v="33.247796336999997"/>
  </r>
  <r>
    <x v="0"/>
    <x v="17"/>
    <x v="60"/>
    <x v="21"/>
    <x v="57"/>
    <x v="8"/>
    <n v="0.59088572500000003"/>
  </r>
  <r>
    <x v="0"/>
    <x v="17"/>
    <x v="60"/>
    <x v="22"/>
    <x v="57"/>
    <x v="8"/>
    <n v="1.248985072"/>
  </r>
  <r>
    <x v="0"/>
    <x v="17"/>
    <x v="60"/>
    <x v="23"/>
    <x v="57"/>
    <x v="8"/>
    <n v="0"/>
  </r>
  <r>
    <x v="0"/>
    <x v="17"/>
    <x v="60"/>
    <x v="24"/>
    <x v="57"/>
    <x v="8"/>
    <n v="0.19385153899999999"/>
  </r>
  <r>
    <x v="0"/>
    <x v="17"/>
    <x v="60"/>
    <x v="25"/>
    <x v="57"/>
    <x v="8"/>
    <n v="2.9000000000000002E-8"/>
  </r>
  <r>
    <x v="0"/>
    <x v="17"/>
    <x v="60"/>
    <x v="26"/>
    <x v="57"/>
    <x v="8"/>
    <n v="0"/>
  </r>
  <r>
    <x v="0"/>
    <x v="17"/>
    <x v="60"/>
    <x v="27"/>
    <x v="57"/>
    <x v="8"/>
    <n v="2.7247935540000001"/>
  </r>
  <r>
    <x v="0"/>
    <x v="17"/>
    <x v="60"/>
    <x v="28"/>
    <x v="57"/>
    <x v="8"/>
    <n v="0"/>
  </r>
  <r>
    <x v="0"/>
    <x v="17"/>
    <x v="60"/>
    <x v="29"/>
    <x v="57"/>
    <x v="8"/>
    <n v="41.268000536999999"/>
  </r>
  <r>
    <x v="0"/>
    <x v="17"/>
    <x v="60"/>
    <x v="30"/>
    <x v="57"/>
    <x v="8"/>
    <n v="29.337244359"/>
  </r>
  <r>
    <x v="0"/>
    <x v="17"/>
    <x v="60"/>
    <x v="31"/>
    <x v="57"/>
    <x v="8"/>
    <n v="6.0198121130000004"/>
  </r>
  <r>
    <x v="0"/>
    <x v="17"/>
    <x v="60"/>
    <x v="32"/>
    <x v="57"/>
    <x v="8"/>
    <n v="3.574867464"/>
  </r>
  <r>
    <x v="0"/>
    <x v="17"/>
    <x v="60"/>
    <x v="33"/>
    <x v="57"/>
    <x v="8"/>
    <n v="0"/>
  </r>
  <r>
    <x v="0"/>
    <x v="17"/>
    <x v="60"/>
    <x v="34"/>
    <x v="57"/>
    <x v="8"/>
    <n v="42.468254127000002"/>
  </r>
  <r>
    <x v="0"/>
    <x v="17"/>
    <x v="60"/>
    <x v="35"/>
    <x v="57"/>
    <x v="8"/>
    <n v="4.5693181459999996"/>
  </r>
  <r>
    <x v="0"/>
    <x v="17"/>
    <x v="60"/>
    <x v="36"/>
    <x v="57"/>
    <x v="8"/>
    <n v="10.806582246"/>
  </r>
  <r>
    <x v="0"/>
    <x v="17"/>
    <x v="60"/>
    <x v="37"/>
    <x v="57"/>
    <x v="8"/>
    <n v="2.7130603130000002"/>
  </r>
  <r>
    <x v="0"/>
    <x v="17"/>
    <x v="60"/>
    <x v="38"/>
    <x v="57"/>
    <x v="8"/>
    <n v="14.905423265"/>
  </r>
  <r>
    <x v="0"/>
    <x v="17"/>
    <x v="60"/>
    <x v="39"/>
    <x v="57"/>
    <x v="8"/>
    <n v="4.7247286900000001"/>
  </r>
  <r>
    <x v="0"/>
    <x v="17"/>
    <x v="60"/>
    <x v="40"/>
    <x v="57"/>
    <x v="8"/>
    <n v="30.535464885"/>
  </r>
  <r>
    <x v="0"/>
    <x v="17"/>
    <x v="60"/>
    <x v="41"/>
    <x v="57"/>
    <x v="8"/>
    <n v="10.458266896"/>
  </r>
  <r>
    <x v="0"/>
    <x v="17"/>
    <x v="61"/>
    <x v="0"/>
    <x v="57"/>
    <x v="8"/>
    <n v="1.7485893109999999"/>
  </r>
  <r>
    <x v="0"/>
    <x v="17"/>
    <x v="61"/>
    <x v="1"/>
    <x v="57"/>
    <x v="8"/>
    <n v="0.61289497500000001"/>
  </r>
  <r>
    <x v="0"/>
    <x v="17"/>
    <x v="61"/>
    <x v="2"/>
    <x v="57"/>
    <x v="8"/>
    <n v="3.8630658539999998"/>
  </r>
  <r>
    <x v="0"/>
    <x v="17"/>
    <x v="61"/>
    <x v="3"/>
    <x v="57"/>
    <x v="8"/>
    <n v="0.55126061400000004"/>
  </r>
  <r>
    <x v="0"/>
    <x v="17"/>
    <x v="61"/>
    <x v="4"/>
    <x v="57"/>
    <x v="8"/>
    <n v="1.013439083"/>
  </r>
  <r>
    <x v="0"/>
    <x v="17"/>
    <x v="61"/>
    <x v="5"/>
    <x v="57"/>
    <x v="8"/>
    <n v="11.219046922"/>
  </r>
  <r>
    <x v="0"/>
    <x v="17"/>
    <x v="61"/>
    <x v="6"/>
    <x v="57"/>
    <x v="8"/>
    <n v="22.284947511999999"/>
  </r>
  <r>
    <x v="0"/>
    <x v="17"/>
    <x v="61"/>
    <x v="7"/>
    <x v="57"/>
    <x v="8"/>
    <n v="44.678130584999998"/>
  </r>
  <r>
    <x v="0"/>
    <x v="17"/>
    <x v="61"/>
    <x v="8"/>
    <x v="57"/>
    <x v="8"/>
    <n v="16.892572985000001"/>
  </r>
  <r>
    <x v="0"/>
    <x v="17"/>
    <x v="61"/>
    <x v="9"/>
    <x v="57"/>
    <x v="8"/>
    <n v="40.519005808999999"/>
  </r>
  <r>
    <x v="0"/>
    <x v="17"/>
    <x v="61"/>
    <x v="10"/>
    <x v="57"/>
    <x v="8"/>
    <n v="15.527574250000001"/>
  </r>
  <r>
    <x v="0"/>
    <x v="17"/>
    <x v="61"/>
    <x v="11"/>
    <x v="57"/>
    <x v="8"/>
    <n v="86.050831923000004"/>
  </r>
  <r>
    <x v="0"/>
    <x v="17"/>
    <x v="61"/>
    <x v="12"/>
    <x v="57"/>
    <x v="8"/>
    <n v="18.465585189999999"/>
  </r>
  <r>
    <x v="0"/>
    <x v="17"/>
    <x v="61"/>
    <x v="13"/>
    <x v="57"/>
    <x v="8"/>
    <n v="47.318002749000001"/>
  </r>
  <r>
    <x v="0"/>
    <x v="17"/>
    <x v="61"/>
    <x v="14"/>
    <x v="57"/>
    <x v="8"/>
    <n v="35.543346643"/>
  </r>
  <r>
    <x v="0"/>
    <x v="17"/>
    <x v="61"/>
    <x v="15"/>
    <x v="57"/>
    <x v="8"/>
    <n v="47.597386856"/>
  </r>
  <r>
    <x v="0"/>
    <x v="17"/>
    <x v="61"/>
    <x v="16"/>
    <x v="57"/>
    <x v="8"/>
    <n v="22.223247140000002"/>
  </r>
  <r>
    <x v="0"/>
    <x v="17"/>
    <x v="61"/>
    <x v="17"/>
    <x v="57"/>
    <x v="8"/>
    <n v="37.522184947"/>
  </r>
  <r>
    <x v="0"/>
    <x v="17"/>
    <x v="61"/>
    <x v="18"/>
    <x v="57"/>
    <x v="8"/>
    <n v="85.165360763999999"/>
  </r>
  <r>
    <x v="0"/>
    <x v="17"/>
    <x v="61"/>
    <x v="19"/>
    <x v="57"/>
    <x v="8"/>
    <n v="194.59527855300001"/>
  </r>
  <r>
    <x v="0"/>
    <x v="17"/>
    <x v="61"/>
    <x v="20"/>
    <x v="57"/>
    <x v="8"/>
    <n v="14.894759328999999"/>
  </r>
  <r>
    <x v="0"/>
    <x v="17"/>
    <x v="61"/>
    <x v="21"/>
    <x v="57"/>
    <x v="8"/>
    <n v="3.1827724690000001"/>
  </r>
  <r>
    <x v="0"/>
    <x v="17"/>
    <x v="61"/>
    <x v="22"/>
    <x v="57"/>
    <x v="8"/>
    <n v="7.0507343010000003"/>
  </r>
  <r>
    <x v="0"/>
    <x v="17"/>
    <x v="61"/>
    <x v="23"/>
    <x v="57"/>
    <x v="8"/>
    <n v="0"/>
  </r>
  <r>
    <x v="0"/>
    <x v="17"/>
    <x v="61"/>
    <x v="24"/>
    <x v="57"/>
    <x v="8"/>
    <n v="0.836287632"/>
  </r>
  <r>
    <x v="0"/>
    <x v="17"/>
    <x v="61"/>
    <x v="25"/>
    <x v="57"/>
    <x v="8"/>
    <n v="0"/>
  </r>
  <r>
    <x v="0"/>
    <x v="17"/>
    <x v="61"/>
    <x v="26"/>
    <x v="57"/>
    <x v="8"/>
    <n v="0"/>
  </r>
  <r>
    <x v="0"/>
    <x v="17"/>
    <x v="61"/>
    <x v="27"/>
    <x v="57"/>
    <x v="8"/>
    <n v="3.5115496519999998"/>
  </r>
  <r>
    <x v="0"/>
    <x v="17"/>
    <x v="61"/>
    <x v="28"/>
    <x v="57"/>
    <x v="8"/>
    <n v="116.69270784299999"/>
  </r>
  <r>
    <x v="0"/>
    <x v="17"/>
    <x v="61"/>
    <x v="29"/>
    <x v="57"/>
    <x v="8"/>
    <n v="49.506486989999999"/>
  </r>
  <r>
    <x v="0"/>
    <x v="17"/>
    <x v="61"/>
    <x v="30"/>
    <x v="57"/>
    <x v="8"/>
    <n v="1.9786177540000001"/>
  </r>
  <r>
    <x v="0"/>
    <x v="17"/>
    <x v="61"/>
    <x v="31"/>
    <x v="57"/>
    <x v="8"/>
    <n v="12.540653378"/>
  </r>
  <r>
    <x v="0"/>
    <x v="17"/>
    <x v="61"/>
    <x v="32"/>
    <x v="57"/>
    <x v="8"/>
    <n v="5.6362902469999998"/>
  </r>
  <r>
    <x v="0"/>
    <x v="17"/>
    <x v="61"/>
    <x v="33"/>
    <x v="57"/>
    <x v="8"/>
    <n v="0"/>
  </r>
  <r>
    <x v="0"/>
    <x v="17"/>
    <x v="61"/>
    <x v="34"/>
    <x v="57"/>
    <x v="8"/>
    <n v="32.007048503999997"/>
  </r>
  <r>
    <x v="0"/>
    <x v="17"/>
    <x v="61"/>
    <x v="35"/>
    <x v="57"/>
    <x v="8"/>
    <n v="0.20096325400000001"/>
  </r>
  <r>
    <x v="0"/>
    <x v="17"/>
    <x v="61"/>
    <x v="36"/>
    <x v="57"/>
    <x v="8"/>
    <n v="0.82705512400000003"/>
  </r>
  <r>
    <x v="0"/>
    <x v="17"/>
    <x v="61"/>
    <x v="37"/>
    <x v="57"/>
    <x v="8"/>
    <n v="0.50936766300000003"/>
  </r>
  <r>
    <x v="0"/>
    <x v="17"/>
    <x v="61"/>
    <x v="38"/>
    <x v="57"/>
    <x v="8"/>
    <n v="0.15306552400000001"/>
  </r>
  <r>
    <x v="0"/>
    <x v="17"/>
    <x v="61"/>
    <x v="39"/>
    <x v="57"/>
    <x v="8"/>
    <n v="0.18472528999999999"/>
  </r>
  <r>
    <x v="0"/>
    <x v="17"/>
    <x v="61"/>
    <x v="40"/>
    <x v="57"/>
    <x v="8"/>
    <n v="3.4287172080000001"/>
  </r>
  <r>
    <x v="0"/>
    <x v="17"/>
    <x v="61"/>
    <x v="41"/>
    <x v="57"/>
    <x v="8"/>
    <n v="0.28699181000000001"/>
  </r>
  <r>
    <x v="0"/>
    <x v="17"/>
    <x v="62"/>
    <x v="0"/>
    <x v="57"/>
    <x v="9"/>
    <n v="4.3874923000000003E-2"/>
  </r>
  <r>
    <x v="0"/>
    <x v="17"/>
    <x v="62"/>
    <x v="1"/>
    <x v="57"/>
    <x v="9"/>
    <n v="4.3874923000000003E-2"/>
  </r>
  <r>
    <x v="0"/>
    <x v="17"/>
    <x v="62"/>
    <x v="2"/>
    <x v="57"/>
    <x v="9"/>
    <n v="4.3874923000000003E-2"/>
  </r>
  <r>
    <x v="0"/>
    <x v="17"/>
    <x v="62"/>
    <x v="3"/>
    <x v="57"/>
    <x v="9"/>
    <n v="4.3874923000000003E-2"/>
  </r>
  <r>
    <x v="0"/>
    <x v="17"/>
    <x v="62"/>
    <x v="4"/>
    <x v="57"/>
    <x v="9"/>
    <n v="4.3874923000000003E-2"/>
  </r>
  <r>
    <x v="0"/>
    <x v="17"/>
    <x v="62"/>
    <x v="5"/>
    <x v="57"/>
    <x v="9"/>
    <n v="4.3874923000000003E-2"/>
  </r>
  <r>
    <x v="0"/>
    <x v="17"/>
    <x v="62"/>
    <x v="6"/>
    <x v="57"/>
    <x v="9"/>
    <n v="4.3874923000000003E-2"/>
  </r>
  <r>
    <x v="0"/>
    <x v="17"/>
    <x v="62"/>
    <x v="7"/>
    <x v="57"/>
    <x v="9"/>
    <n v="4.3874923000000003E-2"/>
  </r>
  <r>
    <x v="0"/>
    <x v="17"/>
    <x v="62"/>
    <x v="8"/>
    <x v="57"/>
    <x v="9"/>
    <n v="4.3874923000000003E-2"/>
  </r>
  <r>
    <x v="0"/>
    <x v="17"/>
    <x v="62"/>
    <x v="9"/>
    <x v="57"/>
    <x v="9"/>
    <n v="4.3874923000000003E-2"/>
  </r>
  <r>
    <x v="0"/>
    <x v="17"/>
    <x v="62"/>
    <x v="10"/>
    <x v="57"/>
    <x v="9"/>
    <n v="4.3874923000000003E-2"/>
  </r>
  <r>
    <x v="0"/>
    <x v="17"/>
    <x v="62"/>
    <x v="11"/>
    <x v="57"/>
    <x v="9"/>
    <n v="4.3874923000000003E-2"/>
  </r>
  <r>
    <x v="0"/>
    <x v="17"/>
    <x v="62"/>
    <x v="12"/>
    <x v="57"/>
    <x v="9"/>
    <n v="4.3874923000000003E-2"/>
  </r>
  <r>
    <x v="0"/>
    <x v="17"/>
    <x v="62"/>
    <x v="13"/>
    <x v="57"/>
    <x v="9"/>
    <n v="4.3874923000000003E-2"/>
  </r>
  <r>
    <x v="0"/>
    <x v="17"/>
    <x v="62"/>
    <x v="14"/>
    <x v="57"/>
    <x v="9"/>
    <n v="4.3874923000000003E-2"/>
  </r>
  <r>
    <x v="0"/>
    <x v="17"/>
    <x v="62"/>
    <x v="15"/>
    <x v="57"/>
    <x v="9"/>
    <n v="4.3874923000000003E-2"/>
  </r>
  <r>
    <x v="0"/>
    <x v="17"/>
    <x v="62"/>
    <x v="16"/>
    <x v="57"/>
    <x v="9"/>
    <n v="4.3874923000000003E-2"/>
  </r>
  <r>
    <x v="0"/>
    <x v="17"/>
    <x v="62"/>
    <x v="17"/>
    <x v="57"/>
    <x v="9"/>
    <n v="4.3874923000000003E-2"/>
  </r>
  <r>
    <x v="0"/>
    <x v="17"/>
    <x v="62"/>
    <x v="18"/>
    <x v="57"/>
    <x v="9"/>
    <n v="4.3874923000000003E-2"/>
  </r>
  <r>
    <x v="0"/>
    <x v="17"/>
    <x v="62"/>
    <x v="19"/>
    <x v="57"/>
    <x v="9"/>
    <n v="4.3874923000000003E-2"/>
  </r>
  <r>
    <x v="0"/>
    <x v="17"/>
    <x v="62"/>
    <x v="20"/>
    <x v="57"/>
    <x v="9"/>
    <n v="4.3874923000000003E-2"/>
  </r>
  <r>
    <x v="0"/>
    <x v="17"/>
    <x v="62"/>
    <x v="21"/>
    <x v="57"/>
    <x v="9"/>
    <n v="4.3874923000000003E-2"/>
  </r>
  <r>
    <x v="0"/>
    <x v="17"/>
    <x v="62"/>
    <x v="22"/>
    <x v="57"/>
    <x v="9"/>
    <n v="4.3874923000000003E-2"/>
  </r>
  <r>
    <x v="0"/>
    <x v="17"/>
    <x v="62"/>
    <x v="23"/>
    <x v="57"/>
    <x v="9"/>
    <n v="1"/>
  </r>
  <r>
    <x v="0"/>
    <x v="17"/>
    <x v="62"/>
    <x v="24"/>
    <x v="57"/>
    <x v="9"/>
    <n v="4.3874923000000003E-2"/>
  </r>
  <r>
    <x v="0"/>
    <x v="17"/>
    <x v="62"/>
    <x v="25"/>
    <x v="57"/>
    <x v="9"/>
    <n v="4.3874923000000003E-2"/>
  </r>
  <r>
    <x v="0"/>
    <x v="17"/>
    <x v="62"/>
    <x v="26"/>
    <x v="57"/>
    <x v="9"/>
    <n v="1"/>
  </r>
  <r>
    <x v="0"/>
    <x v="17"/>
    <x v="62"/>
    <x v="27"/>
    <x v="57"/>
    <x v="9"/>
    <n v="4.3874923000000003E-2"/>
  </r>
  <r>
    <x v="0"/>
    <x v="17"/>
    <x v="62"/>
    <x v="28"/>
    <x v="57"/>
    <x v="9"/>
    <n v="1"/>
  </r>
  <r>
    <x v="0"/>
    <x v="17"/>
    <x v="62"/>
    <x v="29"/>
    <x v="57"/>
    <x v="9"/>
    <n v="4.3874923000000003E-2"/>
  </r>
  <r>
    <x v="0"/>
    <x v="17"/>
    <x v="62"/>
    <x v="30"/>
    <x v="57"/>
    <x v="9"/>
    <n v="4.3874923000000003E-2"/>
  </r>
  <r>
    <x v="0"/>
    <x v="17"/>
    <x v="62"/>
    <x v="31"/>
    <x v="57"/>
    <x v="9"/>
    <n v="4.3874923000000003E-2"/>
  </r>
  <r>
    <x v="0"/>
    <x v="17"/>
    <x v="62"/>
    <x v="32"/>
    <x v="57"/>
    <x v="9"/>
    <n v="4.3874923000000003E-2"/>
  </r>
  <r>
    <x v="0"/>
    <x v="17"/>
    <x v="62"/>
    <x v="33"/>
    <x v="57"/>
    <x v="9"/>
    <n v="1"/>
  </r>
  <r>
    <x v="0"/>
    <x v="17"/>
    <x v="62"/>
    <x v="34"/>
    <x v="57"/>
    <x v="9"/>
    <n v="4.3874923000000003E-2"/>
  </r>
  <r>
    <x v="0"/>
    <x v="17"/>
    <x v="62"/>
    <x v="35"/>
    <x v="57"/>
    <x v="9"/>
    <n v="4.3874923000000003E-2"/>
  </r>
  <r>
    <x v="0"/>
    <x v="17"/>
    <x v="62"/>
    <x v="36"/>
    <x v="57"/>
    <x v="9"/>
    <n v="4.3874923000000003E-2"/>
  </r>
  <r>
    <x v="0"/>
    <x v="17"/>
    <x v="62"/>
    <x v="37"/>
    <x v="57"/>
    <x v="9"/>
    <n v="4.3874923000000003E-2"/>
  </r>
  <r>
    <x v="0"/>
    <x v="17"/>
    <x v="62"/>
    <x v="38"/>
    <x v="57"/>
    <x v="9"/>
    <n v="4.3874923000000003E-2"/>
  </r>
  <r>
    <x v="0"/>
    <x v="17"/>
    <x v="62"/>
    <x v="39"/>
    <x v="57"/>
    <x v="9"/>
    <n v="4.3874923000000003E-2"/>
  </r>
  <r>
    <x v="0"/>
    <x v="17"/>
    <x v="62"/>
    <x v="40"/>
    <x v="57"/>
    <x v="9"/>
    <n v="4.3874923000000003E-2"/>
  </r>
  <r>
    <x v="0"/>
    <x v="17"/>
    <x v="62"/>
    <x v="41"/>
    <x v="57"/>
    <x v="9"/>
    <n v="4.3874923000000003E-2"/>
  </r>
  <r>
    <x v="0"/>
    <x v="17"/>
    <x v="63"/>
    <x v="0"/>
    <x v="57"/>
    <x v="9"/>
    <n v="5.1920312000000003E-2"/>
  </r>
  <r>
    <x v="0"/>
    <x v="17"/>
    <x v="63"/>
    <x v="1"/>
    <x v="57"/>
    <x v="9"/>
    <n v="3.4100574000000002E-2"/>
  </r>
  <r>
    <x v="0"/>
    <x v="17"/>
    <x v="63"/>
    <x v="2"/>
    <x v="57"/>
    <x v="9"/>
    <n v="2.9220988E-2"/>
  </r>
  <r>
    <x v="0"/>
    <x v="17"/>
    <x v="63"/>
    <x v="3"/>
    <x v="57"/>
    <x v="9"/>
    <n v="3.2939151E-2"/>
  </r>
  <r>
    <x v="0"/>
    <x v="17"/>
    <x v="63"/>
    <x v="4"/>
    <x v="57"/>
    <x v="9"/>
    <n v="3.1106595000000001E-2"/>
  </r>
  <r>
    <x v="0"/>
    <x v="17"/>
    <x v="63"/>
    <x v="5"/>
    <x v="57"/>
    <x v="9"/>
    <n v="3.4282978999999998E-2"/>
  </r>
  <r>
    <x v="0"/>
    <x v="17"/>
    <x v="63"/>
    <x v="6"/>
    <x v="57"/>
    <x v="9"/>
    <n v="3.2456187999999997E-2"/>
  </r>
  <r>
    <x v="0"/>
    <x v="17"/>
    <x v="63"/>
    <x v="7"/>
    <x v="57"/>
    <x v="9"/>
    <n v="3.3456650999999997E-2"/>
  </r>
  <r>
    <x v="0"/>
    <x v="17"/>
    <x v="63"/>
    <x v="8"/>
    <x v="57"/>
    <x v="9"/>
    <n v="3.2264581000000001E-2"/>
  </r>
  <r>
    <x v="0"/>
    <x v="17"/>
    <x v="63"/>
    <x v="9"/>
    <x v="57"/>
    <x v="9"/>
    <n v="2.8305200999999999E-2"/>
  </r>
  <r>
    <x v="0"/>
    <x v="17"/>
    <x v="63"/>
    <x v="10"/>
    <x v="57"/>
    <x v="9"/>
    <n v="2.2721811000000001E-2"/>
  </r>
  <r>
    <x v="0"/>
    <x v="17"/>
    <x v="63"/>
    <x v="11"/>
    <x v="57"/>
    <x v="9"/>
    <n v="2.6505088E-2"/>
  </r>
  <r>
    <x v="0"/>
    <x v="17"/>
    <x v="63"/>
    <x v="12"/>
    <x v="57"/>
    <x v="9"/>
    <n v="2.8586797000000001E-2"/>
  </r>
  <r>
    <x v="0"/>
    <x v="17"/>
    <x v="63"/>
    <x v="13"/>
    <x v="57"/>
    <x v="9"/>
    <n v="2.4463397000000001E-2"/>
  </r>
  <r>
    <x v="0"/>
    <x v="17"/>
    <x v="63"/>
    <x v="14"/>
    <x v="57"/>
    <x v="9"/>
    <n v="2.6210097000000002E-2"/>
  </r>
  <r>
    <x v="0"/>
    <x v="17"/>
    <x v="63"/>
    <x v="15"/>
    <x v="57"/>
    <x v="9"/>
    <n v="2.9373324999999999E-2"/>
  </r>
  <r>
    <x v="0"/>
    <x v="17"/>
    <x v="63"/>
    <x v="16"/>
    <x v="57"/>
    <x v="9"/>
    <n v="3.0300114999999999E-2"/>
  </r>
  <r>
    <x v="0"/>
    <x v="17"/>
    <x v="63"/>
    <x v="17"/>
    <x v="57"/>
    <x v="9"/>
    <n v="2.9346835000000002E-2"/>
  </r>
  <r>
    <x v="0"/>
    <x v="17"/>
    <x v="63"/>
    <x v="18"/>
    <x v="57"/>
    <x v="9"/>
    <n v="2.6739177999999999E-2"/>
  </r>
  <r>
    <x v="0"/>
    <x v="17"/>
    <x v="63"/>
    <x v="19"/>
    <x v="57"/>
    <x v="9"/>
    <n v="3.1602365E-2"/>
  </r>
  <r>
    <x v="0"/>
    <x v="17"/>
    <x v="63"/>
    <x v="20"/>
    <x v="57"/>
    <x v="9"/>
    <n v="3.0840844999999999E-2"/>
  </r>
  <r>
    <x v="0"/>
    <x v="17"/>
    <x v="63"/>
    <x v="21"/>
    <x v="57"/>
    <x v="9"/>
    <n v="2.8494110999999999E-2"/>
  </r>
  <r>
    <x v="0"/>
    <x v="17"/>
    <x v="63"/>
    <x v="22"/>
    <x v="57"/>
    <x v="9"/>
    <n v="1.5611511999999999E-2"/>
  </r>
  <r>
    <x v="0"/>
    <x v="17"/>
    <x v="63"/>
    <x v="23"/>
    <x v="57"/>
    <x v="9"/>
    <n v="1"/>
  </r>
  <r>
    <x v="0"/>
    <x v="17"/>
    <x v="63"/>
    <x v="24"/>
    <x v="57"/>
    <x v="9"/>
    <n v="2.4590623999999998E-2"/>
  </r>
  <r>
    <x v="0"/>
    <x v="17"/>
    <x v="63"/>
    <x v="25"/>
    <x v="57"/>
    <x v="9"/>
    <n v="1"/>
  </r>
  <r>
    <x v="0"/>
    <x v="17"/>
    <x v="63"/>
    <x v="26"/>
    <x v="57"/>
    <x v="9"/>
    <n v="1"/>
  </r>
  <r>
    <x v="0"/>
    <x v="17"/>
    <x v="63"/>
    <x v="27"/>
    <x v="57"/>
    <x v="9"/>
    <n v="3.2929244000000003E-2"/>
  </r>
  <r>
    <x v="0"/>
    <x v="17"/>
    <x v="63"/>
    <x v="28"/>
    <x v="57"/>
    <x v="9"/>
    <n v="3.3606942000000001E-2"/>
  </r>
  <r>
    <x v="0"/>
    <x v="17"/>
    <x v="63"/>
    <x v="29"/>
    <x v="57"/>
    <x v="9"/>
    <n v="2.876159E-2"/>
  </r>
  <r>
    <x v="0"/>
    <x v="17"/>
    <x v="63"/>
    <x v="30"/>
    <x v="57"/>
    <x v="9"/>
    <n v="3.9824546000000002E-2"/>
  </r>
  <r>
    <x v="0"/>
    <x v="17"/>
    <x v="63"/>
    <x v="31"/>
    <x v="57"/>
    <x v="9"/>
    <n v="2.6844546E-2"/>
  </r>
  <r>
    <x v="0"/>
    <x v="17"/>
    <x v="63"/>
    <x v="32"/>
    <x v="57"/>
    <x v="9"/>
    <n v="2.8279919000000001E-2"/>
  </r>
  <r>
    <x v="0"/>
    <x v="17"/>
    <x v="63"/>
    <x v="33"/>
    <x v="57"/>
    <x v="9"/>
    <n v="1"/>
  </r>
  <r>
    <x v="0"/>
    <x v="17"/>
    <x v="63"/>
    <x v="34"/>
    <x v="57"/>
    <x v="9"/>
    <n v="2.9430878000000001E-2"/>
  </r>
  <r>
    <x v="0"/>
    <x v="17"/>
    <x v="63"/>
    <x v="35"/>
    <x v="57"/>
    <x v="9"/>
    <n v="2.9602397999999999E-2"/>
  </r>
  <r>
    <x v="0"/>
    <x v="17"/>
    <x v="63"/>
    <x v="36"/>
    <x v="57"/>
    <x v="9"/>
    <n v="3.0594092E-2"/>
  </r>
  <r>
    <x v="0"/>
    <x v="17"/>
    <x v="63"/>
    <x v="37"/>
    <x v="57"/>
    <x v="9"/>
    <n v="3.9205614999999999E-2"/>
  </r>
  <r>
    <x v="0"/>
    <x v="17"/>
    <x v="63"/>
    <x v="38"/>
    <x v="57"/>
    <x v="9"/>
    <n v="4.9118188E-2"/>
  </r>
  <r>
    <x v="0"/>
    <x v="17"/>
    <x v="63"/>
    <x v="39"/>
    <x v="57"/>
    <x v="9"/>
    <n v="3.7083550999999999E-2"/>
  </r>
  <r>
    <x v="0"/>
    <x v="17"/>
    <x v="63"/>
    <x v="40"/>
    <x v="57"/>
    <x v="9"/>
    <n v="3.6122479999999998E-2"/>
  </r>
  <r>
    <x v="0"/>
    <x v="17"/>
    <x v="63"/>
    <x v="41"/>
    <x v="57"/>
    <x v="9"/>
    <n v="4.0573666000000001E-2"/>
  </r>
  <r>
    <x v="0"/>
    <x v="17"/>
    <x v="64"/>
    <x v="0"/>
    <x v="57"/>
    <x v="10"/>
    <n v="0"/>
  </r>
  <r>
    <x v="0"/>
    <x v="17"/>
    <x v="64"/>
    <x v="1"/>
    <x v="57"/>
    <x v="10"/>
    <n v="0"/>
  </r>
  <r>
    <x v="0"/>
    <x v="17"/>
    <x v="64"/>
    <x v="2"/>
    <x v="57"/>
    <x v="10"/>
    <n v="0"/>
  </r>
  <r>
    <x v="0"/>
    <x v="17"/>
    <x v="64"/>
    <x v="3"/>
    <x v="57"/>
    <x v="10"/>
    <n v="0"/>
  </r>
  <r>
    <x v="0"/>
    <x v="17"/>
    <x v="64"/>
    <x v="4"/>
    <x v="57"/>
    <x v="10"/>
    <n v="0"/>
  </r>
  <r>
    <x v="0"/>
    <x v="17"/>
    <x v="64"/>
    <x v="5"/>
    <x v="57"/>
    <x v="10"/>
    <n v="0"/>
  </r>
  <r>
    <x v="0"/>
    <x v="17"/>
    <x v="64"/>
    <x v="6"/>
    <x v="57"/>
    <x v="10"/>
    <n v="0"/>
  </r>
  <r>
    <x v="0"/>
    <x v="17"/>
    <x v="64"/>
    <x v="7"/>
    <x v="57"/>
    <x v="10"/>
    <n v="0"/>
  </r>
  <r>
    <x v="0"/>
    <x v="17"/>
    <x v="64"/>
    <x v="8"/>
    <x v="57"/>
    <x v="10"/>
    <n v="0"/>
  </r>
  <r>
    <x v="0"/>
    <x v="17"/>
    <x v="64"/>
    <x v="9"/>
    <x v="57"/>
    <x v="10"/>
    <n v="0"/>
  </r>
  <r>
    <x v="0"/>
    <x v="17"/>
    <x v="64"/>
    <x v="10"/>
    <x v="57"/>
    <x v="10"/>
    <n v="0"/>
  </r>
  <r>
    <x v="0"/>
    <x v="17"/>
    <x v="64"/>
    <x v="11"/>
    <x v="57"/>
    <x v="10"/>
    <n v="0"/>
  </r>
  <r>
    <x v="0"/>
    <x v="17"/>
    <x v="64"/>
    <x v="12"/>
    <x v="57"/>
    <x v="10"/>
    <n v="0"/>
  </r>
  <r>
    <x v="0"/>
    <x v="17"/>
    <x v="64"/>
    <x v="13"/>
    <x v="57"/>
    <x v="10"/>
    <n v="0"/>
  </r>
  <r>
    <x v="0"/>
    <x v="17"/>
    <x v="64"/>
    <x v="14"/>
    <x v="57"/>
    <x v="10"/>
    <n v="0"/>
  </r>
  <r>
    <x v="0"/>
    <x v="17"/>
    <x v="64"/>
    <x v="15"/>
    <x v="57"/>
    <x v="10"/>
    <n v="0"/>
  </r>
  <r>
    <x v="0"/>
    <x v="17"/>
    <x v="64"/>
    <x v="16"/>
    <x v="57"/>
    <x v="10"/>
    <n v="0"/>
  </r>
  <r>
    <x v="0"/>
    <x v="17"/>
    <x v="64"/>
    <x v="17"/>
    <x v="57"/>
    <x v="10"/>
    <n v="0"/>
  </r>
  <r>
    <x v="0"/>
    <x v="17"/>
    <x v="64"/>
    <x v="18"/>
    <x v="57"/>
    <x v="10"/>
    <n v="0"/>
  </r>
  <r>
    <x v="0"/>
    <x v="17"/>
    <x v="64"/>
    <x v="19"/>
    <x v="57"/>
    <x v="10"/>
    <n v="0"/>
  </r>
  <r>
    <x v="0"/>
    <x v="17"/>
    <x v="64"/>
    <x v="20"/>
    <x v="57"/>
    <x v="10"/>
    <n v="0"/>
  </r>
  <r>
    <x v="0"/>
    <x v="17"/>
    <x v="64"/>
    <x v="21"/>
    <x v="57"/>
    <x v="10"/>
    <n v="0"/>
  </r>
  <r>
    <x v="0"/>
    <x v="17"/>
    <x v="64"/>
    <x v="22"/>
    <x v="57"/>
    <x v="10"/>
    <n v="0"/>
  </r>
  <r>
    <x v="0"/>
    <x v="17"/>
    <x v="64"/>
    <x v="23"/>
    <x v="57"/>
    <x v="10"/>
    <n v="0"/>
  </r>
  <r>
    <x v="0"/>
    <x v="17"/>
    <x v="64"/>
    <x v="24"/>
    <x v="57"/>
    <x v="10"/>
    <n v="0"/>
  </r>
  <r>
    <x v="0"/>
    <x v="17"/>
    <x v="64"/>
    <x v="25"/>
    <x v="57"/>
    <x v="10"/>
    <n v="0"/>
  </r>
  <r>
    <x v="0"/>
    <x v="17"/>
    <x v="64"/>
    <x v="26"/>
    <x v="57"/>
    <x v="10"/>
    <n v="0"/>
  </r>
  <r>
    <x v="0"/>
    <x v="17"/>
    <x v="64"/>
    <x v="27"/>
    <x v="57"/>
    <x v="10"/>
    <n v="0"/>
  </r>
  <r>
    <x v="0"/>
    <x v="17"/>
    <x v="64"/>
    <x v="28"/>
    <x v="57"/>
    <x v="10"/>
    <n v="0"/>
  </r>
  <r>
    <x v="0"/>
    <x v="17"/>
    <x v="64"/>
    <x v="29"/>
    <x v="57"/>
    <x v="10"/>
    <n v="0"/>
  </r>
  <r>
    <x v="0"/>
    <x v="17"/>
    <x v="64"/>
    <x v="30"/>
    <x v="57"/>
    <x v="10"/>
    <n v="0"/>
  </r>
  <r>
    <x v="0"/>
    <x v="17"/>
    <x v="64"/>
    <x v="31"/>
    <x v="57"/>
    <x v="10"/>
    <n v="0"/>
  </r>
  <r>
    <x v="0"/>
    <x v="17"/>
    <x v="64"/>
    <x v="32"/>
    <x v="57"/>
    <x v="10"/>
    <n v="0"/>
  </r>
  <r>
    <x v="0"/>
    <x v="17"/>
    <x v="64"/>
    <x v="33"/>
    <x v="57"/>
    <x v="10"/>
    <n v="0"/>
  </r>
  <r>
    <x v="0"/>
    <x v="17"/>
    <x v="64"/>
    <x v="34"/>
    <x v="57"/>
    <x v="10"/>
    <n v="0"/>
  </r>
  <r>
    <x v="0"/>
    <x v="17"/>
    <x v="64"/>
    <x v="35"/>
    <x v="57"/>
    <x v="10"/>
    <n v="0"/>
  </r>
  <r>
    <x v="0"/>
    <x v="17"/>
    <x v="64"/>
    <x v="36"/>
    <x v="57"/>
    <x v="10"/>
    <n v="0"/>
  </r>
  <r>
    <x v="0"/>
    <x v="17"/>
    <x v="64"/>
    <x v="37"/>
    <x v="57"/>
    <x v="10"/>
    <n v="0"/>
  </r>
  <r>
    <x v="0"/>
    <x v="17"/>
    <x v="64"/>
    <x v="38"/>
    <x v="57"/>
    <x v="10"/>
    <n v="0"/>
  </r>
  <r>
    <x v="0"/>
    <x v="17"/>
    <x v="64"/>
    <x v="39"/>
    <x v="57"/>
    <x v="10"/>
    <n v="0"/>
  </r>
  <r>
    <x v="0"/>
    <x v="17"/>
    <x v="64"/>
    <x v="40"/>
    <x v="57"/>
    <x v="10"/>
    <n v="0"/>
  </r>
  <r>
    <x v="0"/>
    <x v="17"/>
    <x v="64"/>
    <x v="41"/>
    <x v="57"/>
    <x v="10"/>
    <n v="0"/>
  </r>
  <r>
    <x v="0"/>
    <x v="17"/>
    <x v="65"/>
    <x v="48"/>
    <x v="58"/>
    <x v="11"/>
    <n v="2098.8683148770001"/>
  </r>
  <r>
    <x v="0"/>
    <x v="17"/>
    <x v="65"/>
    <x v="49"/>
    <x v="58"/>
    <x v="11"/>
    <n v="2031.160327496"/>
  </r>
  <r>
    <x v="0"/>
    <x v="17"/>
    <x v="66"/>
    <x v="48"/>
    <x v="58"/>
    <x v="12"/>
    <n v="8.3886431999999997E-2"/>
  </r>
  <r>
    <x v="0"/>
    <x v="17"/>
    <x v="66"/>
    <x v="49"/>
    <x v="58"/>
    <x v="12"/>
    <n v="8.1180315000000003E-2"/>
  </r>
  <r>
    <x v="1"/>
    <x v="18"/>
    <x v="67"/>
    <x v="44"/>
    <x v="0"/>
    <x v="1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74" firstHeaderRow="1" firstDataRow="2" firstDataCol="1" rowPageCount="1" colPageCount="1"/>
  <pivotFields count="7">
    <pivotField axis="axisCol" showAll="0">
      <items count="3">
        <item x="0"/>
        <item h="1"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Row" showAll="0">
      <items count="69">
        <item x="21"/>
        <item x="31"/>
        <item n="rgdp" x="23"/>
        <item n="pinc" x="0"/>
        <item n="xp" x="24"/>
        <item n="tcons" x="55"/>
        <item x="7"/>
        <item x="10"/>
        <item x="18"/>
        <item x="17"/>
        <item x="19"/>
        <item x="57"/>
        <item x="58"/>
        <item x="11"/>
        <item x="56"/>
        <item x="30"/>
        <item x="20"/>
        <item x="41"/>
        <item x="35"/>
        <item x="36"/>
        <item x="44"/>
        <item x="40"/>
        <item x="4"/>
        <item x="47"/>
        <item x="6"/>
        <item x="50"/>
        <item x="2"/>
        <item x="15"/>
        <item x="29"/>
        <item x="16"/>
        <item x="63"/>
        <item x="32"/>
        <item x="22"/>
        <item x="33"/>
        <item x="34"/>
        <item x="45"/>
        <item x="62"/>
        <item x="3"/>
        <item x="1"/>
        <item x="5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52"/>
        <item x="51"/>
        <item x="67"/>
        <item x="65"/>
        <item x="66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74" firstHeaderRow="1" firstDataRow="2" firstDataCol="1" rowPageCount="1" colPageCount="1"/>
  <pivotFields count="7">
    <pivotField axis="axisCol" showAll="0">
      <items count="3">
        <item x="0"/>
        <item h="1"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Row" showAll="0">
      <items count="69">
        <item x="21"/>
        <item x="31"/>
        <item n="rgdp" x="23"/>
        <item n="pinc" x="0"/>
        <item n="xp" x="24"/>
        <item n="tcons" x="55"/>
        <item x="7"/>
        <item x="10"/>
        <item x="18"/>
        <item x="17"/>
        <item x="19"/>
        <item x="57"/>
        <item x="58"/>
        <item x="11"/>
        <item x="56"/>
        <item x="30"/>
        <item x="20"/>
        <item x="41"/>
        <item x="35"/>
        <item x="36"/>
        <item x="44"/>
        <item x="40"/>
        <item x="4"/>
        <item x="47"/>
        <item x="6"/>
        <item x="50"/>
        <item x="2"/>
        <item x="15"/>
        <item x="29"/>
        <item x="16"/>
        <item x="63"/>
        <item x="32"/>
        <item x="22"/>
        <item x="33"/>
        <item x="34"/>
        <item x="45"/>
        <item x="62"/>
        <item x="3"/>
        <item x="1"/>
        <item x="5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52"/>
        <item x="51"/>
        <item x="67"/>
        <item x="65"/>
        <item x="66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differenc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49" firstHeaderRow="1" firstDataRow="2" firstDataCol="1" rowPageCount="2" colPageCount="1"/>
  <pivotFields count="7">
    <pivotField axis="axisCol" showAll="0">
      <items count="3">
        <item x="0"/>
        <item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69">
        <item h="1" x="21"/>
        <item h="1" x="31"/>
        <item n="rgdp" h="1" x="23"/>
        <item n="pinc" h="1" x="0"/>
        <item n="xp" h="1" x="24"/>
        <item n="tcons" h="1" x="55"/>
        <item h="1" x="7"/>
        <item h="1" x="10"/>
        <item h="1" x="18"/>
        <item h="1" x="17"/>
        <item h="1" x="19"/>
        <item h="1" x="57"/>
        <item h="1" x="58"/>
        <item h="1" x="11"/>
        <item h="1" x="56"/>
        <item h="1" x="30"/>
        <item h="1" x="20"/>
        <item h="1" x="41"/>
        <item h="1" x="35"/>
        <item h="1" x="36"/>
        <item h="1" x="44"/>
        <item h="1" x="40"/>
        <item h="1" x="4"/>
        <item h="1" x="47"/>
        <item h="1" x="6"/>
        <item h="1" x="50"/>
        <item h="1" x="2"/>
        <item h="1" x="15"/>
        <item h="1" x="29"/>
        <item h="1" x="16"/>
        <item h="1" x="63"/>
        <item h="1" x="32"/>
        <item h="1" x="22"/>
        <item h="1" x="33"/>
        <item h="1" x="34"/>
        <item h="1" x="45"/>
        <item h="1" x="62"/>
        <item h="1" x="3"/>
        <item h="1" x="1"/>
        <item h="1" x="5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8"/>
        <item h="1" x="9"/>
        <item x="12"/>
        <item h="1" x="61"/>
        <item h="1" x="14"/>
        <item h="1" x="60"/>
        <item h="1" x="13"/>
        <item h="1" x="52"/>
        <item h="1" x="51"/>
        <item h="1" x="67"/>
        <item h="1" x="65"/>
        <item h="1" x="66"/>
        <item t="default"/>
      </items>
    </pivotField>
    <pivotField axis="axisRow" showAll="0">
      <items count="51">
        <item x="46"/>
        <item x="47"/>
        <item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t="default"/>
      </items>
    </pivotField>
    <pivotField showAll="0"/>
    <pivotField showAll="0"/>
    <pivotField dataField="1" showAll="0"/>
  </pivotFields>
  <rowFields count="1">
    <field x="3"/>
  </rowFields>
  <rowItems count="43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0"/>
  </colFields>
  <colItems count="2">
    <i>
      <x/>
    </i>
    <i t="grand">
      <x/>
    </i>
  </colItems>
  <pageFields count="2">
    <pageField fld="1" hier="-1"/>
    <pageField fld="2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49" firstHeaderRow="1" firstDataRow="2" firstDataCol="1" rowPageCount="2" colPageCount="1"/>
  <pivotFields count="7">
    <pivotField axis="axisCol" showAll="0">
      <items count="3">
        <item x="0"/>
        <item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69">
        <item h="1" x="21"/>
        <item h="1" x="31"/>
        <item n="rgdp" h="1" x="23"/>
        <item n="pinc" h="1" x="0"/>
        <item n="xp" h="1" x="24"/>
        <item n="tcons" h="1" x="55"/>
        <item h="1" x="7"/>
        <item h="1" x="10"/>
        <item h="1" x="18"/>
        <item x="17"/>
        <item h="1" x="19"/>
        <item h="1" x="57"/>
        <item h="1" x="58"/>
        <item h="1" x="11"/>
        <item h="1" x="56"/>
        <item h="1" x="30"/>
        <item h="1" x="20"/>
        <item h="1" x="41"/>
        <item h="1" x="35"/>
        <item h="1" x="36"/>
        <item h="1" x="44"/>
        <item h="1" x="40"/>
        <item h="1" x="4"/>
        <item h="1" x="47"/>
        <item h="1" x="6"/>
        <item h="1" x="50"/>
        <item h="1" x="2"/>
        <item h="1" x="15"/>
        <item h="1" x="29"/>
        <item h="1" x="16"/>
        <item h="1" x="63"/>
        <item h="1" x="32"/>
        <item h="1" x="22"/>
        <item h="1" x="33"/>
        <item h="1" x="34"/>
        <item h="1" x="45"/>
        <item h="1" x="62"/>
        <item h="1" x="3"/>
        <item h="1" x="1"/>
        <item h="1" x="5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8"/>
        <item h="1" x="9"/>
        <item h="1" x="12"/>
        <item h="1" x="61"/>
        <item h="1" x="14"/>
        <item h="1" x="60"/>
        <item h="1" x="13"/>
        <item h="1" x="52"/>
        <item h="1" x="51"/>
        <item h="1" x="67"/>
        <item h="1" x="65"/>
        <item h="1" x="66"/>
        <item t="default"/>
      </items>
    </pivotField>
    <pivotField axis="axisRow" showAll="0">
      <items count="51">
        <item x="46"/>
        <item x="47"/>
        <item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t="default"/>
      </items>
    </pivotField>
    <pivotField showAll="0"/>
    <pivotField showAll="0"/>
    <pivotField dataField="1" showAll="0"/>
  </pivotFields>
  <rowFields count="1">
    <field x="3"/>
  </rowFields>
  <rowItems count="43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0"/>
  </colFields>
  <colItems count="2">
    <i>
      <x/>
    </i>
    <i t="grand">
      <x/>
    </i>
  </colItems>
  <pageFields count="2">
    <pageField fld="1" hier="-1"/>
    <pageField fld="2" hier="-1"/>
  </pageFields>
  <dataFields count="1">
    <dataField name="Min of value" fld="6" subtotal="min" showDataAs="difference" baseField="0" baseItem="0" numFmtId="168"/>
  </dataFields>
  <formats count="2"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0" count="1" selected="0">
            <x v="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29" firstHeaderRow="1" firstDataRow="2" firstDataCol="1" rowPageCount="2" colPageCount="1"/>
  <pivotFields count="7">
    <pivotField axis="axisCol" showAll="0">
      <items count="3">
        <item x="0"/>
        <item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69">
        <item h="1" x="21"/>
        <item h="1" x="31"/>
        <item n="rgdp" h="1" x="23"/>
        <item n="pinc" h="1" x="0"/>
        <item n="xp" h="1" x="24"/>
        <item n="tcons" h="1" x="55"/>
        <item h="1" x="7"/>
        <item h="1" x="10"/>
        <item x="18"/>
        <item h="1" x="17"/>
        <item h="1" x="19"/>
        <item h="1" x="57"/>
        <item h="1" x="58"/>
        <item h="1" x="11"/>
        <item h="1" x="56"/>
        <item h="1" x="30"/>
        <item h="1" x="20"/>
        <item h="1" x="41"/>
        <item h="1" x="35"/>
        <item h="1" x="36"/>
        <item h="1" x="44"/>
        <item h="1" x="40"/>
        <item h="1" x="4"/>
        <item h="1" x="47"/>
        <item h="1" x="6"/>
        <item h="1" x="50"/>
        <item h="1" x="2"/>
        <item h="1" x="15"/>
        <item h="1" x="29"/>
        <item h="1" x="16"/>
        <item h="1" x="63"/>
        <item h="1" x="32"/>
        <item h="1" x="22"/>
        <item h="1" x="33"/>
        <item h="1" x="34"/>
        <item h="1" x="45"/>
        <item h="1" x="62"/>
        <item h="1" x="3"/>
        <item h="1" x="1"/>
        <item h="1" x="5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8"/>
        <item h="1" x="9"/>
        <item h="1" x="12"/>
        <item h="1" x="61"/>
        <item h="1" x="14"/>
        <item h="1" x="60"/>
        <item h="1" x="13"/>
        <item h="1" x="52"/>
        <item h="1" x="51"/>
        <item h="1" x="67"/>
        <item h="1" x="65"/>
        <item h="1" x="66"/>
        <item t="default"/>
      </items>
    </pivotField>
    <pivotField axis="axisRow" showAll="0">
      <items count="51">
        <item x="46"/>
        <item x="47"/>
        <item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t="default"/>
      </items>
    </pivotField>
    <pivotField axis="axisRow" showAll="0">
      <items count="60">
        <item x="1"/>
        <item x="48"/>
        <item x="50"/>
        <item x="46"/>
        <item x="47"/>
        <item x="51"/>
        <item x="53"/>
        <item x="54"/>
        <item x="55"/>
        <item x="52"/>
        <item x="58"/>
        <item x="49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56"/>
        <item x="57"/>
        <item t="default"/>
      </items>
    </pivotField>
    <pivotField showAll="0"/>
    <pivotField dataField="1" showAll="0"/>
  </pivotFields>
  <rowFields count="2">
    <field x="3"/>
    <field x="4"/>
  </rowFields>
  <rowItems count="23">
    <i>
      <x v="4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>
      <x v="4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t="grand">
      <x/>
    </i>
  </rowItems>
  <colFields count="1">
    <field x="0"/>
  </colFields>
  <colItems count="2">
    <i>
      <x/>
    </i>
    <i t="grand">
      <x/>
    </i>
  </colItems>
  <pageFields count="2">
    <pageField fld="1" hier="-1"/>
    <pageField fld="2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9" firstHeaderRow="1" firstDataRow="2" firstDataCol="1" rowPageCount="2" colPageCount="1"/>
  <pivotFields count="7">
    <pivotField axis="axisCol" showAll="0">
      <items count="3">
        <item x="0"/>
        <item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69">
        <item h="1" x="21"/>
        <item h="1" x="31"/>
        <item n="rgdp" h="1" x="23"/>
        <item n="pinc" h="1" x="0"/>
        <item n="xp" h="1" x="24"/>
        <item n="tcons" h="1" x="55"/>
        <item h="1" x="7"/>
        <item h="1" x="10"/>
        <item h="1" x="18"/>
        <item h="1" x="17"/>
        <item h="1" x="19"/>
        <item h="1" x="57"/>
        <item h="1" x="58"/>
        <item h="1" x="11"/>
        <item h="1" x="56"/>
        <item h="1" x="30"/>
        <item h="1" x="20"/>
        <item h="1" x="41"/>
        <item h="1" x="35"/>
        <item h="1" x="36"/>
        <item h="1" x="44"/>
        <item h="1" x="40"/>
        <item h="1" x="4"/>
        <item h="1" x="47"/>
        <item h="1" x="6"/>
        <item h="1" x="50"/>
        <item h="1" x="2"/>
        <item h="1" x="15"/>
        <item h="1" x="29"/>
        <item h="1" x="16"/>
        <item h="1" x="63"/>
        <item h="1" x="32"/>
        <item h="1" x="22"/>
        <item h="1" x="33"/>
        <item h="1" x="34"/>
        <item h="1" x="45"/>
        <item h="1" x="62"/>
        <item h="1" x="3"/>
        <item h="1" x="1"/>
        <item h="1" x="5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8"/>
        <item x="9"/>
        <item h="1" x="12"/>
        <item h="1" x="61"/>
        <item h="1" x="14"/>
        <item h="1" x="60"/>
        <item h="1" x="13"/>
        <item h="1" x="52"/>
        <item h="1" x="51"/>
        <item h="1" x="67"/>
        <item h="1" x="65"/>
        <item h="1" x="66"/>
        <item t="default"/>
      </items>
    </pivotField>
    <pivotField axis="axisRow" showAll="0">
      <items count="51">
        <item x="46"/>
        <item x="47"/>
        <item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t="default"/>
      </items>
    </pivotField>
    <pivotField showAll="0"/>
    <pivotField showAll="0"/>
    <pivotField dataField="1" showAll="0"/>
  </pivotFields>
  <rowFields count="1">
    <field x="3"/>
  </rowFields>
  <rowItems count="3">
    <i>
      <x v="45"/>
    </i>
    <i>
      <x v="46"/>
    </i>
    <i t="grand">
      <x/>
    </i>
  </rowItems>
  <colFields count="1">
    <field x="0"/>
  </colFields>
  <colItems count="2">
    <i>
      <x/>
    </i>
    <i t="grand">
      <x/>
    </i>
  </colItems>
  <pageFields count="2">
    <pageField fld="1" hier="-1"/>
    <pageField fld="2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9" firstHeaderRow="1" firstDataRow="2" firstDataCol="1" rowPageCount="2" colPageCount="1"/>
  <pivotFields count="7">
    <pivotField axis="axisCol" showAll="0">
      <items count="3">
        <item x="0"/>
        <item x="1"/>
        <item t="default"/>
      </items>
    </pivotField>
    <pivotField axis="axisPage" multipleItemSelectionAllowed="1" showAl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t="default"/>
      </items>
    </pivotField>
    <pivotField axis="axisPage" multipleItemSelectionAllowed="1" showAll="0">
      <items count="69">
        <item h="1" x="21"/>
        <item h="1" x="31"/>
        <item n="rgdp" h="1" x="23"/>
        <item n="pinc" h="1" x="0"/>
        <item n="xp" h="1" x="24"/>
        <item n="tcons" h="1" x="55"/>
        <item h="1" x="7"/>
        <item h="1" x="10"/>
        <item h="1" x="18"/>
        <item h="1" x="17"/>
        <item h="1" x="19"/>
        <item h="1" x="57"/>
        <item h="1" x="58"/>
        <item h="1" x="11"/>
        <item h="1" x="56"/>
        <item h="1" x="30"/>
        <item h="1" x="20"/>
        <item h="1" x="41"/>
        <item h="1" x="35"/>
        <item h="1" x="36"/>
        <item h="1" x="44"/>
        <item h="1" x="40"/>
        <item h="1" x="4"/>
        <item h="1" x="47"/>
        <item h="1" x="6"/>
        <item h="1" x="50"/>
        <item h="1" x="2"/>
        <item h="1" x="15"/>
        <item h="1" x="29"/>
        <item h="1" x="16"/>
        <item h="1" x="63"/>
        <item h="1" x="32"/>
        <item h="1" x="22"/>
        <item h="1" x="33"/>
        <item h="1" x="34"/>
        <item h="1" x="45"/>
        <item h="1" x="62"/>
        <item h="1" x="3"/>
        <item h="1" x="1"/>
        <item h="1" x="5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8"/>
        <item x="9"/>
        <item h="1" x="12"/>
        <item h="1" x="61"/>
        <item h="1" x="14"/>
        <item h="1" x="60"/>
        <item h="1" x="13"/>
        <item h="1" x="52"/>
        <item h="1" x="51"/>
        <item h="1" x="67"/>
        <item h="1" x="65"/>
        <item h="1" x="66"/>
        <item t="default"/>
      </items>
    </pivotField>
    <pivotField axis="axisRow" showAll="0">
      <items count="51">
        <item x="46"/>
        <item x="47"/>
        <item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t="default"/>
      </items>
    </pivotField>
    <pivotField showAll="0"/>
    <pivotField showAll="0"/>
    <pivotField dataField="1" showAll="0"/>
  </pivotFields>
  <rowFields count="1">
    <field x="3"/>
  </rowFields>
  <rowItems count="3">
    <i>
      <x v="45"/>
    </i>
    <i>
      <x v="46"/>
    </i>
    <i t="grand">
      <x/>
    </i>
  </rowItems>
  <colFields count="1">
    <field x="0"/>
  </colFields>
  <colItems count="2">
    <i>
      <x/>
    </i>
    <i t="grand">
      <x/>
    </i>
  </colItems>
  <pageFields count="2">
    <pageField fld="1" hier="-1"/>
    <pageField fld="2" hier="-1"/>
  </pageFields>
  <dataFields count="1">
    <dataField name="Sum of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DengXian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DengXian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X74"/>
  <sheetViews>
    <sheetView tabSelected="1" workbookViewId="0">
      <selection activeCell="B19" sqref="B19"/>
    </sheetView>
  </sheetViews>
  <sheetFormatPr baseColWidth="10" defaultRowHeight="16" x14ac:dyDescent="0.2"/>
  <cols>
    <col min="1" max="1" width="12.83203125" bestFit="1" customWidth="1"/>
    <col min="2" max="2" width="15.5" bestFit="1" customWidth="1"/>
    <col min="3" max="3" width="10.6640625" customWidth="1"/>
    <col min="4" max="4" width="7.33203125" bestFit="1" customWidth="1"/>
    <col min="5" max="5" width="10.6640625" bestFit="1" customWidth="1"/>
    <col min="6" max="11" width="7.33203125" bestFit="1" customWidth="1"/>
    <col min="12" max="12" width="10.6640625" bestFit="1" customWidth="1"/>
    <col min="13" max="14" width="7.6640625" bestFit="1" customWidth="1"/>
    <col min="15" max="15" width="25.83203125" customWidth="1"/>
    <col min="16" max="16" width="7.6640625" customWidth="1"/>
    <col min="17" max="20" width="9.6640625" bestFit="1" customWidth="1"/>
    <col min="21" max="21" width="11" bestFit="1" customWidth="1"/>
    <col min="22" max="24" width="11.1640625" bestFit="1" customWidth="1"/>
  </cols>
  <sheetData>
    <row r="1" spans="1:24" x14ac:dyDescent="0.2">
      <c r="O1" t="s">
        <v>504</v>
      </c>
      <c r="P1" s="20" t="str">
        <f t="shared" ref="P1:X1" si="0">C6</f>
        <v>Grand Total</v>
      </c>
      <c r="Q1" s="20">
        <f t="shared" si="0"/>
        <v>0</v>
      </c>
      <c r="R1" s="20">
        <f t="shared" si="0"/>
        <v>0</v>
      </c>
      <c r="S1" s="20">
        <f t="shared" si="0"/>
        <v>0</v>
      </c>
      <c r="T1" s="20">
        <f t="shared" si="0"/>
        <v>0</v>
      </c>
      <c r="U1" s="20">
        <f t="shared" si="0"/>
        <v>0</v>
      </c>
      <c r="V1" s="20">
        <f t="shared" si="0"/>
        <v>0</v>
      </c>
      <c r="W1" s="20">
        <f t="shared" si="0"/>
        <v>0</v>
      </c>
      <c r="X1" s="20">
        <f t="shared" si="0"/>
        <v>0</v>
      </c>
    </row>
    <row r="2" spans="1:24" x14ac:dyDescent="0.2">
      <c r="O2" t="s">
        <v>505</v>
      </c>
      <c r="P2" s="10">
        <f>10000*C8</f>
        <v>0</v>
      </c>
      <c r="Q2" s="10">
        <f t="shared" ref="Q2:X2" si="1">10000*D8</f>
        <v>0</v>
      </c>
      <c r="R2" s="10">
        <f t="shared" si="1"/>
        <v>0</v>
      </c>
      <c r="S2" s="10">
        <f t="shared" si="1"/>
        <v>0</v>
      </c>
      <c r="T2" s="10">
        <f t="shared" si="1"/>
        <v>0</v>
      </c>
      <c r="U2" s="10">
        <f t="shared" si="1"/>
        <v>0</v>
      </c>
      <c r="V2" s="10">
        <f t="shared" si="1"/>
        <v>0</v>
      </c>
      <c r="W2" s="10">
        <f t="shared" si="1"/>
        <v>0</v>
      </c>
      <c r="X2" s="10">
        <f t="shared" si="1"/>
        <v>0</v>
      </c>
    </row>
    <row r="3" spans="1:24" x14ac:dyDescent="0.2">
      <c r="A3" s="1" t="s">
        <v>112</v>
      </c>
      <c r="B3" s="2">
        <v>2030</v>
      </c>
      <c r="O3" t="s">
        <v>127</v>
      </c>
      <c r="P3" s="22">
        <f>10000*C13</f>
        <v>0</v>
      </c>
      <c r="Q3" s="22">
        <f t="shared" ref="Q3:X3" si="2">10000*D13</f>
        <v>0</v>
      </c>
      <c r="R3" s="22">
        <f t="shared" si="2"/>
        <v>0</v>
      </c>
      <c r="S3" s="22">
        <f t="shared" si="2"/>
        <v>0</v>
      </c>
      <c r="T3" s="22">
        <f t="shared" si="2"/>
        <v>0</v>
      </c>
      <c r="U3" s="22">
        <f t="shared" si="2"/>
        <v>0</v>
      </c>
      <c r="V3" s="22">
        <f t="shared" si="2"/>
        <v>0</v>
      </c>
      <c r="W3" s="22">
        <f t="shared" si="2"/>
        <v>0</v>
      </c>
      <c r="X3" s="22">
        <f t="shared" si="2"/>
        <v>0</v>
      </c>
    </row>
    <row r="4" spans="1:24" x14ac:dyDescent="0.2">
      <c r="O4" t="s">
        <v>503</v>
      </c>
      <c r="P4" s="10">
        <f>10000*C11</f>
        <v>0</v>
      </c>
      <c r="Q4" s="10">
        <f t="shared" ref="Q4:X4" si="3">10000*D11</f>
        <v>0</v>
      </c>
      <c r="R4" s="10">
        <f t="shared" si="3"/>
        <v>0</v>
      </c>
      <c r="S4" s="10">
        <f t="shared" si="3"/>
        <v>0</v>
      </c>
      <c r="T4" s="10">
        <f t="shared" si="3"/>
        <v>0</v>
      </c>
      <c r="U4" s="10">
        <f t="shared" si="3"/>
        <v>0</v>
      </c>
      <c r="V4" s="10">
        <f t="shared" si="3"/>
        <v>0</v>
      </c>
      <c r="W4" s="10">
        <f t="shared" si="3"/>
        <v>0</v>
      </c>
      <c r="X4" s="10">
        <f t="shared" si="3"/>
        <v>0</v>
      </c>
    </row>
    <row r="5" spans="1:24" x14ac:dyDescent="0.2">
      <c r="A5" s="1" t="s">
        <v>67</v>
      </c>
      <c r="B5" s="1" t="s">
        <v>64</v>
      </c>
      <c r="O5" t="s">
        <v>507</v>
      </c>
      <c r="P5" s="23">
        <f>10000*C59</f>
        <v>0</v>
      </c>
      <c r="Q5" s="23">
        <f t="shared" ref="Q5:X5" si="4">10000*D59</f>
        <v>0</v>
      </c>
      <c r="R5" s="23">
        <f t="shared" si="4"/>
        <v>0</v>
      </c>
      <c r="S5" s="23">
        <f t="shared" si="4"/>
        <v>0</v>
      </c>
      <c r="T5" s="23">
        <f t="shared" si="4"/>
        <v>0</v>
      </c>
      <c r="U5" s="23">
        <f t="shared" si="4"/>
        <v>0</v>
      </c>
      <c r="V5" s="23">
        <f t="shared" si="4"/>
        <v>0</v>
      </c>
      <c r="W5" s="23">
        <f t="shared" si="4"/>
        <v>0</v>
      </c>
      <c r="X5" s="23">
        <f t="shared" si="4"/>
        <v>0</v>
      </c>
    </row>
    <row r="6" spans="1:24" x14ac:dyDescent="0.2">
      <c r="A6" s="1" t="s">
        <v>66</v>
      </c>
      <c r="B6" t="s">
        <v>113</v>
      </c>
      <c r="C6" t="s">
        <v>65</v>
      </c>
      <c r="P6" s="23"/>
      <c r="Q6" s="23"/>
      <c r="R6" s="23"/>
      <c r="S6" s="23"/>
      <c r="T6" s="23"/>
      <c r="U6" s="23"/>
      <c r="V6" s="23"/>
      <c r="W6" s="23"/>
      <c r="X6" s="23"/>
    </row>
    <row r="7" spans="1:24" x14ac:dyDescent="0.2">
      <c r="A7" s="2" t="s">
        <v>22</v>
      </c>
      <c r="B7" s="3"/>
      <c r="C7" s="3"/>
      <c r="O7" t="s">
        <v>133</v>
      </c>
    </row>
    <row r="8" spans="1:24" x14ac:dyDescent="0.2">
      <c r="A8" s="2" t="s">
        <v>31</v>
      </c>
      <c r="B8" s="3"/>
      <c r="C8" s="3"/>
      <c r="O8" t="s">
        <v>130</v>
      </c>
      <c r="P8" s="14">
        <f>100*C15</f>
        <v>0</v>
      </c>
      <c r="Q8" s="14">
        <f t="shared" ref="Q8:X8" si="5">100*D15</f>
        <v>0</v>
      </c>
      <c r="R8" s="14">
        <f t="shared" si="5"/>
        <v>0</v>
      </c>
      <c r="S8" s="14">
        <f t="shared" si="5"/>
        <v>0</v>
      </c>
      <c r="T8" s="14">
        <f t="shared" si="5"/>
        <v>0</v>
      </c>
      <c r="U8" s="14">
        <f t="shared" si="5"/>
        <v>0</v>
      </c>
      <c r="V8" s="14">
        <f t="shared" si="5"/>
        <v>0</v>
      </c>
      <c r="W8" s="14">
        <f t="shared" si="5"/>
        <v>0</v>
      </c>
      <c r="X8" s="14">
        <f t="shared" si="5"/>
        <v>0</v>
      </c>
    </row>
    <row r="9" spans="1:24" x14ac:dyDescent="0.2">
      <c r="A9" s="2" t="s">
        <v>69</v>
      </c>
      <c r="B9" s="3"/>
      <c r="C9" s="3"/>
      <c r="O9" t="s">
        <v>131</v>
      </c>
      <c r="P9" s="14">
        <f>100*C16</f>
        <v>0</v>
      </c>
      <c r="Q9" s="14">
        <f t="shared" ref="Q9:X10" si="6">100*D16</f>
        <v>0</v>
      </c>
      <c r="R9" s="14">
        <f t="shared" si="6"/>
        <v>0</v>
      </c>
      <c r="S9" s="14">
        <f t="shared" si="6"/>
        <v>0</v>
      </c>
      <c r="T9" s="14">
        <f t="shared" si="6"/>
        <v>0</v>
      </c>
      <c r="U9" s="14">
        <f t="shared" si="6"/>
        <v>0</v>
      </c>
      <c r="V9" s="14">
        <f t="shared" si="6"/>
        <v>0</v>
      </c>
      <c r="W9" s="14">
        <f t="shared" si="6"/>
        <v>0</v>
      </c>
      <c r="X9" s="14">
        <f t="shared" si="6"/>
        <v>0</v>
      </c>
    </row>
    <row r="10" spans="1:24" x14ac:dyDescent="0.2">
      <c r="A10" s="2" t="s">
        <v>68</v>
      </c>
      <c r="B10" s="3"/>
      <c r="C10" s="3"/>
      <c r="O10" t="s">
        <v>132</v>
      </c>
      <c r="P10" s="14">
        <f>100*C17</f>
        <v>0</v>
      </c>
      <c r="Q10" s="14">
        <f t="shared" si="6"/>
        <v>0</v>
      </c>
      <c r="R10" s="14">
        <f t="shared" si="6"/>
        <v>0</v>
      </c>
      <c r="S10" s="14">
        <f t="shared" si="6"/>
        <v>0</v>
      </c>
      <c r="T10" s="14">
        <f t="shared" si="6"/>
        <v>0</v>
      </c>
      <c r="U10" s="14">
        <f t="shared" si="6"/>
        <v>0</v>
      </c>
      <c r="V10" s="14">
        <f t="shared" si="6"/>
        <v>0</v>
      </c>
      <c r="W10" s="14">
        <f t="shared" si="6"/>
        <v>0</v>
      </c>
      <c r="X10" s="14">
        <f t="shared" si="6"/>
        <v>0</v>
      </c>
    </row>
    <row r="11" spans="1:24" x14ac:dyDescent="0.2">
      <c r="A11" s="2" t="s">
        <v>0</v>
      </c>
      <c r="B11" s="3"/>
      <c r="C11" s="3"/>
    </row>
    <row r="12" spans="1:24" x14ac:dyDescent="0.2">
      <c r="A12" s="2" t="s">
        <v>24</v>
      </c>
      <c r="B12" s="3"/>
      <c r="C12" s="3"/>
    </row>
    <row r="13" spans="1:24" x14ac:dyDescent="0.2">
      <c r="A13" s="2" t="s">
        <v>8</v>
      </c>
      <c r="B13" s="3"/>
      <c r="C13" s="3"/>
    </row>
    <row r="14" spans="1:24" x14ac:dyDescent="0.2">
      <c r="A14" s="2" t="s">
        <v>11</v>
      </c>
      <c r="B14" s="3"/>
      <c r="C14" s="3"/>
    </row>
    <row r="15" spans="1:24" x14ac:dyDescent="0.2">
      <c r="A15" s="2" t="s">
        <v>20</v>
      </c>
      <c r="B15" s="3"/>
      <c r="C15" s="3"/>
    </row>
    <row r="16" spans="1:24" x14ac:dyDescent="0.2">
      <c r="A16" s="2" t="s">
        <v>19</v>
      </c>
      <c r="B16" s="3"/>
      <c r="C16" s="3"/>
    </row>
    <row r="17" spans="1:3" x14ac:dyDescent="0.2">
      <c r="A17" s="2" t="s">
        <v>18</v>
      </c>
      <c r="B17" s="3"/>
      <c r="C17" s="3"/>
    </row>
    <row r="18" spans="1:3" x14ac:dyDescent="0.2">
      <c r="A18" s="2" t="s">
        <v>56</v>
      </c>
      <c r="B18" s="3"/>
      <c r="C18" s="3"/>
    </row>
    <row r="19" spans="1:3" x14ac:dyDescent="0.2">
      <c r="A19" s="2" t="s">
        <v>57</v>
      </c>
      <c r="B19" s="3"/>
      <c r="C19" s="3"/>
    </row>
    <row r="20" spans="1:3" x14ac:dyDescent="0.2">
      <c r="A20" s="2" t="s">
        <v>12</v>
      </c>
      <c r="B20" s="3"/>
      <c r="C20" s="3"/>
    </row>
    <row r="21" spans="1:3" x14ac:dyDescent="0.2">
      <c r="A21" s="2" t="s">
        <v>55</v>
      </c>
      <c r="B21" s="3"/>
      <c r="C21" s="3"/>
    </row>
    <row r="22" spans="1:3" x14ac:dyDescent="0.2">
      <c r="A22" s="2" t="s">
        <v>30</v>
      </c>
      <c r="B22" s="3"/>
      <c r="C22" s="3"/>
    </row>
    <row r="23" spans="1:3" x14ac:dyDescent="0.2">
      <c r="A23" s="2" t="s">
        <v>21</v>
      </c>
      <c r="B23" s="3"/>
      <c r="C23" s="3"/>
    </row>
    <row r="24" spans="1:3" x14ac:dyDescent="0.2">
      <c r="A24" s="2" t="s">
        <v>41</v>
      </c>
      <c r="B24" s="3"/>
      <c r="C24" s="3"/>
    </row>
    <row r="25" spans="1:3" x14ac:dyDescent="0.2">
      <c r="A25" s="2" t="s">
        <v>35</v>
      </c>
      <c r="B25" s="3"/>
      <c r="C25" s="3"/>
    </row>
    <row r="26" spans="1:3" x14ac:dyDescent="0.2">
      <c r="A26" s="2" t="s">
        <v>36</v>
      </c>
      <c r="B26" s="3"/>
      <c r="C26" s="3"/>
    </row>
    <row r="27" spans="1:3" x14ac:dyDescent="0.2">
      <c r="A27" s="2" t="s">
        <v>44</v>
      </c>
      <c r="B27" s="3"/>
      <c r="C27" s="3"/>
    </row>
    <row r="28" spans="1:3" x14ac:dyDescent="0.2">
      <c r="A28" s="2" t="s">
        <v>40</v>
      </c>
      <c r="B28" s="3"/>
      <c r="C28" s="3"/>
    </row>
    <row r="29" spans="1:3" x14ac:dyDescent="0.2">
      <c r="A29" s="2" t="s">
        <v>5</v>
      </c>
      <c r="B29" s="3"/>
      <c r="C29" s="3"/>
    </row>
    <row r="30" spans="1:3" x14ac:dyDescent="0.2">
      <c r="A30" s="2" t="s">
        <v>47</v>
      </c>
      <c r="B30" s="3"/>
      <c r="C30" s="3"/>
    </row>
    <row r="31" spans="1:3" x14ac:dyDescent="0.2">
      <c r="A31" s="2" t="s">
        <v>7</v>
      </c>
      <c r="B31" s="3"/>
      <c r="C31" s="3"/>
    </row>
    <row r="32" spans="1:3" x14ac:dyDescent="0.2">
      <c r="A32" s="2" t="s">
        <v>50</v>
      </c>
      <c r="B32" s="3"/>
      <c r="C32" s="3"/>
    </row>
    <row r="33" spans="1:3" x14ac:dyDescent="0.2">
      <c r="A33" s="2" t="s">
        <v>3</v>
      </c>
      <c r="B33" s="3"/>
      <c r="C33" s="3"/>
    </row>
    <row r="34" spans="1:3" x14ac:dyDescent="0.2">
      <c r="A34" s="2" t="s">
        <v>16</v>
      </c>
      <c r="B34" s="3"/>
      <c r="C34" s="3"/>
    </row>
    <row r="35" spans="1:3" x14ac:dyDescent="0.2">
      <c r="A35" s="2" t="s">
        <v>29</v>
      </c>
      <c r="B35" s="3"/>
      <c r="C35" s="3"/>
    </row>
    <row r="36" spans="1:3" x14ac:dyDescent="0.2">
      <c r="A36" s="2" t="s">
        <v>17</v>
      </c>
      <c r="B36" s="3"/>
      <c r="C36" s="3"/>
    </row>
    <row r="37" spans="1:3" x14ac:dyDescent="0.2">
      <c r="A37" s="2" t="s">
        <v>62</v>
      </c>
      <c r="B37" s="3"/>
      <c r="C37" s="3"/>
    </row>
    <row r="38" spans="1:3" x14ac:dyDescent="0.2">
      <c r="A38" s="2" t="s">
        <v>32</v>
      </c>
      <c r="B38" s="3"/>
      <c r="C38" s="3"/>
    </row>
    <row r="39" spans="1:3" x14ac:dyDescent="0.2">
      <c r="A39" s="2" t="s">
        <v>23</v>
      </c>
      <c r="B39" s="3"/>
      <c r="C39" s="3"/>
    </row>
    <row r="40" spans="1:3" x14ac:dyDescent="0.2">
      <c r="A40" s="2" t="s">
        <v>33</v>
      </c>
      <c r="B40" s="3"/>
      <c r="C40" s="3"/>
    </row>
    <row r="41" spans="1:3" x14ac:dyDescent="0.2">
      <c r="A41" s="2" t="s">
        <v>34</v>
      </c>
      <c r="B41" s="3"/>
      <c r="C41" s="3"/>
    </row>
    <row r="42" spans="1:3" x14ac:dyDescent="0.2">
      <c r="A42" s="2" t="s">
        <v>45</v>
      </c>
      <c r="B42" s="3"/>
      <c r="C42" s="3"/>
    </row>
    <row r="43" spans="1:3" x14ac:dyDescent="0.2">
      <c r="A43" s="2" t="s">
        <v>61</v>
      </c>
      <c r="B43" s="3"/>
      <c r="C43" s="3"/>
    </row>
    <row r="44" spans="1:3" x14ac:dyDescent="0.2">
      <c r="A44" s="2" t="s">
        <v>4</v>
      </c>
      <c r="B44" s="3"/>
      <c r="C44" s="3"/>
    </row>
    <row r="45" spans="1:3" x14ac:dyDescent="0.2">
      <c r="A45" s="2" t="s">
        <v>2</v>
      </c>
      <c r="B45" s="3"/>
      <c r="C45" s="3"/>
    </row>
    <row r="46" spans="1:3" x14ac:dyDescent="0.2">
      <c r="A46" s="2" t="s">
        <v>6</v>
      </c>
      <c r="B46" s="3"/>
      <c r="C46" s="3"/>
    </row>
    <row r="47" spans="1:3" x14ac:dyDescent="0.2">
      <c r="A47" s="2" t="s">
        <v>43</v>
      </c>
      <c r="B47" s="3"/>
      <c r="C47" s="3"/>
    </row>
    <row r="48" spans="1:3" x14ac:dyDescent="0.2">
      <c r="A48" s="2" t="s">
        <v>38</v>
      </c>
      <c r="B48" s="3"/>
      <c r="C48" s="3"/>
    </row>
    <row r="49" spans="1:3" x14ac:dyDescent="0.2">
      <c r="A49" s="2" t="s">
        <v>49</v>
      </c>
      <c r="B49" s="3"/>
      <c r="C49" s="3"/>
    </row>
    <row r="50" spans="1:3" x14ac:dyDescent="0.2">
      <c r="A50" s="2" t="s">
        <v>58</v>
      </c>
      <c r="B50" s="3"/>
      <c r="C50" s="3"/>
    </row>
    <row r="51" spans="1:3" x14ac:dyDescent="0.2">
      <c r="A51" s="2" t="s">
        <v>42</v>
      </c>
      <c r="B51" s="3"/>
      <c r="C51" s="3"/>
    </row>
    <row r="52" spans="1:3" x14ac:dyDescent="0.2">
      <c r="A52" s="2" t="s">
        <v>53</v>
      </c>
      <c r="B52" s="3"/>
      <c r="C52" s="3"/>
    </row>
    <row r="53" spans="1:3" x14ac:dyDescent="0.2">
      <c r="A53" s="2" t="s">
        <v>37</v>
      </c>
      <c r="B53" s="3"/>
      <c r="C53" s="3"/>
    </row>
    <row r="54" spans="1:3" x14ac:dyDescent="0.2">
      <c r="A54" s="2" t="s">
        <v>46</v>
      </c>
      <c r="B54" s="3"/>
      <c r="C54" s="3"/>
    </row>
    <row r="55" spans="1:3" x14ac:dyDescent="0.2">
      <c r="A55" s="2" t="s">
        <v>54</v>
      </c>
      <c r="B55" s="3"/>
      <c r="C55" s="3"/>
    </row>
    <row r="56" spans="1:3" x14ac:dyDescent="0.2">
      <c r="A56" s="2" t="s">
        <v>27</v>
      </c>
      <c r="B56" s="3"/>
      <c r="C56" s="3"/>
    </row>
    <row r="57" spans="1:3" x14ac:dyDescent="0.2">
      <c r="A57" s="2" t="s">
        <v>25</v>
      </c>
      <c r="B57" s="3"/>
      <c r="C57" s="3"/>
    </row>
    <row r="58" spans="1:3" x14ac:dyDescent="0.2">
      <c r="A58" s="2" t="s">
        <v>28</v>
      </c>
      <c r="B58" s="3"/>
      <c r="C58" s="3"/>
    </row>
    <row r="59" spans="1:3" x14ac:dyDescent="0.2">
      <c r="A59" s="2" t="s">
        <v>26</v>
      </c>
      <c r="B59" s="3"/>
      <c r="C59" s="3"/>
    </row>
    <row r="60" spans="1:3" x14ac:dyDescent="0.2">
      <c r="A60" s="2" t="s">
        <v>63</v>
      </c>
      <c r="B60" s="3"/>
      <c r="C60" s="3"/>
    </row>
    <row r="61" spans="1:3" x14ac:dyDescent="0.2">
      <c r="A61" s="2" t="s">
        <v>39</v>
      </c>
      <c r="B61" s="3"/>
      <c r="C61" s="3"/>
    </row>
    <row r="62" spans="1:3" x14ac:dyDescent="0.2">
      <c r="A62" s="2" t="s">
        <v>48</v>
      </c>
      <c r="B62" s="3"/>
      <c r="C62" s="3"/>
    </row>
    <row r="63" spans="1:3" x14ac:dyDescent="0.2">
      <c r="A63" s="2" t="s">
        <v>9</v>
      </c>
      <c r="B63" s="3"/>
      <c r="C63" s="3"/>
    </row>
    <row r="64" spans="1:3" x14ac:dyDescent="0.2">
      <c r="A64" s="2" t="s">
        <v>10</v>
      </c>
      <c r="B64" s="3"/>
      <c r="C64" s="3"/>
    </row>
    <row r="65" spans="1:3" x14ac:dyDescent="0.2">
      <c r="A65" s="2" t="s">
        <v>13</v>
      </c>
      <c r="B65" s="3"/>
      <c r="C65" s="3"/>
    </row>
    <row r="66" spans="1:3" x14ac:dyDescent="0.2">
      <c r="A66" s="2" t="s">
        <v>60</v>
      </c>
      <c r="B66" s="3"/>
      <c r="C66" s="3"/>
    </row>
    <row r="67" spans="1:3" x14ac:dyDescent="0.2">
      <c r="A67" s="2" t="s">
        <v>15</v>
      </c>
      <c r="B67" s="3"/>
      <c r="C67" s="3"/>
    </row>
    <row r="68" spans="1:3" x14ac:dyDescent="0.2">
      <c r="A68" s="2" t="s">
        <v>59</v>
      </c>
      <c r="B68" s="3"/>
      <c r="C68" s="3"/>
    </row>
    <row r="69" spans="1:3" x14ac:dyDescent="0.2">
      <c r="A69" s="2" t="s">
        <v>14</v>
      </c>
      <c r="B69" s="3"/>
      <c r="C69" s="3"/>
    </row>
    <row r="70" spans="1:3" x14ac:dyDescent="0.2">
      <c r="A70" s="2" t="s">
        <v>52</v>
      </c>
      <c r="B70" s="3"/>
      <c r="C70" s="3"/>
    </row>
    <row r="71" spans="1:3" x14ac:dyDescent="0.2">
      <c r="A71" s="2" t="s">
        <v>51</v>
      </c>
      <c r="B71" s="3"/>
      <c r="C71" s="3"/>
    </row>
    <row r="72" spans="1:3" x14ac:dyDescent="0.2">
      <c r="A72" s="2" t="s">
        <v>114</v>
      </c>
      <c r="B72" s="3"/>
      <c r="C72" s="3"/>
    </row>
    <row r="73" spans="1:3" x14ac:dyDescent="0.2">
      <c r="A73" s="2" t="s">
        <v>115</v>
      </c>
      <c r="B73" s="3"/>
      <c r="C73" s="3"/>
    </row>
    <row r="74" spans="1:3" x14ac:dyDescent="0.2">
      <c r="A74" s="2" t="s">
        <v>65</v>
      </c>
      <c r="B74" s="3"/>
      <c r="C74" s="3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74"/>
  <sheetViews>
    <sheetView zoomScale="105" workbookViewId="0">
      <selection activeCell="C18" sqref="C18:D18"/>
    </sheetView>
  </sheetViews>
  <sheetFormatPr baseColWidth="10" defaultRowHeight="16" x14ac:dyDescent="0.2"/>
  <cols>
    <col min="1" max="1" width="13" bestFit="1" customWidth="1"/>
    <col min="2" max="2" width="15.6640625" customWidth="1"/>
    <col min="3" max="3" width="11" customWidth="1"/>
    <col min="4" max="4" width="6.33203125" customWidth="1"/>
    <col min="5" max="5" width="11" customWidth="1"/>
    <col min="6" max="11" width="6.83203125" customWidth="1"/>
    <col min="12" max="12" width="11" bestFit="1" customWidth="1"/>
    <col min="13" max="14" width="12.6640625" bestFit="1" customWidth="1"/>
    <col min="15" max="15" width="26" customWidth="1"/>
    <col min="16" max="18" width="12.6640625" bestFit="1" customWidth="1"/>
  </cols>
  <sheetData>
    <row r="1" spans="1:24" x14ac:dyDescent="0.2">
      <c r="O1" t="s">
        <v>129</v>
      </c>
      <c r="P1" s="20" t="str">
        <f t="shared" ref="P1:X1" si="0">C6</f>
        <v>Grand Total</v>
      </c>
      <c r="Q1" s="20">
        <f t="shared" si="0"/>
        <v>0</v>
      </c>
      <c r="R1" s="20">
        <f t="shared" si="0"/>
        <v>0</v>
      </c>
      <c r="S1" s="20">
        <f t="shared" si="0"/>
        <v>0</v>
      </c>
      <c r="T1" s="20">
        <f t="shared" si="0"/>
        <v>0</v>
      </c>
      <c r="U1" s="20">
        <f t="shared" si="0"/>
        <v>0</v>
      </c>
      <c r="V1" s="20">
        <f t="shared" si="0"/>
        <v>0</v>
      </c>
      <c r="W1" s="20">
        <f t="shared" si="0"/>
        <v>0</v>
      </c>
      <c r="X1" s="20">
        <f t="shared" si="0"/>
        <v>0</v>
      </c>
    </row>
    <row r="2" spans="1:24" x14ac:dyDescent="0.2">
      <c r="O2" t="s">
        <v>506</v>
      </c>
      <c r="P2" s="15">
        <f t="shared" ref="P2:X2" si="1">1000*C8</f>
        <v>0</v>
      </c>
      <c r="Q2" s="15">
        <f t="shared" si="1"/>
        <v>0</v>
      </c>
      <c r="R2" s="15">
        <f t="shared" si="1"/>
        <v>0</v>
      </c>
      <c r="S2" s="15">
        <f t="shared" si="1"/>
        <v>0</v>
      </c>
      <c r="T2" s="15">
        <f t="shared" si="1"/>
        <v>0</v>
      </c>
      <c r="U2" s="15">
        <f t="shared" si="1"/>
        <v>0</v>
      </c>
      <c r="V2" s="15">
        <f t="shared" si="1"/>
        <v>0</v>
      </c>
      <c r="W2" s="15">
        <f t="shared" si="1"/>
        <v>0</v>
      </c>
      <c r="X2" s="15">
        <f t="shared" si="1"/>
        <v>0</v>
      </c>
    </row>
    <row r="3" spans="1:24" x14ac:dyDescent="0.2">
      <c r="A3" s="1" t="s">
        <v>112</v>
      </c>
      <c r="B3" s="2">
        <v>2030</v>
      </c>
      <c r="O3" t="s">
        <v>127</v>
      </c>
      <c r="P3" s="17">
        <f t="shared" ref="P3:X3" si="2">1000*C13</f>
        <v>0</v>
      </c>
      <c r="Q3" s="17">
        <f t="shared" si="2"/>
        <v>0</v>
      </c>
      <c r="R3" s="17">
        <f t="shared" si="2"/>
        <v>0</v>
      </c>
      <c r="S3" s="17">
        <f t="shared" si="2"/>
        <v>0</v>
      </c>
      <c r="T3" s="17">
        <f t="shared" si="2"/>
        <v>0</v>
      </c>
      <c r="U3" s="17">
        <f t="shared" si="2"/>
        <v>0</v>
      </c>
      <c r="V3" s="17">
        <f t="shared" si="2"/>
        <v>0</v>
      </c>
      <c r="W3" s="17">
        <f t="shared" si="2"/>
        <v>0</v>
      </c>
      <c r="X3" s="17">
        <f t="shared" si="2"/>
        <v>0</v>
      </c>
    </row>
    <row r="4" spans="1:24" x14ac:dyDescent="0.2">
      <c r="O4" t="s">
        <v>128</v>
      </c>
      <c r="P4" s="15" t="e">
        <f>1000000*P2/P3</f>
        <v>#DIV/0!</v>
      </c>
      <c r="Q4" s="15" t="e">
        <f t="shared" ref="Q4:X4" si="3">1000000*Q2/Q3</f>
        <v>#DIV/0!</v>
      </c>
      <c r="R4" s="15" t="e">
        <f t="shared" si="3"/>
        <v>#DIV/0!</v>
      </c>
      <c r="S4" s="15" t="e">
        <f t="shared" si="3"/>
        <v>#DIV/0!</v>
      </c>
      <c r="T4" s="15" t="e">
        <f t="shared" si="3"/>
        <v>#DIV/0!</v>
      </c>
      <c r="U4" s="15" t="e">
        <f t="shared" si="3"/>
        <v>#DIV/0!</v>
      </c>
      <c r="V4" s="15" t="e">
        <f t="shared" si="3"/>
        <v>#DIV/0!</v>
      </c>
      <c r="W4" s="15" t="e">
        <f t="shared" si="3"/>
        <v>#DIV/0!</v>
      </c>
      <c r="X4" s="15" t="e">
        <f t="shared" si="3"/>
        <v>#DIV/0!</v>
      </c>
    </row>
    <row r="5" spans="1:24" x14ac:dyDescent="0.2">
      <c r="A5" s="1" t="s">
        <v>67</v>
      </c>
      <c r="B5" s="1" t="s">
        <v>64</v>
      </c>
    </row>
    <row r="6" spans="1:24" x14ac:dyDescent="0.2">
      <c r="A6" s="1" t="s">
        <v>66</v>
      </c>
      <c r="B6" t="s">
        <v>113</v>
      </c>
      <c r="C6" t="s">
        <v>65</v>
      </c>
      <c r="O6" t="s">
        <v>133</v>
      </c>
    </row>
    <row r="7" spans="1:24" x14ac:dyDescent="0.2">
      <c r="A7" s="2" t="s">
        <v>22</v>
      </c>
      <c r="B7" s="4"/>
      <c r="C7" s="4"/>
      <c r="O7" t="s">
        <v>130</v>
      </c>
      <c r="P7" s="14">
        <f>1000*C15</f>
        <v>0</v>
      </c>
      <c r="Q7" s="14">
        <f t="shared" ref="Q7:X7" si="4">1000*D15</f>
        <v>0</v>
      </c>
      <c r="R7" s="14">
        <f t="shared" si="4"/>
        <v>0</v>
      </c>
      <c r="S7" s="14">
        <f t="shared" si="4"/>
        <v>0</v>
      </c>
      <c r="T7" s="14">
        <f t="shared" si="4"/>
        <v>0</v>
      </c>
      <c r="U7" s="14">
        <f t="shared" si="4"/>
        <v>0</v>
      </c>
      <c r="V7" s="14">
        <f t="shared" si="4"/>
        <v>0</v>
      </c>
      <c r="W7" s="14">
        <f t="shared" si="4"/>
        <v>0</v>
      </c>
      <c r="X7" s="14">
        <f t="shared" si="4"/>
        <v>0</v>
      </c>
    </row>
    <row r="8" spans="1:24" x14ac:dyDescent="0.2">
      <c r="A8" s="2" t="s">
        <v>31</v>
      </c>
      <c r="B8" s="4"/>
      <c r="C8" s="4"/>
      <c r="O8" t="s">
        <v>131</v>
      </c>
      <c r="P8" s="14">
        <f>1000*C16</f>
        <v>0</v>
      </c>
      <c r="Q8" s="14">
        <f t="shared" ref="Q8:X9" si="5">1000*D16</f>
        <v>0</v>
      </c>
      <c r="R8" s="14">
        <f t="shared" si="5"/>
        <v>0</v>
      </c>
      <c r="S8" s="14">
        <f t="shared" si="5"/>
        <v>0</v>
      </c>
      <c r="T8" s="14">
        <f t="shared" si="5"/>
        <v>0</v>
      </c>
      <c r="U8" s="14">
        <f t="shared" si="5"/>
        <v>0</v>
      </c>
      <c r="V8" s="14">
        <f t="shared" si="5"/>
        <v>0</v>
      </c>
      <c r="W8" s="14">
        <f t="shared" si="5"/>
        <v>0</v>
      </c>
      <c r="X8" s="14">
        <f t="shared" si="5"/>
        <v>0</v>
      </c>
    </row>
    <row r="9" spans="1:24" x14ac:dyDescent="0.2">
      <c r="A9" s="2" t="s">
        <v>69</v>
      </c>
      <c r="B9" s="4"/>
      <c r="C9" s="4"/>
      <c r="O9" t="s">
        <v>132</v>
      </c>
      <c r="P9" s="14">
        <f>1000*C17</f>
        <v>0</v>
      </c>
      <c r="Q9" s="14">
        <f t="shared" si="5"/>
        <v>0</v>
      </c>
      <c r="R9" s="14">
        <f t="shared" si="5"/>
        <v>0</v>
      </c>
      <c r="S9" s="14">
        <f t="shared" si="5"/>
        <v>0</v>
      </c>
      <c r="T9" s="14">
        <f t="shared" si="5"/>
        <v>0</v>
      </c>
      <c r="U9" s="14">
        <f t="shared" si="5"/>
        <v>0</v>
      </c>
      <c r="V9" s="14">
        <f t="shared" si="5"/>
        <v>0</v>
      </c>
      <c r="W9" s="14">
        <f t="shared" si="5"/>
        <v>0</v>
      </c>
      <c r="X9" s="14">
        <f t="shared" si="5"/>
        <v>0</v>
      </c>
    </row>
    <row r="10" spans="1:24" x14ac:dyDescent="0.2">
      <c r="A10" s="2" t="s">
        <v>68</v>
      </c>
      <c r="B10" s="4"/>
      <c r="C10" s="4"/>
    </row>
    <row r="11" spans="1:24" x14ac:dyDescent="0.2">
      <c r="A11" s="2" t="s">
        <v>0</v>
      </c>
      <c r="B11" s="4"/>
      <c r="C11" s="4"/>
    </row>
    <row r="12" spans="1:24" x14ac:dyDescent="0.2">
      <c r="A12" s="2" t="s">
        <v>24</v>
      </c>
      <c r="B12" s="4"/>
      <c r="C12" s="4"/>
    </row>
    <row r="13" spans="1:24" x14ac:dyDescent="0.2">
      <c r="A13" s="2" t="s">
        <v>8</v>
      </c>
      <c r="B13" s="4"/>
      <c r="C13" s="4"/>
    </row>
    <row r="14" spans="1:24" x14ac:dyDescent="0.2">
      <c r="A14" s="2" t="s">
        <v>11</v>
      </c>
      <c r="B14" s="4"/>
      <c r="C14" s="4"/>
    </row>
    <row r="15" spans="1:24" x14ac:dyDescent="0.2">
      <c r="A15" s="2" t="s">
        <v>20</v>
      </c>
      <c r="B15" s="4"/>
      <c r="C15" s="4"/>
    </row>
    <row r="16" spans="1:24" x14ac:dyDescent="0.2">
      <c r="A16" s="2" t="s">
        <v>19</v>
      </c>
      <c r="B16" s="4"/>
      <c r="C16" s="4"/>
    </row>
    <row r="17" spans="1:3" x14ac:dyDescent="0.2">
      <c r="A17" s="2" t="s">
        <v>18</v>
      </c>
      <c r="B17" s="4"/>
      <c r="C17" s="4"/>
    </row>
    <row r="18" spans="1:3" x14ac:dyDescent="0.2">
      <c r="A18" s="2" t="s">
        <v>56</v>
      </c>
      <c r="B18" s="4"/>
      <c r="C18" s="4"/>
    </row>
    <row r="19" spans="1:3" x14ac:dyDescent="0.2">
      <c r="A19" s="2" t="s">
        <v>57</v>
      </c>
      <c r="B19" s="4"/>
      <c r="C19" s="4"/>
    </row>
    <row r="20" spans="1:3" x14ac:dyDescent="0.2">
      <c r="A20" s="2" t="s">
        <v>12</v>
      </c>
      <c r="B20" s="4"/>
      <c r="C20" s="4"/>
    </row>
    <row r="21" spans="1:3" x14ac:dyDescent="0.2">
      <c r="A21" s="2" t="s">
        <v>55</v>
      </c>
      <c r="B21" s="4"/>
      <c r="C21" s="4"/>
    </row>
    <row r="22" spans="1:3" x14ac:dyDescent="0.2">
      <c r="A22" s="2" t="s">
        <v>30</v>
      </c>
      <c r="B22" s="4"/>
      <c r="C22" s="4"/>
    </row>
    <row r="23" spans="1:3" x14ac:dyDescent="0.2">
      <c r="A23" s="2" t="s">
        <v>21</v>
      </c>
      <c r="B23" s="4"/>
      <c r="C23" s="4"/>
    </row>
    <row r="24" spans="1:3" x14ac:dyDescent="0.2">
      <c r="A24" s="2" t="s">
        <v>41</v>
      </c>
      <c r="B24" s="4"/>
      <c r="C24" s="4"/>
    </row>
    <row r="25" spans="1:3" x14ac:dyDescent="0.2">
      <c r="A25" s="2" t="s">
        <v>35</v>
      </c>
      <c r="B25" s="4"/>
      <c r="C25" s="4"/>
    </row>
    <row r="26" spans="1:3" x14ac:dyDescent="0.2">
      <c r="A26" s="2" t="s">
        <v>36</v>
      </c>
      <c r="B26" s="4"/>
      <c r="C26" s="4"/>
    </row>
    <row r="27" spans="1:3" x14ac:dyDescent="0.2">
      <c r="A27" s="2" t="s">
        <v>44</v>
      </c>
      <c r="B27" s="4"/>
      <c r="C27" s="4"/>
    </row>
    <row r="28" spans="1:3" x14ac:dyDescent="0.2">
      <c r="A28" s="2" t="s">
        <v>40</v>
      </c>
      <c r="B28" s="4"/>
      <c r="C28" s="4"/>
    </row>
    <row r="29" spans="1:3" x14ac:dyDescent="0.2">
      <c r="A29" s="2" t="s">
        <v>5</v>
      </c>
      <c r="B29" s="4"/>
      <c r="C29" s="4"/>
    </row>
    <row r="30" spans="1:3" x14ac:dyDescent="0.2">
      <c r="A30" s="2" t="s">
        <v>47</v>
      </c>
      <c r="B30" s="4"/>
      <c r="C30" s="4"/>
    </row>
    <row r="31" spans="1:3" x14ac:dyDescent="0.2">
      <c r="A31" s="2" t="s">
        <v>7</v>
      </c>
      <c r="B31" s="4"/>
      <c r="C31" s="4"/>
    </row>
    <row r="32" spans="1:3" x14ac:dyDescent="0.2">
      <c r="A32" s="2" t="s">
        <v>50</v>
      </c>
      <c r="B32" s="4"/>
      <c r="C32" s="4"/>
    </row>
    <row r="33" spans="1:3" x14ac:dyDescent="0.2">
      <c r="A33" s="2" t="s">
        <v>3</v>
      </c>
      <c r="B33" s="4"/>
      <c r="C33" s="4"/>
    </row>
    <row r="34" spans="1:3" x14ac:dyDescent="0.2">
      <c r="A34" s="2" t="s">
        <v>16</v>
      </c>
      <c r="B34" s="4"/>
      <c r="C34" s="4"/>
    </row>
    <row r="35" spans="1:3" x14ac:dyDescent="0.2">
      <c r="A35" s="2" t="s">
        <v>29</v>
      </c>
      <c r="B35" s="4"/>
      <c r="C35" s="4"/>
    </row>
    <row r="36" spans="1:3" x14ac:dyDescent="0.2">
      <c r="A36" s="2" t="s">
        <v>17</v>
      </c>
      <c r="B36" s="4"/>
      <c r="C36" s="4"/>
    </row>
    <row r="37" spans="1:3" x14ac:dyDescent="0.2">
      <c r="A37" s="2" t="s">
        <v>62</v>
      </c>
      <c r="B37" s="4"/>
      <c r="C37" s="4"/>
    </row>
    <row r="38" spans="1:3" x14ac:dyDescent="0.2">
      <c r="A38" s="2" t="s">
        <v>32</v>
      </c>
      <c r="B38" s="4"/>
      <c r="C38" s="4"/>
    </row>
    <row r="39" spans="1:3" x14ac:dyDescent="0.2">
      <c r="A39" s="2" t="s">
        <v>23</v>
      </c>
      <c r="B39" s="4"/>
      <c r="C39" s="4"/>
    </row>
    <row r="40" spans="1:3" x14ac:dyDescent="0.2">
      <c r="A40" s="2" t="s">
        <v>33</v>
      </c>
      <c r="B40" s="4"/>
      <c r="C40" s="4"/>
    </row>
    <row r="41" spans="1:3" x14ac:dyDescent="0.2">
      <c r="A41" s="2" t="s">
        <v>34</v>
      </c>
      <c r="B41" s="4"/>
      <c r="C41" s="4"/>
    </row>
    <row r="42" spans="1:3" x14ac:dyDescent="0.2">
      <c r="A42" s="2" t="s">
        <v>45</v>
      </c>
      <c r="B42" s="4"/>
      <c r="C42" s="4"/>
    </row>
    <row r="43" spans="1:3" x14ac:dyDescent="0.2">
      <c r="A43" s="2" t="s">
        <v>61</v>
      </c>
      <c r="B43" s="4"/>
      <c r="C43" s="4"/>
    </row>
    <row r="44" spans="1:3" x14ac:dyDescent="0.2">
      <c r="A44" s="2" t="s">
        <v>4</v>
      </c>
      <c r="B44" s="4"/>
      <c r="C44" s="4"/>
    </row>
    <row r="45" spans="1:3" x14ac:dyDescent="0.2">
      <c r="A45" s="2" t="s">
        <v>2</v>
      </c>
      <c r="B45" s="4"/>
      <c r="C45" s="4"/>
    </row>
    <row r="46" spans="1:3" x14ac:dyDescent="0.2">
      <c r="A46" s="2" t="s">
        <v>6</v>
      </c>
      <c r="B46" s="4"/>
      <c r="C46" s="4"/>
    </row>
    <row r="47" spans="1:3" x14ac:dyDescent="0.2">
      <c r="A47" s="2" t="s">
        <v>43</v>
      </c>
      <c r="B47" s="4"/>
      <c r="C47" s="4"/>
    </row>
    <row r="48" spans="1:3" x14ac:dyDescent="0.2">
      <c r="A48" s="2" t="s">
        <v>38</v>
      </c>
      <c r="B48" s="4"/>
      <c r="C48" s="4"/>
    </row>
    <row r="49" spans="1:3" x14ac:dyDescent="0.2">
      <c r="A49" s="2" t="s">
        <v>49</v>
      </c>
      <c r="B49" s="4"/>
      <c r="C49" s="4"/>
    </row>
    <row r="50" spans="1:3" x14ac:dyDescent="0.2">
      <c r="A50" s="2" t="s">
        <v>58</v>
      </c>
      <c r="B50" s="4"/>
      <c r="C50" s="4"/>
    </row>
    <row r="51" spans="1:3" x14ac:dyDescent="0.2">
      <c r="A51" s="2" t="s">
        <v>42</v>
      </c>
      <c r="B51" s="4"/>
      <c r="C51" s="4"/>
    </row>
    <row r="52" spans="1:3" x14ac:dyDescent="0.2">
      <c r="A52" s="2" t="s">
        <v>53</v>
      </c>
      <c r="B52" s="4"/>
      <c r="C52" s="4"/>
    </row>
    <row r="53" spans="1:3" x14ac:dyDescent="0.2">
      <c r="A53" s="2" t="s">
        <v>37</v>
      </c>
      <c r="B53" s="4"/>
      <c r="C53" s="4"/>
    </row>
    <row r="54" spans="1:3" x14ac:dyDescent="0.2">
      <c r="A54" s="2" t="s">
        <v>46</v>
      </c>
      <c r="B54" s="4"/>
      <c r="C54" s="4"/>
    </row>
    <row r="55" spans="1:3" x14ac:dyDescent="0.2">
      <c r="A55" s="2" t="s">
        <v>54</v>
      </c>
      <c r="B55" s="4"/>
      <c r="C55" s="4"/>
    </row>
    <row r="56" spans="1:3" x14ac:dyDescent="0.2">
      <c r="A56" s="2" t="s">
        <v>27</v>
      </c>
      <c r="B56" s="4"/>
      <c r="C56" s="4"/>
    </row>
    <row r="57" spans="1:3" x14ac:dyDescent="0.2">
      <c r="A57" s="2" t="s">
        <v>25</v>
      </c>
      <c r="B57" s="4"/>
      <c r="C57" s="4"/>
    </row>
    <row r="58" spans="1:3" x14ac:dyDescent="0.2">
      <c r="A58" s="2" t="s">
        <v>28</v>
      </c>
      <c r="B58" s="4"/>
      <c r="C58" s="4"/>
    </row>
    <row r="59" spans="1:3" x14ac:dyDescent="0.2">
      <c r="A59" s="2" t="s">
        <v>26</v>
      </c>
      <c r="B59" s="4"/>
      <c r="C59" s="4"/>
    </row>
    <row r="60" spans="1:3" x14ac:dyDescent="0.2">
      <c r="A60" s="2" t="s">
        <v>63</v>
      </c>
      <c r="B60" s="4"/>
      <c r="C60" s="4"/>
    </row>
    <row r="61" spans="1:3" x14ac:dyDescent="0.2">
      <c r="A61" s="2" t="s">
        <v>39</v>
      </c>
      <c r="B61" s="4"/>
      <c r="C61" s="4"/>
    </row>
    <row r="62" spans="1:3" x14ac:dyDescent="0.2">
      <c r="A62" s="2" t="s">
        <v>48</v>
      </c>
      <c r="B62" s="4"/>
      <c r="C62" s="4"/>
    </row>
    <row r="63" spans="1:3" x14ac:dyDescent="0.2">
      <c r="A63" s="2" t="s">
        <v>9</v>
      </c>
      <c r="B63" s="4"/>
      <c r="C63" s="4"/>
    </row>
    <row r="64" spans="1:3" x14ac:dyDescent="0.2">
      <c r="A64" s="2" t="s">
        <v>10</v>
      </c>
      <c r="B64" s="4"/>
      <c r="C64" s="4"/>
    </row>
    <row r="65" spans="1:3" x14ac:dyDescent="0.2">
      <c r="A65" s="2" t="s">
        <v>13</v>
      </c>
      <c r="B65" s="4"/>
      <c r="C65" s="4"/>
    </row>
    <row r="66" spans="1:3" x14ac:dyDescent="0.2">
      <c r="A66" s="2" t="s">
        <v>60</v>
      </c>
      <c r="B66" s="4"/>
      <c r="C66" s="4"/>
    </row>
    <row r="67" spans="1:3" x14ac:dyDescent="0.2">
      <c r="A67" s="2" t="s">
        <v>15</v>
      </c>
      <c r="B67" s="4"/>
      <c r="C67" s="4"/>
    </row>
    <row r="68" spans="1:3" x14ac:dyDescent="0.2">
      <c r="A68" s="2" t="s">
        <v>59</v>
      </c>
      <c r="B68" s="4"/>
      <c r="C68" s="4"/>
    </row>
    <row r="69" spans="1:3" x14ac:dyDescent="0.2">
      <c r="A69" s="2" t="s">
        <v>14</v>
      </c>
      <c r="B69" s="4"/>
      <c r="C69" s="4"/>
    </row>
    <row r="70" spans="1:3" x14ac:dyDescent="0.2">
      <c r="A70" s="2" t="s">
        <v>52</v>
      </c>
      <c r="B70" s="4"/>
      <c r="C70" s="4"/>
    </row>
    <row r="71" spans="1:3" x14ac:dyDescent="0.2">
      <c r="A71" s="2" t="s">
        <v>51</v>
      </c>
      <c r="B71" s="4"/>
      <c r="C71" s="4"/>
    </row>
    <row r="72" spans="1:3" x14ac:dyDescent="0.2">
      <c r="A72" s="2" t="s">
        <v>114</v>
      </c>
      <c r="B72" s="4"/>
      <c r="C72" s="4"/>
    </row>
    <row r="73" spans="1:3" x14ac:dyDescent="0.2">
      <c r="A73" s="2" t="s">
        <v>115</v>
      </c>
      <c r="B73" s="4"/>
      <c r="C73" s="4"/>
    </row>
    <row r="74" spans="1:3" x14ac:dyDescent="0.2">
      <c r="A74" s="2" t="s">
        <v>65</v>
      </c>
      <c r="B74" s="4"/>
      <c r="C7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AN60"/>
  <sheetViews>
    <sheetView zoomScale="101" workbookViewId="0">
      <selection activeCell="C11" sqref="C11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3" width="10.6640625" bestFit="1" customWidth="1"/>
    <col min="4" max="4" width="6.1640625" bestFit="1" customWidth="1"/>
    <col min="5" max="5" width="10.6640625" bestFit="1" customWidth="1"/>
    <col min="6" max="11" width="6.6640625" bestFit="1" customWidth="1"/>
    <col min="12" max="12" width="10.6640625" bestFit="1" customWidth="1"/>
    <col min="13" max="19" width="12.1640625" customWidth="1"/>
    <col min="20" max="20" width="12.1640625" bestFit="1" customWidth="1"/>
    <col min="21" max="21" width="10.6640625" bestFit="1" customWidth="1"/>
  </cols>
  <sheetData>
    <row r="2" spans="1:40" x14ac:dyDescent="0.2">
      <c r="A2" s="1" t="s">
        <v>112</v>
      </c>
      <c r="B2" s="2">
        <v>2030</v>
      </c>
    </row>
    <row r="3" spans="1:40" x14ac:dyDescent="0.2">
      <c r="A3" s="1" t="s">
        <v>116</v>
      </c>
      <c r="B3" t="s">
        <v>13</v>
      </c>
    </row>
    <row r="5" spans="1:40" x14ac:dyDescent="0.2">
      <c r="A5" s="1" t="s">
        <v>67</v>
      </c>
      <c r="B5" s="1" t="s">
        <v>64</v>
      </c>
      <c r="V5" t="str">
        <f t="shared" ref="V5:AN5" si="0">A5</f>
        <v>Sum of value</v>
      </c>
      <c r="W5" t="str">
        <f t="shared" si="0"/>
        <v>Column Labels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</row>
    <row r="6" spans="1:40" x14ac:dyDescent="0.2">
      <c r="A6" s="1" t="s">
        <v>66</v>
      </c>
      <c r="B6" t="s">
        <v>113</v>
      </c>
      <c r="C6" t="s">
        <v>65</v>
      </c>
      <c r="V6" t="str">
        <f t="shared" ref="V6:V31" si="1">A6</f>
        <v>Row Labels</v>
      </c>
      <c r="W6">
        <v>0</v>
      </c>
      <c r="X6" t="e">
        <f t="shared" ref="X6:X31" si="2">100*(C6/B6-1)</f>
        <v>#VALUE!</v>
      </c>
      <c r="Y6" t="e">
        <f t="shared" ref="Y6:AN6" si="3">100*(D6/C6-1)</f>
        <v>#VALUE!</v>
      </c>
      <c r="Z6" t="e">
        <f t="shared" si="3"/>
        <v>#DIV/0!</v>
      </c>
      <c r="AA6" t="e">
        <f t="shared" si="3"/>
        <v>#DIV/0!</v>
      </c>
      <c r="AB6" t="e">
        <f t="shared" si="3"/>
        <v>#DIV/0!</v>
      </c>
      <c r="AC6" t="e">
        <f t="shared" si="3"/>
        <v>#DIV/0!</v>
      </c>
      <c r="AD6" t="e">
        <f t="shared" si="3"/>
        <v>#DIV/0!</v>
      </c>
      <c r="AE6" t="e">
        <f t="shared" si="3"/>
        <v>#DIV/0!</v>
      </c>
      <c r="AF6" t="e">
        <f t="shared" si="3"/>
        <v>#DIV/0!</v>
      </c>
      <c r="AG6" t="e">
        <f t="shared" si="3"/>
        <v>#DIV/0!</v>
      </c>
      <c r="AH6" t="e">
        <f t="shared" si="3"/>
        <v>#DIV/0!</v>
      </c>
      <c r="AI6" t="e">
        <f t="shared" si="3"/>
        <v>#DIV/0!</v>
      </c>
      <c r="AJ6" t="e">
        <f t="shared" si="3"/>
        <v>#DIV/0!</v>
      </c>
      <c r="AK6" t="e">
        <f t="shared" si="3"/>
        <v>#DIV/0!</v>
      </c>
      <c r="AL6" t="e">
        <f t="shared" si="3"/>
        <v>#DIV/0!</v>
      </c>
      <c r="AM6" t="e">
        <f t="shared" si="3"/>
        <v>#DIV/0!</v>
      </c>
      <c r="AN6" t="e">
        <f t="shared" si="3"/>
        <v>#DIV/0!</v>
      </c>
    </row>
    <row r="7" spans="1:40" x14ac:dyDescent="0.2">
      <c r="A7" s="2" t="s">
        <v>508</v>
      </c>
      <c r="B7" s="3"/>
      <c r="C7" s="3"/>
      <c r="V7" t="str">
        <f t="shared" si="1"/>
        <v>AgFFF</v>
      </c>
      <c r="W7">
        <v>0</v>
      </c>
      <c r="X7" t="e">
        <f t="shared" si="2"/>
        <v>#DIV/0!</v>
      </c>
      <c r="Y7" t="e">
        <f t="shared" ref="Y7:AM7" si="4">100*(D7/C7-1)</f>
        <v>#DIV/0!</v>
      </c>
      <c r="Z7" t="e">
        <f t="shared" si="4"/>
        <v>#DIV/0!</v>
      </c>
      <c r="AA7" t="e">
        <f t="shared" si="4"/>
        <v>#DIV/0!</v>
      </c>
      <c r="AB7" t="e">
        <f t="shared" si="4"/>
        <v>#DIV/0!</v>
      </c>
      <c r="AC7" t="e">
        <f t="shared" si="4"/>
        <v>#DIV/0!</v>
      </c>
      <c r="AD7" t="e">
        <f t="shared" si="4"/>
        <v>#DIV/0!</v>
      </c>
      <c r="AE7" t="e">
        <f t="shared" si="4"/>
        <v>#DIV/0!</v>
      </c>
      <c r="AF7" t="e">
        <f t="shared" si="4"/>
        <v>#DIV/0!</v>
      </c>
      <c r="AG7" t="e">
        <f t="shared" si="4"/>
        <v>#DIV/0!</v>
      </c>
      <c r="AH7" t="e">
        <f t="shared" si="4"/>
        <v>#DIV/0!</v>
      </c>
      <c r="AI7" t="e">
        <f t="shared" si="4"/>
        <v>#DIV/0!</v>
      </c>
      <c r="AJ7" t="e">
        <f t="shared" si="4"/>
        <v>#DIV/0!</v>
      </c>
      <c r="AK7" t="e">
        <f t="shared" si="4"/>
        <v>#DIV/0!</v>
      </c>
      <c r="AL7" t="e">
        <f t="shared" si="4"/>
        <v>#DIV/0!</v>
      </c>
      <c r="AM7" t="e">
        <f t="shared" si="4"/>
        <v>#DIV/0!</v>
      </c>
      <c r="AN7" t="e">
        <f t="shared" ref="Y7:AN23" si="5">100*(S7/R7-1)</f>
        <v>#DIV/0!</v>
      </c>
    </row>
    <row r="8" spans="1:40" x14ac:dyDescent="0.2">
      <c r="A8" s="2" t="s">
        <v>509</v>
      </c>
      <c r="B8" s="3"/>
      <c r="C8" s="3"/>
      <c r="V8" t="str">
        <f t="shared" si="1"/>
        <v>Coal</v>
      </c>
      <c r="W8">
        <v>0</v>
      </c>
      <c r="X8" t="e">
        <f t="shared" si="2"/>
        <v>#DIV/0!</v>
      </c>
      <c r="Y8" t="e">
        <f t="shared" si="5"/>
        <v>#DIV/0!</v>
      </c>
      <c r="Z8" t="e">
        <f t="shared" si="5"/>
        <v>#DIV/0!</v>
      </c>
      <c r="AA8" t="e">
        <f t="shared" si="5"/>
        <v>#DIV/0!</v>
      </c>
      <c r="AB8" t="e">
        <f t="shared" si="5"/>
        <v>#DIV/0!</v>
      </c>
      <c r="AC8" t="e">
        <f t="shared" si="5"/>
        <v>#DIV/0!</v>
      </c>
      <c r="AD8" t="e">
        <f t="shared" si="5"/>
        <v>#DIV/0!</v>
      </c>
      <c r="AE8" t="e">
        <f t="shared" si="5"/>
        <v>#DIV/0!</v>
      </c>
      <c r="AF8" t="e">
        <f t="shared" si="5"/>
        <v>#DIV/0!</v>
      </c>
      <c r="AG8" t="e">
        <f t="shared" si="5"/>
        <v>#DIV/0!</v>
      </c>
      <c r="AH8" t="e">
        <f t="shared" si="5"/>
        <v>#DIV/0!</v>
      </c>
      <c r="AI8" t="e">
        <f t="shared" si="5"/>
        <v>#DIV/0!</v>
      </c>
      <c r="AJ8" t="e">
        <f t="shared" si="5"/>
        <v>#DIV/0!</v>
      </c>
      <c r="AK8" t="e">
        <f t="shared" si="5"/>
        <v>#DIV/0!</v>
      </c>
      <c r="AL8" t="e">
        <f t="shared" si="5"/>
        <v>#DIV/0!</v>
      </c>
      <c r="AM8" t="e">
        <f t="shared" si="5"/>
        <v>#DIV/0!</v>
      </c>
      <c r="AN8" t="e">
        <f t="shared" si="5"/>
        <v>#DIV/0!</v>
      </c>
    </row>
    <row r="9" spans="1:40" x14ac:dyDescent="0.2">
      <c r="A9" s="2" t="s">
        <v>510</v>
      </c>
      <c r="B9" s="3"/>
      <c r="C9" s="3"/>
      <c r="V9" t="str">
        <f t="shared" si="1"/>
        <v>OilGas</v>
      </c>
      <c r="W9">
        <v>0</v>
      </c>
      <c r="X9" t="e">
        <f t="shared" si="2"/>
        <v>#DIV/0!</v>
      </c>
      <c r="Y9" t="e">
        <f t="shared" si="5"/>
        <v>#DIV/0!</v>
      </c>
      <c r="Z9" t="e">
        <f t="shared" si="5"/>
        <v>#DIV/0!</v>
      </c>
      <c r="AA9" t="e">
        <f t="shared" si="5"/>
        <v>#DIV/0!</v>
      </c>
      <c r="AB9" t="e">
        <f t="shared" si="5"/>
        <v>#DIV/0!</v>
      </c>
      <c r="AC9" t="e">
        <f t="shared" si="5"/>
        <v>#DIV/0!</v>
      </c>
      <c r="AD9" t="e">
        <f t="shared" si="5"/>
        <v>#DIV/0!</v>
      </c>
      <c r="AE9" t="e">
        <f t="shared" si="5"/>
        <v>#DIV/0!</v>
      </c>
      <c r="AF9" t="e">
        <f t="shared" si="5"/>
        <v>#DIV/0!</v>
      </c>
      <c r="AG9" t="e">
        <f t="shared" si="5"/>
        <v>#DIV/0!</v>
      </c>
      <c r="AH9" t="e">
        <f t="shared" si="5"/>
        <v>#DIV/0!</v>
      </c>
      <c r="AI9" t="e">
        <f t="shared" si="5"/>
        <v>#DIV/0!</v>
      </c>
      <c r="AJ9" t="e">
        <f t="shared" si="5"/>
        <v>#DIV/0!</v>
      </c>
      <c r="AK9" t="e">
        <f t="shared" si="5"/>
        <v>#DIV/0!</v>
      </c>
      <c r="AL9" t="e">
        <f t="shared" si="5"/>
        <v>#DIV/0!</v>
      </c>
      <c r="AM9" t="e">
        <f t="shared" si="5"/>
        <v>#DIV/0!</v>
      </c>
      <c r="AN9" t="e">
        <f t="shared" si="5"/>
        <v>#DIV/0!</v>
      </c>
    </row>
    <row r="10" spans="1:40" x14ac:dyDescent="0.2">
      <c r="A10" s="2" t="s">
        <v>511</v>
      </c>
      <c r="B10" s="3"/>
      <c r="C10" s="3"/>
      <c r="V10" t="str">
        <f t="shared" si="1"/>
        <v>MetMin</v>
      </c>
      <c r="W10">
        <v>0</v>
      </c>
      <c r="X10" t="e">
        <f t="shared" si="2"/>
        <v>#DIV/0!</v>
      </c>
      <c r="Y10" t="e">
        <f t="shared" si="5"/>
        <v>#DIV/0!</v>
      </c>
      <c r="Z10" t="e">
        <f t="shared" si="5"/>
        <v>#DIV/0!</v>
      </c>
      <c r="AA10" t="e">
        <f t="shared" si="5"/>
        <v>#DIV/0!</v>
      </c>
      <c r="AB10" t="e">
        <f t="shared" si="5"/>
        <v>#DIV/0!</v>
      </c>
      <c r="AC10" t="e">
        <f t="shared" si="5"/>
        <v>#DIV/0!</v>
      </c>
      <c r="AD10" t="e">
        <f t="shared" si="5"/>
        <v>#DIV/0!</v>
      </c>
      <c r="AE10" t="e">
        <f t="shared" si="5"/>
        <v>#DIV/0!</v>
      </c>
      <c r="AF10" t="e">
        <f t="shared" si="5"/>
        <v>#DIV/0!</v>
      </c>
      <c r="AG10" t="e">
        <f t="shared" si="5"/>
        <v>#DIV/0!</v>
      </c>
      <c r="AH10" t="e">
        <f t="shared" si="5"/>
        <v>#DIV/0!</v>
      </c>
      <c r="AI10" t="e">
        <f t="shared" si="5"/>
        <v>#DIV/0!</v>
      </c>
      <c r="AJ10" t="e">
        <f t="shared" si="5"/>
        <v>#DIV/0!</v>
      </c>
      <c r="AK10" t="e">
        <f t="shared" si="5"/>
        <v>#DIV/0!</v>
      </c>
      <c r="AL10" t="e">
        <f t="shared" si="5"/>
        <v>#DIV/0!</v>
      </c>
      <c r="AM10" t="e">
        <f t="shared" si="5"/>
        <v>#DIV/0!</v>
      </c>
      <c r="AN10" t="e">
        <f t="shared" si="5"/>
        <v>#DIV/0!</v>
      </c>
    </row>
    <row r="11" spans="1:40" x14ac:dyDescent="0.2">
      <c r="A11" s="2" t="s">
        <v>512</v>
      </c>
      <c r="B11" s="3"/>
      <c r="C11" s="3"/>
      <c r="V11" t="str">
        <f t="shared" si="1"/>
        <v>NMetMin</v>
      </c>
      <c r="W11">
        <v>0</v>
      </c>
      <c r="X11" t="e">
        <f t="shared" si="2"/>
        <v>#DIV/0!</v>
      </c>
      <c r="Y11" t="e">
        <f t="shared" si="5"/>
        <v>#DIV/0!</v>
      </c>
      <c r="Z11" t="e">
        <f t="shared" si="5"/>
        <v>#DIV/0!</v>
      </c>
      <c r="AA11" t="e">
        <f t="shared" si="5"/>
        <v>#DIV/0!</v>
      </c>
      <c r="AB11" t="e">
        <f t="shared" si="5"/>
        <v>#DIV/0!</v>
      </c>
      <c r="AC11" t="e">
        <f t="shared" si="5"/>
        <v>#DIV/0!</v>
      </c>
      <c r="AD11" t="e">
        <f t="shared" si="5"/>
        <v>#DIV/0!</v>
      </c>
      <c r="AE11" t="e">
        <f t="shared" si="5"/>
        <v>#DIV/0!</v>
      </c>
      <c r="AF11" t="e">
        <f t="shared" si="5"/>
        <v>#DIV/0!</v>
      </c>
      <c r="AG11" t="e">
        <f t="shared" si="5"/>
        <v>#DIV/0!</v>
      </c>
      <c r="AH11" t="e">
        <f t="shared" si="5"/>
        <v>#DIV/0!</v>
      </c>
      <c r="AI11" t="e">
        <f t="shared" si="5"/>
        <v>#DIV/0!</v>
      </c>
      <c r="AJ11" t="e">
        <f t="shared" si="5"/>
        <v>#DIV/0!</v>
      </c>
      <c r="AK11" t="e">
        <f t="shared" si="5"/>
        <v>#DIV/0!</v>
      </c>
      <c r="AL11" t="e">
        <f t="shared" si="5"/>
        <v>#DIV/0!</v>
      </c>
      <c r="AM11" t="e">
        <f t="shared" si="5"/>
        <v>#DIV/0!</v>
      </c>
      <c r="AN11" t="e">
        <f t="shared" si="5"/>
        <v>#DIV/0!</v>
      </c>
    </row>
    <row r="12" spans="1:40" x14ac:dyDescent="0.2">
      <c r="A12" s="2" t="s">
        <v>513</v>
      </c>
      <c r="B12" s="3"/>
      <c r="C12" s="3"/>
      <c r="V12" t="str">
        <f t="shared" si="1"/>
        <v>FoodPr</v>
      </c>
      <c r="W12">
        <v>0</v>
      </c>
      <c r="X12" t="e">
        <f t="shared" si="2"/>
        <v>#DIV/0!</v>
      </c>
      <c r="Y12" t="e">
        <f t="shared" si="5"/>
        <v>#DIV/0!</v>
      </c>
      <c r="Z12" t="e">
        <f t="shared" si="5"/>
        <v>#DIV/0!</v>
      </c>
      <c r="AA12" t="e">
        <f t="shared" si="5"/>
        <v>#DIV/0!</v>
      </c>
      <c r="AB12" t="e">
        <f t="shared" si="5"/>
        <v>#DIV/0!</v>
      </c>
      <c r="AC12" t="e">
        <f t="shared" si="5"/>
        <v>#DIV/0!</v>
      </c>
      <c r="AD12" t="e">
        <f t="shared" si="5"/>
        <v>#DIV/0!</v>
      </c>
      <c r="AE12" t="e">
        <f t="shared" si="5"/>
        <v>#DIV/0!</v>
      </c>
      <c r="AF12" t="e">
        <f t="shared" si="5"/>
        <v>#DIV/0!</v>
      </c>
      <c r="AG12" t="e">
        <f t="shared" si="5"/>
        <v>#DIV/0!</v>
      </c>
      <c r="AH12" t="e">
        <f t="shared" si="5"/>
        <v>#DIV/0!</v>
      </c>
      <c r="AI12" t="e">
        <f t="shared" si="5"/>
        <v>#DIV/0!</v>
      </c>
      <c r="AJ12" t="e">
        <f t="shared" si="5"/>
        <v>#DIV/0!</v>
      </c>
      <c r="AK12" t="e">
        <f t="shared" si="5"/>
        <v>#DIV/0!</v>
      </c>
      <c r="AL12" t="e">
        <f t="shared" si="5"/>
        <v>#DIV/0!</v>
      </c>
      <c r="AM12" t="e">
        <f t="shared" si="5"/>
        <v>#DIV/0!</v>
      </c>
      <c r="AN12" t="e">
        <f t="shared" si="5"/>
        <v>#DIV/0!</v>
      </c>
    </row>
    <row r="13" spans="1:40" x14ac:dyDescent="0.2">
      <c r="A13" s="2" t="s">
        <v>514</v>
      </c>
      <c r="B13" s="3"/>
      <c r="C13" s="3"/>
      <c r="V13" t="str">
        <f t="shared" si="1"/>
        <v>Textile</v>
      </c>
      <c r="W13">
        <v>0</v>
      </c>
      <c r="X13" t="e">
        <f t="shared" si="2"/>
        <v>#DIV/0!</v>
      </c>
      <c r="Y13" t="e">
        <f t="shared" si="5"/>
        <v>#DIV/0!</v>
      </c>
      <c r="Z13" t="e">
        <f t="shared" si="5"/>
        <v>#DIV/0!</v>
      </c>
      <c r="AA13" t="e">
        <f t="shared" si="5"/>
        <v>#DIV/0!</v>
      </c>
      <c r="AB13" t="e">
        <f t="shared" si="5"/>
        <v>#DIV/0!</v>
      </c>
      <c r="AC13" t="e">
        <f t="shared" si="5"/>
        <v>#DIV/0!</v>
      </c>
      <c r="AD13" t="e">
        <f t="shared" si="5"/>
        <v>#DIV/0!</v>
      </c>
      <c r="AE13" t="e">
        <f t="shared" si="5"/>
        <v>#DIV/0!</v>
      </c>
      <c r="AF13" t="e">
        <f t="shared" si="5"/>
        <v>#DIV/0!</v>
      </c>
      <c r="AG13" t="e">
        <f t="shared" si="5"/>
        <v>#DIV/0!</v>
      </c>
      <c r="AH13" t="e">
        <f t="shared" si="5"/>
        <v>#DIV/0!</v>
      </c>
      <c r="AI13" t="e">
        <f t="shared" si="5"/>
        <v>#DIV/0!</v>
      </c>
      <c r="AJ13" t="e">
        <f t="shared" si="5"/>
        <v>#DIV/0!</v>
      </c>
      <c r="AK13" t="e">
        <f t="shared" si="5"/>
        <v>#DIV/0!</v>
      </c>
      <c r="AL13" t="e">
        <f t="shared" si="5"/>
        <v>#DIV/0!</v>
      </c>
      <c r="AM13" t="e">
        <f t="shared" si="5"/>
        <v>#DIV/0!</v>
      </c>
      <c r="AN13" t="e">
        <f t="shared" si="5"/>
        <v>#DIV/0!</v>
      </c>
    </row>
    <row r="14" spans="1:40" x14ac:dyDescent="0.2">
      <c r="A14" s="2" t="s">
        <v>515</v>
      </c>
      <c r="B14" s="3"/>
      <c r="C14" s="3"/>
      <c r="V14" t="str">
        <f t="shared" si="1"/>
        <v>Apparel</v>
      </c>
      <c r="W14">
        <v>0</v>
      </c>
      <c r="X14" t="e">
        <f t="shared" si="2"/>
        <v>#DIV/0!</v>
      </c>
      <c r="Y14" t="e">
        <f t="shared" si="5"/>
        <v>#DIV/0!</v>
      </c>
      <c r="Z14" t="e">
        <f t="shared" si="5"/>
        <v>#DIV/0!</v>
      </c>
      <c r="AA14" t="e">
        <f t="shared" si="5"/>
        <v>#DIV/0!</v>
      </c>
      <c r="AB14" t="e">
        <f t="shared" si="5"/>
        <v>#DIV/0!</v>
      </c>
      <c r="AC14" t="e">
        <f t="shared" si="5"/>
        <v>#DIV/0!</v>
      </c>
      <c r="AD14" t="e">
        <f t="shared" si="5"/>
        <v>#DIV/0!</v>
      </c>
      <c r="AE14" t="e">
        <f t="shared" si="5"/>
        <v>#DIV/0!</v>
      </c>
      <c r="AF14" t="e">
        <f t="shared" si="5"/>
        <v>#DIV/0!</v>
      </c>
      <c r="AG14" t="e">
        <f t="shared" si="5"/>
        <v>#DIV/0!</v>
      </c>
      <c r="AH14" t="e">
        <f t="shared" si="5"/>
        <v>#DIV/0!</v>
      </c>
      <c r="AI14" t="e">
        <f t="shared" si="5"/>
        <v>#DIV/0!</v>
      </c>
      <c r="AJ14" t="e">
        <f t="shared" si="5"/>
        <v>#DIV/0!</v>
      </c>
      <c r="AK14" t="e">
        <f t="shared" si="5"/>
        <v>#DIV/0!</v>
      </c>
      <c r="AL14" t="e">
        <f t="shared" si="5"/>
        <v>#DIV/0!</v>
      </c>
      <c r="AM14" t="e">
        <f t="shared" si="5"/>
        <v>#DIV/0!</v>
      </c>
      <c r="AN14" t="e">
        <f t="shared" si="5"/>
        <v>#DIV/0!</v>
      </c>
    </row>
    <row r="15" spans="1:40" x14ac:dyDescent="0.2">
      <c r="A15" s="2" t="s">
        <v>516</v>
      </c>
      <c r="B15" s="3"/>
      <c r="C15" s="3"/>
      <c r="V15" t="str">
        <f t="shared" si="1"/>
        <v>WoodPr</v>
      </c>
      <c r="W15">
        <v>0</v>
      </c>
      <c r="X15" t="e">
        <f t="shared" si="2"/>
        <v>#DIV/0!</v>
      </c>
      <c r="Y15" t="e">
        <f t="shared" si="5"/>
        <v>#DIV/0!</v>
      </c>
      <c r="Z15" t="e">
        <f t="shared" si="5"/>
        <v>#DIV/0!</v>
      </c>
      <c r="AA15" t="e">
        <f t="shared" si="5"/>
        <v>#DIV/0!</v>
      </c>
      <c r="AB15" t="e">
        <f t="shared" si="5"/>
        <v>#DIV/0!</v>
      </c>
      <c r="AC15" t="e">
        <f t="shared" si="5"/>
        <v>#DIV/0!</v>
      </c>
      <c r="AD15" t="e">
        <f t="shared" si="5"/>
        <v>#DIV/0!</v>
      </c>
      <c r="AE15" t="e">
        <f t="shared" si="5"/>
        <v>#DIV/0!</v>
      </c>
      <c r="AF15" t="e">
        <f t="shared" si="5"/>
        <v>#DIV/0!</v>
      </c>
      <c r="AG15" t="e">
        <f t="shared" si="5"/>
        <v>#DIV/0!</v>
      </c>
      <c r="AH15" t="e">
        <f t="shared" si="5"/>
        <v>#DIV/0!</v>
      </c>
      <c r="AI15" t="e">
        <f t="shared" si="5"/>
        <v>#DIV/0!</v>
      </c>
      <c r="AJ15" t="e">
        <f t="shared" si="5"/>
        <v>#DIV/0!</v>
      </c>
      <c r="AK15" t="e">
        <f t="shared" si="5"/>
        <v>#DIV/0!</v>
      </c>
      <c r="AL15" t="e">
        <f t="shared" si="5"/>
        <v>#DIV/0!</v>
      </c>
      <c r="AM15" t="e">
        <f t="shared" si="5"/>
        <v>#DIV/0!</v>
      </c>
      <c r="AN15" t="e">
        <f t="shared" si="5"/>
        <v>#DIV/0!</v>
      </c>
    </row>
    <row r="16" spans="1:40" x14ac:dyDescent="0.2">
      <c r="A16" s="2" t="s">
        <v>517</v>
      </c>
      <c r="B16" s="3"/>
      <c r="C16" s="3"/>
      <c r="V16" t="str">
        <f t="shared" si="1"/>
        <v>PaperPr</v>
      </c>
      <c r="W16">
        <v>0</v>
      </c>
      <c r="X16" t="e">
        <f t="shared" si="2"/>
        <v>#DIV/0!</v>
      </c>
      <c r="Y16" t="e">
        <f t="shared" si="5"/>
        <v>#DIV/0!</v>
      </c>
      <c r="Z16" t="e">
        <f t="shared" si="5"/>
        <v>#DIV/0!</v>
      </c>
      <c r="AA16" t="e">
        <f t="shared" si="5"/>
        <v>#DIV/0!</v>
      </c>
      <c r="AB16" t="e">
        <f t="shared" si="5"/>
        <v>#DIV/0!</v>
      </c>
      <c r="AC16" t="e">
        <f t="shared" si="5"/>
        <v>#DIV/0!</v>
      </c>
      <c r="AD16" t="e">
        <f t="shared" si="5"/>
        <v>#DIV/0!</v>
      </c>
      <c r="AE16" t="e">
        <f t="shared" si="5"/>
        <v>#DIV/0!</v>
      </c>
      <c r="AF16" t="e">
        <f t="shared" si="5"/>
        <v>#DIV/0!</v>
      </c>
      <c r="AG16" t="e">
        <f t="shared" si="5"/>
        <v>#DIV/0!</v>
      </c>
      <c r="AH16" t="e">
        <f t="shared" si="5"/>
        <v>#DIV/0!</v>
      </c>
      <c r="AI16" t="e">
        <f t="shared" si="5"/>
        <v>#DIV/0!</v>
      </c>
      <c r="AJ16" t="e">
        <f t="shared" si="5"/>
        <v>#DIV/0!</v>
      </c>
      <c r="AK16" t="e">
        <f t="shared" si="5"/>
        <v>#DIV/0!</v>
      </c>
      <c r="AL16" t="e">
        <f t="shared" si="5"/>
        <v>#DIV/0!</v>
      </c>
      <c r="AM16" t="e">
        <f t="shared" si="5"/>
        <v>#DIV/0!</v>
      </c>
      <c r="AN16" t="e">
        <f t="shared" si="5"/>
        <v>#DIV/0!</v>
      </c>
    </row>
    <row r="17" spans="1:40" x14ac:dyDescent="0.2">
      <c r="A17" s="2" t="s">
        <v>518</v>
      </c>
      <c r="B17" s="3"/>
      <c r="C17" s="3"/>
      <c r="V17" t="str">
        <f t="shared" si="1"/>
        <v>RefPet</v>
      </c>
      <c r="W17">
        <v>0</v>
      </c>
      <c r="X17" t="e">
        <f t="shared" si="2"/>
        <v>#DIV/0!</v>
      </c>
      <c r="Y17" t="e">
        <f t="shared" si="5"/>
        <v>#DIV/0!</v>
      </c>
      <c r="Z17" t="e">
        <f t="shared" si="5"/>
        <v>#DIV/0!</v>
      </c>
      <c r="AA17" t="e">
        <f t="shared" si="5"/>
        <v>#DIV/0!</v>
      </c>
      <c r="AB17" t="e">
        <f t="shared" si="5"/>
        <v>#DIV/0!</v>
      </c>
      <c r="AC17" t="e">
        <f t="shared" si="5"/>
        <v>#DIV/0!</v>
      </c>
      <c r="AD17" t="e">
        <f t="shared" si="5"/>
        <v>#DIV/0!</v>
      </c>
      <c r="AE17" t="e">
        <f t="shared" si="5"/>
        <v>#DIV/0!</v>
      </c>
      <c r="AF17" t="e">
        <f t="shared" si="5"/>
        <v>#DIV/0!</v>
      </c>
      <c r="AG17" t="e">
        <f t="shared" si="5"/>
        <v>#DIV/0!</v>
      </c>
      <c r="AH17" t="e">
        <f t="shared" si="5"/>
        <v>#DIV/0!</v>
      </c>
      <c r="AI17" t="e">
        <f t="shared" si="5"/>
        <v>#DIV/0!</v>
      </c>
      <c r="AJ17" t="e">
        <f t="shared" si="5"/>
        <v>#DIV/0!</v>
      </c>
      <c r="AK17" t="e">
        <f t="shared" si="5"/>
        <v>#DIV/0!</v>
      </c>
      <c r="AL17" t="e">
        <f t="shared" si="5"/>
        <v>#DIV/0!</v>
      </c>
      <c r="AM17" t="e">
        <f t="shared" si="5"/>
        <v>#DIV/0!</v>
      </c>
      <c r="AN17" t="e">
        <f t="shared" si="5"/>
        <v>#DIV/0!</v>
      </c>
    </row>
    <row r="18" spans="1:40" x14ac:dyDescent="0.2">
      <c r="A18" s="2" t="s">
        <v>519</v>
      </c>
      <c r="B18" s="3"/>
      <c r="C18" s="3"/>
      <c r="V18" t="str">
        <f t="shared" si="1"/>
        <v>Chemical</v>
      </c>
      <c r="W18">
        <v>0</v>
      </c>
      <c r="X18" t="e">
        <f t="shared" si="2"/>
        <v>#DIV/0!</v>
      </c>
      <c r="Y18" t="e">
        <f t="shared" si="5"/>
        <v>#DIV/0!</v>
      </c>
      <c r="Z18" t="e">
        <f t="shared" si="5"/>
        <v>#DIV/0!</v>
      </c>
      <c r="AA18" t="e">
        <f t="shared" si="5"/>
        <v>#DIV/0!</v>
      </c>
      <c r="AB18" t="e">
        <f t="shared" si="5"/>
        <v>#DIV/0!</v>
      </c>
      <c r="AC18" t="e">
        <f t="shared" si="5"/>
        <v>#DIV/0!</v>
      </c>
      <c r="AD18" t="e">
        <f t="shared" si="5"/>
        <v>#DIV/0!</v>
      </c>
      <c r="AE18" t="e">
        <f t="shared" si="5"/>
        <v>#DIV/0!</v>
      </c>
      <c r="AF18" t="e">
        <f t="shared" si="5"/>
        <v>#DIV/0!</v>
      </c>
      <c r="AG18" t="e">
        <f t="shared" si="5"/>
        <v>#DIV/0!</v>
      </c>
      <c r="AH18" t="e">
        <f t="shared" si="5"/>
        <v>#DIV/0!</v>
      </c>
      <c r="AI18" t="e">
        <f t="shared" si="5"/>
        <v>#DIV/0!</v>
      </c>
      <c r="AJ18" t="e">
        <f t="shared" si="5"/>
        <v>#DIV/0!</v>
      </c>
      <c r="AK18" t="e">
        <f t="shared" si="5"/>
        <v>#DIV/0!</v>
      </c>
      <c r="AL18" t="e">
        <f t="shared" si="5"/>
        <v>#DIV/0!</v>
      </c>
      <c r="AM18" t="e">
        <f t="shared" si="5"/>
        <v>#DIV/0!</v>
      </c>
      <c r="AN18" t="e">
        <f t="shared" si="5"/>
        <v>#DIV/0!</v>
      </c>
    </row>
    <row r="19" spans="1:40" x14ac:dyDescent="0.2">
      <c r="A19" s="2" t="s">
        <v>520</v>
      </c>
      <c r="B19" s="3"/>
      <c r="C19" s="3"/>
      <c r="V19" t="str">
        <f t="shared" si="1"/>
        <v>NMetPr</v>
      </c>
      <c r="W19">
        <v>0</v>
      </c>
      <c r="X19" t="e">
        <f t="shared" si="2"/>
        <v>#DIV/0!</v>
      </c>
      <c r="Y19" t="e">
        <f t="shared" si="5"/>
        <v>#DIV/0!</v>
      </c>
      <c r="Z19" t="e">
        <f t="shared" si="5"/>
        <v>#DIV/0!</v>
      </c>
      <c r="AA19" t="e">
        <f t="shared" si="5"/>
        <v>#DIV/0!</v>
      </c>
      <c r="AB19" t="e">
        <f t="shared" si="5"/>
        <v>#DIV/0!</v>
      </c>
      <c r="AC19" t="e">
        <f t="shared" si="5"/>
        <v>#DIV/0!</v>
      </c>
      <c r="AD19" t="e">
        <f t="shared" si="5"/>
        <v>#DIV/0!</v>
      </c>
      <c r="AE19" t="e">
        <f t="shared" si="5"/>
        <v>#DIV/0!</v>
      </c>
      <c r="AF19" t="e">
        <f t="shared" si="5"/>
        <v>#DIV/0!</v>
      </c>
      <c r="AG19" t="e">
        <f t="shared" si="5"/>
        <v>#DIV/0!</v>
      </c>
      <c r="AH19" t="e">
        <f t="shared" si="5"/>
        <v>#DIV/0!</v>
      </c>
      <c r="AI19" t="e">
        <f t="shared" si="5"/>
        <v>#DIV/0!</v>
      </c>
      <c r="AJ19" t="e">
        <f t="shared" si="5"/>
        <v>#DIV/0!</v>
      </c>
      <c r="AK19" t="e">
        <f t="shared" si="5"/>
        <v>#DIV/0!</v>
      </c>
      <c r="AL19" t="e">
        <f t="shared" si="5"/>
        <v>#DIV/0!</v>
      </c>
      <c r="AM19" t="e">
        <f t="shared" si="5"/>
        <v>#DIV/0!</v>
      </c>
      <c r="AN19" t="e">
        <f t="shared" si="5"/>
        <v>#DIV/0!</v>
      </c>
    </row>
    <row r="20" spans="1:40" x14ac:dyDescent="0.2">
      <c r="A20" s="2" t="s">
        <v>521</v>
      </c>
      <c r="B20" s="3"/>
      <c r="C20" s="3"/>
      <c r="V20" t="str">
        <f t="shared" si="1"/>
        <v>Metals</v>
      </c>
      <c r="W20">
        <v>0</v>
      </c>
      <c r="X20" t="e">
        <f t="shared" si="2"/>
        <v>#DIV/0!</v>
      </c>
      <c r="Y20" t="e">
        <f t="shared" si="5"/>
        <v>#DIV/0!</v>
      </c>
      <c r="Z20" t="e">
        <f t="shared" si="5"/>
        <v>#DIV/0!</v>
      </c>
      <c r="AA20" t="e">
        <f t="shared" si="5"/>
        <v>#DIV/0!</v>
      </c>
      <c r="AB20" t="e">
        <f t="shared" si="5"/>
        <v>#DIV/0!</v>
      </c>
      <c r="AC20" t="e">
        <f t="shared" si="5"/>
        <v>#DIV/0!</v>
      </c>
      <c r="AD20" t="e">
        <f t="shared" si="5"/>
        <v>#DIV/0!</v>
      </c>
      <c r="AE20" t="e">
        <f t="shared" si="5"/>
        <v>#DIV/0!</v>
      </c>
      <c r="AF20" t="e">
        <f t="shared" si="5"/>
        <v>#DIV/0!</v>
      </c>
      <c r="AG20" t="e">
        <f t="shared" si="5"/>
        <v>#DIV/0!</v>
      </c>
      <c r="AH20" t="e">
        <f t="shared" si="5"/>
        <v>#DIV/0!</v>
      </c>
      <c r="AI20" t="e">
        <f t="shared" si="5"/>
        <v>#DIV/0!</v>
      </c>
      <c r="AJ20" t="e">
        <f t="shared" si="5"/>
        <v>#DIV/0!</v>
      </c>
      <c r="AK20" t="e">
        <f t="shared" si="5"/>
        <v>#DIV/0!</v>
      </c>
      <c r="AL20" t="e">
        <f t="shared" si="5"/>
        <v>#DIV/0!</v>
      </c>
      <c r="AM20" t="e">
        <f t="shared" si="5"/>
        <v>#DIV/0!</v>
      </c>
      <c r="AN20" t="e">
        <f t="shared" si="5"/>
        <v>#DIV/0!</v>
      </c>
    </row>
    <row r="21" spans="1:40" x14ac:dyDescent="0.2">
      <c r="A21" s="2" t="s">
        <v>522</v>
      </c>
      <c r="B21" s="3"/>
      <c r="C21" s="3"/>
      <c r="V21" t="str">
        <f t="shared" si="1"/>
        <v>MetalPr</v>
      </c>
      <c r="W21">
        <v>0</v>
      </c>
      <c r="X21" t="e">
        <f t="shared" si="2"/>
        <v>#DIV/0!</v>
      </c>
      <c r="Y21" t="e">
        <f t="shared" si="5"/>
        <v>#DIV/0!</v>
      </c>
      <c r="Z21" t="e">
        <f t="shared" si="5"/>
        <v>#DIV/0!</v>
      </c>
      <c r="AA21" t="e">
        <f t="shared" si="5"/>
        <v>#DIV/0!</v>
      </c>
      <c r="AB21" t="e">
        <f t="shared" si="5"/>
        <v>#DIV/0!</v>
      </c>
      <c r="AC21" t="e">
        <f t="shared" si="5"/>
        <v>#DIV/0!</v>
      </c>
      <c r="AD21" t="e">
        <f t="shared" si="5"/>
        <v>#DIV/0!</v>
      </c>
      <c r="AE21" t="e">
        <f t="shared" si="5"/>
        <v>#DIV/0!</v>
      </c>
      <c r="AF21" t="e">
        <f t="shared" si="5"/>
        <v>#DIV/0!</v>
      </c>
      <c r="AG21" t="e">
        <f t="shared" si="5"/>
        <v>#DIV/0!</v>
      </c>
      <c r="AH21" t="e">
        <f t="shared" si="5"/>
        <v>#DIV/0!</v>
      </c>
      <c r="AI21" t="e">
        <f t="shared" si="5"/>
        <v>#DIV/0!</v>
      </c>
      <c r="AJ21" t="e">
        <f t="shared" si="5"/>
        <v>#DIV/0!</v>
      </c>
      <c r="AK21" t="e">
        <f t="shared" si="5"/>
        <v>#DIV/0!</v>
      </c>
      <c r="AL21" t="e">
        <f t="shared" si="5"/>
        <v>#DIV/0!</v>
      </c>
      <c r="AM21" t="e">
        <f t="shared" si="5"/>
        <v>#DIV/0!</v>
      </c>
      <c r="AN21" t="e">
        <f t="shared" si="5"/>
        <v>#DIV/0!</v>
      </c>
    </row>
    <row r="22" spans="1:40" x14ac:dyDescent="0.2">
      <c r="A22" s="2" t="s">
        <v>523</v>
      </c>
      <c r="B22" s="3"/>
      <c r="C22" s="3"/>
      <c r="V22" t="str">
        <f t="shared" si="1"/>
        <v>GenEqp</v>
      </c>
      <c r="W22">
        <v>0</v>
      </c>
      <c r="X22" t="e">
        <f t="shared" si="2"/>
        <v>#DIV/0!</v>
      </c>
      <c r="Y22" t="e">
        <f t="shared" si="5"/>
        <v>#DIV/0!</v>
      </c>
      <c r="Z22" t="e">
        <f t="shared" si="5"/>
        <v>#DIV/0!</v>
      </c>
      <c r="AA22" t="e">
        <f t="shared" si="5"/>
        <v>#DIV/0!</v>
      </c>
      <c r="AB22" t="e">
        <f t="shared" si="5"/>
        <v>#DIV/0!</v>
      </c>
      <c r="AC22" t="e">
        <f t="shared" si="5"/>
        <v>#DIV/0!</v>
      </c>
      <c r="AD22" t="e">
        <f t="shared" si="5"/>
        <v>#DIV/0!</v>
      </c>
      <c r="AE22" t="e">
        <f t="shared" si="5"/>
        <v>#DIV/0!</v>
      </c>
      <c r="AF22" t="e">
        <f t="shared" si="5"/>
        <v>#DIV/0!</v>
      </c>
      <c r="AG22" t="e">
        <f t="shared" si="5"/>
        <v>#DIV/0!</v>
      </c>
      <c r="AH22" t="e">
        <f t="shared" si="5"/>
        <v>#DIV/0!</v>
      </c>
      <c r="AI22" t="e">
        <f t="shared" si="5"/>
        <v>#DIV/0!</v>
      </c>
      <c r="AJ22" t="e">
        <f t="shared" si="5"/>
        <v>#DIV/0!</v>
      </c>
      <c r="AK22" t="e">
        <f t="shared" si="5"/>
        <v>#DIV/0!</v>
      </c>
      <c r="AL22" t="e">
        <f t="shared" si="5"/>
        <v>#DIV/0!</v>
      </c>
      <c r="AM22" t="e">
        <f t="shared" si="5"/>
        <v>#DIV/0!</v>
      </c>
      <c r="AN22" t="e">
        <f t="shared" si="5"/>
        <v>#DIV/0!</v>
      </c>
    </row>
    <row r="23" spans="1:40" x14ac:dyDescent="0.2">
      <c r="A23" s="2" t="s">
        <v>524</v>
      </c>
      <c r="B23" s="3"/>
      <c r="C23" s="3"/>
      <c r="V23" t="str">
        <f t="shared" si="1"/>
        <v>SpecEqp</v>
      </c>
      <c r="W23">
        <v>0</v>
      </c>
      <c r="X23" t="e">
        <f t="shared" si="2"/>
        <v>#DIV/0!</v>
      </c>
      <c r="Y23" t="e">
        <f t="shared" si="5"/>
        <v>#DIV/0!</v>
      </c>
      <c r="Z23" t="e">
        <f t="shared" si="5"/>
        <v>#DIV/0!</v>
      </c>
      <c r="AA23" t="e">
        <f t="shared" si="5"/>
        <v>#DIV/0!</v>
      </c>
      <c r="AB23" t="e">
        <f t="shared" si="5"/>
        <v>#DIV/0!</v>
      </c>
      <c r="AC23" t="e">
        <f t="shared" si="5"/>
        <v>#DIV/0!</v>
      </c>
      <c r="AD23" t="e">
        <f t="shared" si="5"/>
        <v>#DIV/0!</v>
      </c>
      <c r="AE23" t="e">
        <f t="shared" si="5"/>
        <v>#DIV/0!</v>
      </c>
      <c r="AF23" t="e">
        <f t="shared" si="5"/>
        <v>#DIV/0!</v>
      </c>
      <c r="AG23" t="e">
        <f t="shared" si="5"/>
        <v>#DIV/0!</v>
      </c>
      <c r="AH23" t="e">
        <f t="shared" si="5"/>
        <v>#DIV/0!</v>
      </c>
      <c r="AI23" t="e">
        <f t="shared" si="5"/>
        <v>#DIV/0!</v>
      </c>
      <c r="AJ23" t="e">
        <f t="shared" si="5"/>
        <v>#DIV/0!</v>
      </c>
      <c r="AK23" t="e">
        <f t="shared" si="5"/>
        <v>#DIV/0!</v>
      </c>
      <c r="AL23" t="e">
        <f t="shared" si="5"/>
        <v>#DIV/0!</v>
      </c>
      <c r="AM23" t="e">
        <f t="shared" ref="Y23:AN31" si="6">100*(R23/Q23-1)</f>
        <v>#DIV/0!</v>
      </c>
      <c r="AN23" t="e">
        <f t="shared" si="6"/>
        <v>#DIV/0!</v>
      </c>
    </row>
    <row r="24" spans="1:40" x14ac:dyDescent="0.2">
      <c r="A24" s="2" t="s">
        <v>525</v>
      </c>
      <c r="B24" s="3"/>
      <c r="C24" s="3"/>
      <c r="V24" t="str">
        <f t="shared" si="1"/>
        <v>TransEqp</v>
      </c>
      <c r="W24">
        <v>0</v>
      </c>
      <c r="X24" t="e">
        <f t="shared" si="2"/>
        <v>#DIV/0!</v>
      </c>
      <c r="Y24" t="e">
        <f t="shared" si="6"/>
        <v>#DIV/0!</v>
      </c>
      <c r="Z24" t="e">
        <f t="shared" si="6"/>
        <v>#DIV/0!</v>
      </c>
      <c r="AA24" t="e">
        <f t="shared" si="6"/>
        <v>#DIV/0!</v>
      </c>
      <c r="AB24" t="e">
        <f t="shared" si="6"/>
        <v>#DIV/0!</v>
      </c>
      <c r="AC24" t="e">
        <f t="shared" si="6"/>
        <v>#DIV/0!</v>
      </c>
      <c r="AD24" t="e">
        <f t="shared" si="6"/>
        <v>#DIV/0!</v>
      </c>
      <c r="AE24" t="e">
        <f t="shared" si="6"/>
        <v>#DIV/0!</v>
      </c>
      <c r="AF24" t="e">
        <f t="shared" si="6"/>
        <v>#DIV/0!</v>
      </c>
      <c r="AG24" t="e">
        <f t="shared" si="6"/>
        <v>#DIV/0!</v>
      </c>
      <c r="AH24" t="e">
        <f t="shared" si="6"/>
        <v>#DIV/0!</v>
      </c>
      <c r="AI24" t="e">
        <f t="shared" si="6"/>
        <v>#DIV/0!</v>
      </c>
      <c r="AJ24" t="e">
        <f t="shared" si="6"/>
        <v>#DIV/0!</v>
      </c>
      <c r="AK24" t="e">
        <f t="shared" si="6"/>
        <v>#DIV/0!</v>
      </c>
      <c r="AL24" t="e">
        <f t="shared" si="6"/>
        <v>#DIV/0!</v>
      </c>
      <c r="AM24" t="e">
        <f t="shared" si="6"/>
        <v>#DIV/0!</v>
      </c>
      <c r="AN24" t="e">
        <f t="shared" si="6"/>
        <v>#DIV/0!</v>
      </c>
    </row>
    <row r="25" spans="1:40" x14ac:dyDescent="0.2">
      <c r="A25" s="2" t="s">
        <v>526</v>
      </c>
      <c r="B25" s="3"/>
      <c r="C25" s="3"/>
      <c r="V25" t="str">
        <f t="shared" si="1"/>
        <v>ElecEqp</v>
      </c>
      <c r="W25">
        <v>0</v>
      </c>
      <c r="X25" t="e">
        <f t="shared" si="2"/>
        <v>#DIV/0!</v>
      </c>
      <c r="Y25" t="e">
        <f t="shared" si="6"/>
        <v>#DIV/0!</v>
      </c>
      <c r="Z25" t="e">
        <f t="shared" si="6"/>
        <v>#DIV/0!</v>
      </c>
      <c r="AA25" t="e">
        <f t="shared" si="6"/>
        <v>#DIV/0!</v>
      </c>
      <c r="AB25" t="e">
        <f t="shared" si="6"/>
        <v>#DIV/0!</v>
      </c>
      <c r="AC25" t="e">
        <f t="shared" si="6"/>
        <v>#DIV/0!</v>
      </c>
      <c r="AD25" t="e">
        <f t="shared" si="6"/>
        <v>#DIV/0!</v>
      </c>
      <c r="AE25" t="e">
        <f t="shared" si="6"/>
        <v>#DIV/0!</v>
      </c>
      <c r="AF25" t="e">
        <f t="shared" si="6"/>
        <v>#DIV/0!</v>
      </c>
      <c r="AG25" t="e">
        <f t="shared" si="6"/>
        <v>#DIV/0!</v>
      </c>
      <c r="AH25" t="e">
        <f t="shared" si="6"/>
        <v>#DIV/0!</v>
      </c>
      <c r="AI25" t="e">
        <f t="shared" si="6"/>
        <v>#DIV/0!</v>
      </c>
      <c r="AJ25" t="e">
        <f t="shared" si="6"/>
        <v>#DIV/0!</v>
      </c>
      <c r="AK25" t="e">
        <f t="shared" si="6"/>
        <v>#DIV/0!</v>
      </c>
      <c r="AL25" t="e">
        <f t="shared" si="6"/>
        <v>#DIV/0!</v>
      </c>
      <c r="AM25" t="e">
        <f t="shared" si="6"/>
        <v>#DIV/0!</v>
      </c>
      <c r="AN25" t="e">
        <f t="shared" si="6"/>
        <v>#DIV/0!</v>
      </c>
    </row>
    <row r="26" spans="1:40" x14ac:dyDescent="0.2">
      <c r="A26" s="2" t="s">
        <v>527</v>
      </c>
      <c r="B26" s="3"/>
      <c r="C26" s="3"/>
      <c r="V26" t="str">
        <f t="shared" si="1"/>
        <v>ICTEqp</v>
      </c>
      <c r="W26">
        <v>0</v>
      </c>
      <c r="X26" t="e">
        <f t="shared" si="2"/>
        <v>#DIV/0!</v>
      </c>
      <c r="Y26" t="e">
        <f t="shared" si="6"/>
        <v>#DIV/0!</v>
      </c>
      <c r="Z26" t="e">
        <f t="shared" si="6"/>
        <v>#DIV/0!</v>
      </c>
      <c r="AA26" t="e">
        <f t="shared" si="6"/>
        <v>#DIV/0!</v>
      </c>
      <c r="AB26" t="e">
        <f t="shared" si="6"/>
        <v>#DIV/0!</v>
      </c>
      <c r="AC26" t="e">
        <f t="shared" si="6"/>
        <v>#DIV/0!</v>
      </c>
      <c r="AD26" t="e">
        <f t="shared" si="6"/>
        <v>#DIV/0!</v>
      </c>
      <c r="AE26" t="e">
        <f t="shared" si="6"/>
        <v>#DIV/0!</v>
      </c>
      <c r="AF26" t="e">
        <f t="shared" si="6"/>
        <v>#DIV/0!</v>
      </c>
      <c r="AG26" t="e">
        <f t="shared" si="6"/>
        <v>#DIV/0!</v>
      </c>
      <c r="AH26" t="e">
        <f t="shared" si="6"/>
        <v>#DIV/0!</v>
      </c>
      <c r="AI26" t="e">
        <f t="shared" si="6"/>
        <v>#DIV/0!</v>
      </c>
      <c r="AJ26" t="e">
        <f t="shared" si="6"/>
        <v>#DIV/0!</v>
      </c>
      <c r="AK26" t="e">
        <f t="shared" si="6"/>
        <v>#DIV/0!</v>
      </c>
      <c r="AL26" t="e">
        <f t="shared" si="6"/>
        <v>#DIV/0!</v>
      </c>
      <c r="AM26" t="e">
        <f t="shared" si="6"/>
        <v>#DIV/0!</v>
      </c>
      <c r="AN26" t="e">
        <f t="shared" si="6"/>
        <v>#DIV/0!</v>
      </c>
    </row>
    <row r="27" spans="1:40" x14ac:dyDescent="0.2">
      <c r="A27" s="2" t="s">
        <v>528</v>
      </c>
      <c r="B27" s="3"/>
      <c r="C27" s="3"/>
      <c r="V27" t="str">
        <f t="shared" si="1"/>
        <v>PrecInst</v>
      </c>
      <c r="W27">
        <v>0</v>
      </c>
      <c r="X27" t="e">
        <f t="shared" si="2"/>
        <v>#DIV/0!</v>
      </c>
      <c r="Y27" t="e">
        <f t="shared" si="6"/>
        <v>#DIV/0!</v>
      </c>
      <c r="Z27" t="e">
        <f t="shared" si="6"/>
        <v>#DIV/0!</v>
      </c>
      <c r="AA27" t="e">
        <f t="shared" si="6"/>
        <v>#DIV/0!</v>
      </c>
      <c r="AB27" t="e">
        <f t="shared" si="6"/>
        <v>#DIV/0!</v>
      </c>
      <c r="AC27" t="e">
        <f t="shared" si="6"/>
        <v>#DIV/0!</v>
      </c>
      <c r="AD27" t="e">
        <f t="shared" si="6"/>
        <v>#DIV/0!</v>
      </c>
      <c r="AE27" t="e">
        <f t="shared" si="6"/>
        <v>#DIV/0!</v>
      </c>
      <c r="AF27" t="e">
        <f t="shared" si="6"/>
        <v>#DIV/0!</v>
      </c>
      <c r="AG27" t="e">
        <f t="shared" si="6"/>
        <v>#DIV/0!</v>
      </c>
      <c r="AH27" t="e">
        <f t="shared" si="6"/>
        <v>#DIV/0!</v>
      </c>
      <c r="AI27" t="e">
        <f t="shared" si="6"/>
        <v>#DIV/0!</v>
      </c>
      <c r="AJ27" t="e">
        <f t="shared" si="6"/>
        <v>#DIV/0!</v>
      </c>
      <c r="AK27" t="e">
        <f t="shared" si="6"/>
        <v>#DIV/0!</v>
      </c>
      <c r="AL27" t="e">
        <f t="shared" si="6"/>
        <v>#DIV/0!</v>
      </c>
      <c r="AM27" t="e">
        <f t="shared" si="6"/>
        <v>#DIV/0!</v>
      </c>
      <c r="AN27" t="e">
        <f t="shared" si="6"/>
        <v>#DIV/0!</v>
      </c>
    </row>
    <row r="28" spans="1:40" x14ac:dyDescent="0.2">
      <c r="A28" s="2" t="s">
        <v>529</v>
      </c>
      <c r="B28" s="3"/>
      <c r="C28" s="3"/>
      <c r="V28" t="str">
        <f t="shared" si="1"/>
        <v>OthMfg</v>
      </c>
      <c r="W28">
        <v>0</v>
      </c>
      <c r="X28" t="e">
        <f t="shared" si="2"/>
        <v>#DIV/0!</v>
      </c>
      <c r="Y28" t="e">
        <f t="shared" si="6"/>
        <v>#DIV/0!</v>
      </c>
      <c r="Z28" t="e">
        <f t="shared" si="6"/>
        <v>#DIV/0!</v>
      </c>
      <c r="AA28" t="e">
        <f t="shared" si="6"/>
        <v>#DIV/0!</v>
      </c>
      <c r="AB28" t="e">
        <f t="shared" si="6"/>
        <v>#DIV/0!</v>
      </c>
      <c r="AC28" t="e">
        <f t="shared" si="6"/>
        <v>#DIV/0!</v>
      </c>
      <c r="AD28" t="e">
        <f t="shared" si="6"/>
        <v>#DIV/0!</v>
      </c>
      <c r="AE28" t="e">
        <f t="shared" si="6"/>
        <v>#DIV/0!</v>
      </c>
      <c r="AF28" t="e">
        <f t="shared" si="6"/>
        <v>#DIV/0!</v>
      </c>
      <c r="AG28" t="e">
        <f t="shared" si="6"/>
        <v>#DIV/0!</v>
      </c>
      <c r="AH28" t="e">
        <f t="shared" si="6"/>
        <v>#DIV/0!</v>
      </c>
      <c r="AI28" t="e">
        <f t="shared" si="6"/>
        <v>#DIV/0!</v>
      </c>
      <c r="AJ28" t="e">
        <f t="shared" si="6"/>
        <v>#DIV/0!</v>
      </c>
      <c r="AK28" t="e">
        <f t="shared" si="6"/>
        <v>#DIV/0!</v>
      </c>
      <c r="AL28" t="e">
        <f t="shared" si="6"/>
        <v>#DIV/0!</v>
      </c>
      <c r="AM28" t="e">
        <f t="shared" si="6"/>
        <v>#DIV/0!</v>
      </c>
      <c r="AN28" t="e">
        <f t="shared" si="6"/>
        <v>#DIV/0!</v>
      </c>
    </row>
    <row r="29" spans="1:40" x14ac:dyDescent="0.2">
      <c r="A29" s="2" t="s">
        <v>530</v>
      </c>
      <c r="B29" s="3"/>
      <c r="C29" s="3"/>
      <c r="V29" t="str">
        <f t="shared" si="1"/>
        <v>Waste</v>
      </c>
      <c r="W29">
        <v>0</v>
      </c>
      <c r="X29" t="e">
        <f t="shared" si="2"/>
        <v>#DIV/0!</v>
      </c>
      <c r="Y29" t="e">
        <f t="shared" si="6"/>
        <v>#DIV/0!</v>
      </c>
      <c r="Z29" t="e">
        <f t="shared" si="6"/>
        <v>#DIV/0!</v>
      </c>
      <c r="AA29" t="e">
        <f t="shared" si="6"/>
        <v>#DIV/0!</v>
      </c>
      <c r="AB29" t="e">
        <f t="shared" si="6"/>
        <v>#DIV/0!</v>
      </c>
      <c r="AC29" t="e">
        <f t="shared" si="6"/>
        <v>#DIV/0!</v>
      </c>
      <c r="AD29" t="e">
        <f t="shared" si="6"/>
        <v>#DIV/0!</v>
      </c>
      <c r="AE29" t="e">
        <f t="shared" si="6"/>
        <v>#DIV/0!</v>
      </c>
      <c r="AF29" t="e">
        <f t="shared" si="6"/>
        <v>#DIV/0!</v>
      </c>
      <c r="AG29" t="e">
        <f t="shared" si="6"/>
        <v>#DIV/0!</v>
      </c>
      <c r="AH29" t="e">
        <f t="shared" si="6"/>
        <v>#DIV/0!</v>
      </c>
      <c r="AI29" t="e">
        <f t="shared" si="6"/>
        <v>#DIV/0!</v>
      </c>
      <c r="AJ29" t="e">
        <f t="shared" si="6"/>
        <v>#DIV/0!</v>
      </c>
      <c r="AK29" t="e">
        <f t="shared" si="6"/>
        <v>#DIV/0!</v>
      </c>
      <c r="AL29" t="e">
        <f t="shared" si="6"/>
        <v>#DIV/0!</v>
      </c>
      <c r="AM29" t="e">
        <f t="shared" si="6"/>
        <v>#DIV/0!</v>
      </c>
      <c r="AN29" t="e">
        <f t="shared" si="6"/>
        <v>#DIV/0!</v>
      </c>
    </row>
    <row r="30" spans="1:40" x14ac:dyDescent="0.2">
      <c r="A30" s="2" t="s">
        <v>531</v>
      </c>
      <c r="B30" s="3"/>
      <c r="C30" s="3"/>
      <c r="V30" t="str">
        <f t="shared" si="1"/>
        <v>MachRep</v>
      </c>
      <c r="W30">
        <v>0</v>
      </c>
      <c r="X30" t="e">
        <f t="shared" si="2"/>
        <v>#DIV/0!</v>
      </c>
      <c r="Y30" t="e">
        <f t="shared" si="6"/>
        <v>#DIV/0!</v>
      </c>
      <c r="Z30" t="e">
        <f t="shared" si="6"/>
        <v>#DIV/0!</v>
      </c>
      <c r="AA30" t="e">
        <f t="shared" si="6"/>
        <v>#DIV/0!</v>
      </c>
      <c r="AB30" t="e">
        <f t="shared" si="6"/>
        <v>#DIV/0!</v>
      </c>
      <c r="AC30" t="e">
        <f t="shared" si="6"/>
        <v>#DIV/0!</v>
      </c>
      <c r="AD30" t="e">
        <f t="shared" si="6"/>
        <v>#DIV/0!</v>
      </c>
      <c r="AE30" t="e">
        <f t="shared" si="6"/>
        <v>#DIV/0!</v>
      </c>
      <c r="AF30" t="e">
        <f t="shared" si="6"/>
        <v>#DIV/0!</v>
      </c>
      <c r="AG30" t="e">
        <f t="shared" si="6"/>
        <v>#DIV/0!</v>
      </c>
      <c r="AH30" t="e">
        <f t="shared" si="6"/>
        <v>#DIV/0!</v>
      </c>
      <c r="AI30" t="e">
        <f t="shared" si="6"/>
        <v>#DIV/0!</v>
      </c>
      <c r="AJ30" t="e">
        <f t="shared" si="6"/>
        <v>#DIV/0!</v>
      </c>
      <c r="AK30" t="e">
        <f t="shared" si="6"/>
        <v>#DIV/0!</v>
      </c>
      <c r="AL30" t="e">
        <f t="shared" si="6"/>
        <v>#DIV/0!</v>
      </c>
      <c r="AM30" t="e">
        <f t="shared" si="6"/>
        <v>#DIV/0!</v>
      </c>
      <c r="AN30" t="e">
        <f t="shared" si="6"/>
        <v>#DIV/0!</v>
      </c>
    </row>
    <row r="31" spans="1:40" x14ac:dyDescent="0.2">
      <c r="A31" s="2" t="s">
        <v>532</v>
      </c>
      <c r="B31" s="3"/>
      <c r="C31" s="3"/>
      <c r="V31" t="str">
        <f t="shared" si="1"/>
        <v>ElecDist</v>
      </c>
      <c r="W31">
        <v>0</v>
      </c>
      <c r="X31" t="e">
        <f t="shared" si="2"/>
        <v>#DIV/0!</v>
      </c>
      <c r="Y31" t="e">
        <f t="shared" si="6"/>
        <v>#DIV/0!</v>
      </c>
      <c r="Z31" t="e">
        <f t="shared" si="6"/>
        <v>#DIV/0!</v>
      </c>
      <c r="AA31" t="e">
        <f t="shared" si="6"/>
        <v>#DIV/0!</v>
      </c>
      <c r="AB31" t="e">
        <f t="shared" si="6"/>
        <v>#DIV/0!</v>
      </c>
      <c r="AC31" t="e">
        <f t="shared" si="6"/>
        <v>#DIV/0!</v>
      </c>
      <c r="AD31" t="e">
        <f t="shared" si="6"/>
        <v>#DIV/0!</v>
      </c>
      <c r="AE31" t="e">
        <f t="shared" si="6"/>
        <v>#DIV/0!</v>
      </c>
      <c r="AF31" t="e">
        <f t="shared" si="6"/>
        <v>#DIV/0!</v>
      </c>
      <c r="AG31" t="e">
        <f t="shared" si="6"/>
        <v>#DIV/0!</v>
      </c>
      <c r="AH31" t="e">
        <f t="shared" si="6"/>
        <v>#DIV/0!</v>
      </c>
      <c r="AI31" t="e">
        <f t="shared" si="6"/>
        <v>#DIV/0!</v>
      </c>
      <c r="AJ31" t="e">
        <f t="shared" si="6"/>
        <v>#DIV/0!</v>
      </c>
      <c r="AK31" t="e">
        <f t="shared" si="6"/>
        <v>#DIV/0!</v>
      </c>
      <c r="AL31" t="e">
        <f t="shared" si="6"/>
        <v>#DIV/0!</v>
      </c>
      <c r="AM31" t="e">
        <f t="shared" si="6"/>
        <v>#DIV/0!</v>
      </c>
      <c r="AN31" t="e">
        <f t="shared" si="6"/>
        <v>#DIV/0!</v>
      </c>
    </row>
    <row r="32" spans="1:40" x14ac:dyDescent="0.2">
      <c r="A32" s="2" t="s">
        <v>533</v>
      </c>
      <c r="B32" s="3"/>
      <c r="C32" s="3"/>
    </row>
    <row r="33" spans="1:29" x14ac:dyDescent="0.2">
      <c r="A33" s="2" t="s">
        <v>534</v>
      </c>
      <c r="B33" s="3"/>
      <c r="C33" s="3"/>
    </row>
    <row r="34" spans="1:29" x14ac:dyDescent="0.2">
      <c r="A34" s="2" t="s">
        <v>535</v>
      </c>
      <c r="B34" s="3"/>
      <c r="C34" s="3"/>
      <c r="W34" s="13">
        <f>D34</f>
        <v>0</v>
      </c>
      <c r="X34" s="13">
        <f t="shared" ref="X34:AC34" si="7">E34</f>
        <v>0</v>
      </c>
      <c r="Y34" s="13">
        <f t="shared" si="7"/>
        <v>0</v>
      </c>
      <c r="Z34" s="13">
        <f t="shared" si="7"/>
        <v>0</v>
      </c>
      <c r="AA34" s="13">
        <f t="shared" si="7"/>
        <v>0</v>
      </c>
      <c r="AB34" s="13">
        <f t="shared" si="7"/>
        <v>0</v>
      </c>
      <c r="AC34" s="13">
        <f t="shared" si="7"/>
        <v>0</v>
      </c>
    </row>
    <row r="35" spans="1:29" x14ac:dyDescent="0.2">
      <c r="A35" s="2" t="s">
        <v>536</v>
      </c>
      <c r="B35" s="3"/>
      <c r="C35" s="3"/>
      <c r="V35" t="str">
        <f>A35</f>
        <v>WhRetTr</v>
      </c>
      <c r="W35" s="10">
        <v>0</v>
      </c>
      <c r="X35" s="10" t="e">
        <f>100*(E35/D35-1)</f>
        <v>#DIV/0!</v>
      </c>
      <c r="Y35" s="10" t="e">
        <f t="shared" ref="Y35:AC50" si="8">100*(F35/E35-1)</f>
        <v>#DIV/0!</v>
      </c>
      <c r="Z35" s="10" t="e">
        <f t="shared" si="8"/>
        <v>#DIV/0!</v>
      </c>
      <c r="AA35" s="10" t="e">
        <f t="shared" si="8"/>
        <v>#DIV/0!</v>
      </c>
      <c r="AB35" s="10" t="e">
        <f t="shared" si="8"/>
        <v>#DIV/0!</v>
      </c>
      <c r="AC35" s="10" t="e">
        <f t="shared" si="8"/>
        <v>#DIV/0!</v>
      </c>
    </row>
    <row r="36" spans="1:29" x14ac:dyDescent="0.2">
      <c r="A36" s="2" t="s">
        <v>537</v>
      </c>
      <c r="B36" s="3"/>
      <c r="C36" s="3"/>
      <c r="V36" t="str">
        <f t="shared" ref="V36:V60" si="9">A36</f>
        <v>TranspSrv</v>
      </c>
      <c r="W36" s="10">
        <v>0</v>
      </c>
      <c r="X36" s="10" t="e">
        <f t="shared" ref="X36:X59" si="10">100*(E36/D36-1)</f>
        <v>#DIV/0!</v>
      </c>
      <c r="Y36" s="10" t="e">
        <f t="shared" si="8"/>
        <v>#DIV/0!</v>
      </c>
      <c r="Z36" s="10" t="e">
        <f t="shared" si="8"/>
        <v>#DIV/0!</v>
      </c>
      <c r="AA36" s="10" t="e">
        <f t="shared" si="8"/>
        <v>#DIV/0!</v>
      </c>
      <c r="AB36" s="10" t="e">
        <f t="shared" si="8"/>
        <v>#DIV/0!</v>
      </c>
      <c r="AC36" s="10" t="e">
        <f t="shared" si="8"/>
        <v>#DIV/0!</v>
      </c>
    </row>
    <row r="37" spans="1:29" x14ac:dyDescent="0.2">
      <c r="A37" s="2" t="s">
        <v>538</v>
      </c>
      <c r="B37" s="3"/>
      <c r="C37" s="3"/>
      <c r="V37" t="str">
        <f t="shared" si="9"/>
        <v>HotRest</v>
      </c>
      <c r="W37" s="10">
        <v>0</v>
      </c>
      <c r="X37" s="10" t="e">
        <f t="shared" si="10"/>
        <v>#DIV/0!</v>
      </c>
      <c r="Y37" s="10" t="e">
        <f t="shared" si="8"/>
        <v>#DIV/0!</v>
      </c>
      <c r="Z37" s="10" t="e">
        <f t="shared" si="8"/>
        <v>#DIV/0!</v>
      </c>
      <c r="AA37" s="10" t="e">
        <f t="shared" si="8"/>
        <v>#DIV/0!</v>
      </c>
      <c r="AB37" s="10" t="e">
        <f t="shared" si="8"/>
        <v>#DIV/0!</v>
      </c>
      <c r="AC37" s="10" t="e">
        <f t="shared" si="8"/>
        <v>#DIV/0!</v>
      </c>
    </row>
    <row r="38" spans="1:29" x14ac:dyDescent="0.2">
      <c r="A38" s="2" t="s">
        <v>539</v>
      </c>
      <c r="B38" s="3"/>
      <c r="C38" s="3"/>
      <c r="V38" t="str">
        <f t="shared" si="9"/>
        <v>ICTServ</v>
      </c>
      <c r="W38" s="10">
        <v>0</v>
      </c>
      <c r="X38" s="10" t="e">
        <f t="shared" si="10"/>
        <v>#DIV/0!</v>
      </c>
      <c r="Y38" s="10" t="e">
        <f t="shared" si="8"/>
        <v>#DIV/0!</v>
      </c>
      <c r="Z38" s="10" t="e">
        <f t="shared" si="8"/>
        <v>#DIV/0!</v>
      </c>
      <c r="AA38" s="10" t="e">
        <f t="shared" si="8"/>
        <v>#DIV/0!</v>
      </c>
      <c r="AB38" s="10" t="e">
        <f t="shared" si="8"/>
        <v>#DIV/0!</v>
      </c>
      <c r="AC38" s="10" t="e">
        <f t="shared" si="8"/>
        <v>#DIV/0!</v>
      </c>
    </row>
    <row r="39" spans="1:29" x14ac:dyDescent="0.2">
      <c r="A39" s="2" t="s">
        <v>540</v>
      </c>
      <c r="B39" s="3"/>
      <c r="C39" s="3"/>
      <c r="V39" t="str">
        <f t="shared" si="9"/>
        <v>Finance</v>
      </c>
      <c r="W39" s="10">
        <v>0</v>
      </c>
      <c r="X39" s="10" t="e">
        <f t="shared" si="10"/>
        <v>#DIV/0!</v>
      </c>
      <c r="Y39" s="10" t="e">
        <f t="shared" si="8"/>
        <v>#DIV/0!</v>
      </c>
      <c r="Z39" s="10" t="e">
        <f t="shared" si="8"/>
        <v>#DIV/0!</v>
      </c>
      <c r="AA39" s="10" t="e">
        <f t="shared" si="8"/>
        <v>#DIV/0!</v>
      </c>
      <c r="AB39" s="10" t="e">
        <f t="shared" si="8"/>
        <v>#DIV/0!</v>
      </c>
      <c r="AC39" s="10" t="e">
        <f t="shared" si="8"/>
        <v>#DIV/0!</v>
      </c>
    </row>
    <row r="40" spans="1:29" x14ac:dyDescent="0.2">
      <c r="A40" s="2" t="s">
        <v>541</v>
      </c>
      <c r="B40" s="3"/>
      <c r="C40" s="3"/>
      <c r="V40" t="str">
        <f t="shared" si="9"/>
        <v>RealEst</v>
      </c>
      <c r="W40" s="10">
        <v>0</v>
      </c>
      <c r="X40" s="10" t="e">
        <f t="shared" si="10"/>
        <v>#DIV/0!</v>
      </c>
      <c r="Y40" s="10" t="e">
        <f t="shared" si="8"/>
        <v>#DIV/0!</v>
      </c>
      <c r="Z40" s="10" t="e">
        <f t="shared" si="8"/>
        <v>#DIV/0!</v>
      </c>
      <c r="AA40" s="10" t="e">
        <f t="shared" si="8"/>
        <v>#DIV/0!</v>
      </c>
      <c r="AB40" s="10" t="e">
        <f t="shared" si="8"/>
        <v>#DIV/0!</v>
      </c>
      <c r="AC40" s="10" t="e">
        <f t="shared" si="8"/>
        <v>#DIV/0!</v>
      </c>
    </row>
    <row r="41" spans="1:29" x14ac:dyDescent="0.2">
      <c r="A41" s="2" t="s">
        <v>542</v>
      </c>
      <c r="B41" s="3"/>
      <c r="C41" s="3"/>
      <c r="V41" t="str">
        <f t="shared" si="9"/>
        <v>BusServe</v>
      </c>
      <c r="W41" s="10">
        <v>0</v>
      </c>
      <c r="X41" s="10" t="e">
        <f t="shared" si="10"/>
        <v>#DIV/0!</v>
      </c>
      <c r="Y41" s="10" t="e">
        <f t="shared" si="8"/>
        <v>#DIV/0!</v>
      </c>
      <c r="Z41" s="10" t="e">
        <f t="shared" si="8"/>
        <v>#DIV/0!</v>
      </c>
      <c r="AA41" s="10" t="e">
        <f t="shared" si="8"/>
        <v>#DIV/0!</v>
      </c>
      <c r="AB41" s="10" t="e">
        <f t="shared" si="8"/>
        <v>#DIV/0!</v>
      </c>
      <c r="AC41" s="10" t="e">
        <f t="shared" si="8"/>
        <v>#DIV/0!</v>
      </c>
    </row>
    <row r="42" spans="1:29" x14ac:dyDescent="0.2">
      <c r="A42" s="2" t="s">
        <v>543</v>
      </c>
      <c r="B42" s="3"/>
      <c r="C42" s="3"/>
      <c r="V42" t="str">
        <f t="shared" si="9"/>
        <v>ResTech</v>
      </c>
      <c r="W42" s="10">
        <v>0</v>
      </c>
      <c r="X42" s="10" t="e">
        <f t="shared" si="10"/>
        <v>#DIV/0!</v>
      </c>
      <c r="Y42" s="10" t="e">
        <f t="shared" si="8"/>
        <v>#DIV/0!</v>
      </c>
      <c r="Z42" s="10" t="e">
        <f t="shared" si="8"/>
        <v>#DIV/0!</v>
      </c>
      <c r="AA42" s="10" t="e">
        <f t="shared" si="8"/>
        <v>#DIV/0!</v>
      </c>
      <c r="AB42" s="10" t="e">
        <f t="shared" si="8"/>
        <v>#DIV/0!</v>
      </c>
      <c r="AC42" s="10" t="e">
        <f t="shared" si="8"/>
        <v>#DIV/0!</v>
      </c>
    </row>
    <row r="43" spans="1:29" x14ac:dyDescent="0.2">
      <c r="A43" s="2" t="s">
        <v>544</v>
      </c>
      <c r="B43" s="3"/>
      <c r="C43" s="3"/>
      <c r="V43" t="str">
        <f t="shared" si="9"/>
        <v>EnvServ</v>
      </c>
      <c r="W43" s="10">
        <v>0</v>
      </c>
      <c r="X43" s="10" t="e">
        <f t="shared" si="10"/>
        <v>#DIV/0!</v>
      </c>
      <c r="Y43" s="10" t="e">
        <f t="shared" si="8"/>
        <v>#DIV/0!</v>
      </c>
      <c r="Z43" s="10" t="e">
        <f t="shared" si="8"/>
        <v>#DIV/0!</v>
      </c>
      <c r="AA43" s="10" t="e">
        <f t="shared" si="8"/>
        <v>#DIV/0!</v>
      </c>
      <c r="AB43" s="10" t="e">
        <f t="shared" si="8"/>
        <v>#DIV/0!</v>
      </c>
      <c r="AC43" s="10" t="e">
        <f t="shared" si="8"/>
        <v>#DIV/0!</v>
      </c>
    </row>
    <row r="44" spans="1:29" x14ac:dyDescent="0.2">
      <c r="A44" s="2" t="s">
        <v>545</v>
      </c>
      <c r="B44" s="3"/>
      <c r="C44" s="3"/>
      <c r="V44" t="str">
        <f t="shared" si="9"/>
        <v>ResServ</v>
      </c>
      <c r="W44" s="10">
        <v>0</v>
      </c>
      <c r="X44" s="10" t="e">
        <f t="shared" si="10"/>
        <v>#DIV/0!</v>
      </c>
      <c r="Y44" s="10" t="e">
        <f t="shared" si="8"/>
        <v>#DIV/0!</v>
      </c>
      <c r="Z44" s="10" t="e">
        <f t="shared" si="8"/>
        <v>#DIV/0!</v>
      </c>
      <c r="AA44" s="10" t="e">
        <f t="shared" si="8"/>
        <v>#DIV/0!</v>
      </c>
      <c r="AB44" s="10" t="e">
        <f t="shared" si="8"/>
        <v>#DIV/0!</v>
      </c>
      <c r="AC44" s="10" t="e">
        <f t="shared" si="8"/>
        <v>#DIV/0!</v>
      </c>
    </row>
    <row r="45" spans="1:29" x14ac:dyDescent="0.2">
      <c r="A45" s="2" t="s">
        <v>546</v>
      </c>
      <c r="B45" s="3"/>
      <c r="C45" s="3"/>
      <c r="V45" t="str">
        <f t="shared" si="9"/>
        <v>Education</v>
      </c>
      <c r="W45" s="10">
        <v>0</v>
      </c>
      <c r="X45" s="10" t="e">
        <f t="shared" si="10"/>
        <v>#DIV/0!</v>
      </c>
      <c r="Y45" s="10" t="e">
        <f t="shared" si="8"/>
        <v>#DIV/0!</v>
      </c>
      <c r="Z45" s="10" t="e">
        <f t="shared" si="8"/>
        <v>#DIV/0!</v>
      </c>
      <c r="AA45" s="10" t="e">
        <f t="shared" si="8"/>
        <v>#DIV/0!</v>
      </c>
      <c r="AB45" s="10" t="e">
        <f t="shared" si="8"/>
        <v>#DIV/0!</v>
      </c>
      <c r="AC45" s="10" t="e">
        <f t="shared" si="8"/>
        <v>#DIV/0!</v>
      </c>
    </row>
    <row r="46" spans="1:29" x14ac:dyDescent="0.2">
      <c r="A46" s="2" t="s">
        <v>547</v>
      </c>
      <c r="B46" s="3"/>
      <c r="C46" s="3"/>
      <c r="V46" t="str">
        <f t="shared" si="9"/>
        <v>Health</v>
      </c>
      <c r="W46" s="10">
        <v>0</v>
      </c>
      <c r="X46" s="10" t="e">
        <f t="shared" si="10"/>
        <v>#DIV/0!</v>
      </c>
      <c r="Y46" s="10" t="e">
        <f t="shared" si="8"/>
        <v>#DIV/0!</v>
      </c>
      <c r="Z46" s="10" t="e">
        <f t="shared" si="8"/>
        <v>#DIV/0!</v>
      </c>
      <c r="AA46" s="10" t="e">
        <f t="shared" si="8"/>
        <v>#DIV/0!</v>
      </c>
      <c r="AB46" s="10" t="e">
        <f t="shared" si="8"/>
        <v>#DIV/0!</v>
      </c>
      <c r="AC46" s="10" t="e">
        <f t="shared" si="8"/>
        <v>#DIV/0!</v>
      </c>
    </row>
    <row r="47" spans="1:29" x14ac:dyDescent="0.2">
      <c r="A47" s="2" t="s">
        <v>548</v>
      </c>
      <c r="B47" s="3"/>
      <c r="C47" s="3"/>
      <c r="V47" t="str">
        <f t="shared" si="9"/>
        <v>RecEnt</v>
      </c>
      <c r="W47" s="10">
        <v>0</v>
      </c>
      <c r="X47" s="16" t="e">
        <f t="array" ref="X47">SUM(C35:C46*X35:X46)/E47</f>
        <v>#DIV/0!</v>
      </c>
      <c r="Y47" s="16" t="e">
        <f t="array" ref="Y47">SUM(D35:D46*Y35:Y46)/F47</f>
        <v>#DIV/0!</v>
      </c>
      <c r="Z47" s="16" t="e">
        <f t="array" ref="Z47">SUM(E35:E46*Z35:Z46)/G47</f>
        <v>#DIV/0!</v>
      </c>
      <c r="AA47" s="16" t="e">
        <f t="array" ref="AA47">SUM(F35:F46*AA35:AA46)/H47</f>
        <v>#DIV/0!</v>
      </c>
      <c r="AB47" s="16" t="e">
        <f t="array" ref="AB47">SUM(G35:G46*AB35:AB46)/I47</f>
        <v>#DIV/0!</v>
      </c>
      <c r="AC47" s="16" t="e">
        <f t="array" ref="AC47">SUM(H35:H46*AC35:AC46)/J47</f>
        <v>#DIV/0!</v>
      </c>
    </row>
    <row r="48" spans="1:29" x14ac:dyDescent="0.2">
      <c r="A48" s="2" t="s">
        <v>549</v>
      </c>
      <c r="B48" s="3"/>
      <c r="C48" s="3"/>
      <c r="V48" t="str">
        <f t="shared" si="9"/>
        <v>PubAdm</v>
      </c>
      <c r="W48" s="10">
        <v>0</v>
      </c>
      <c r="X48" s="10" t="e">
        <f t="shared" si="10"/>
        <v>#DIV/0!</v>
      </c>
      <c r="Y48" s="10" t="e">
        <f t="shared" si="8"/>
        <v>#DIV/0!</v>
      </c>
      <c r="Z48" s="10" t="e">
        <f t="shared" si="8"/>
        <v>#DIV/0!</v>
      </c>
      <c r="AA48" s="10" t="e">
        <f t="shared" si="8"/>
        <v>#DIV/0!</v>
      </c>
      <c r="AB48" s="10" t="e">
        <f t="shared" si="8"/>
        <v>#DIV/0!</v>
      </c>
      <c r="AC48" s="10" t="e">
        <f t="shared" si="8"/>
        <v>#DIV/0!</v>
      </c>
    </row>
    <row r="49" spans="1:29" x14ac:dyDescent="0.2">
      <c r="A49" s="2" t="s">
        <v>65</v>
      </c>
      <c r="B49" s="3"/>
      <c r="C49" s="3"/>
      <c r="V49" t="str">
        <f t="shared" si="9"/>
        <v>Grand Total</v>
      </c>
      <c r="W49" s="10">
        <v>0</v>
      </c>
      <c r="X49" s="10" t="e">
        <f t="shared" si="10"/>
        <v>#DIV/0!</v>
      </c>
      <c r="Y49" s="10" t="e">
        <f t="shared" si="8"/>
        <v>#DIV/0!</v>
      </c>
      <c r="Z49" s="10" t="e">
        <f t="shared" si="8"/>
        <v>#DIV/0!</v>
      </c>
      <c r="AA49" s="10" t="e">
        <f t="shared" si="8"/>
        <v>#DIV/0!</v>
      </c>
      <c r="AB49" s="10" t="e">
        <f t="shared" si="8"/>
        <v>#DIV/0!</v>
      </c>
      <c r="AC49" s="10" t="e">
        <f t="shared" si="8"/>
        <v>#DIV/0!</v>
      </c>
    </row>
    <row r="50" spans="1:29" x14ac:dyDescent="0.2">
      <c r="V50">
        <f t="shared" si="9"/>
        <v>0</v>
      </c>
      <c r="W50" s="10">
        <v>0</v>
      </c>
      <c r="X50" s="10" t="e">
        <f t="shared" si="10"/>
        <v>#DIV/0!</v>
      </c>
      <c r="Y50" s="10" t="e">
        <f t="shared" si="8"/>
        <v>#DIV/0!</v>
      </c>
      <c r="Z50" s="10" t="e">
        <f t="shared" si="8"/>
        <v>#DIV/0!</v>
      </c>
      <c r="AA50" s="10" t="e">
        <f t="shared" si="8"/>
        <v>#DIV/0!</v>
      </c>
      <c r="AB50" s="10" t="e">
        <f t="shared" si="8"/>
        <v>#DIV/0!</v>
      </c>
      <c r="AC50" s="10" t="e">
        <f t="shared" si="8"/>
        <v>#DIV/0!</v>
      </c>
    </row>
    <row r="51" spans="1:29" x14ac:dyDescent="0.2">
      <c r="V51">
        <f t="shared" si="9"/>
        <v>0</v>
      </c>
      <c r="W51" s="10">
        <v>0</v>
      </c>
      <c r="X51" s="10" t="e">
        <f t="shared" si="10"/>
        <v>#DIV/0!</v>
      </c>
      <c r="Y51" s="10" t="e">
        <f t="shared" ref="Y51:Y60" si="11">100*(F51/E51-1)</f>
        <v>#DIV/0!</v>
      </c>
      <c r="Z51" s="10" t="e">
        <f t="shared" ref="Z51:Z60" si="12">100*(G51/F51-1)</f>
        <v>#DIV/0!</v>
      </c>
      <c r="AA51" s="10" t="e">
        <f t="shared" ref="AA51:AA60" si="13">100*(H51/G51-1)</f>
        <v>#DIV/0!</v>
      </c>
      <c r="AB51" s="10" t="e">
        <f t="shared" ref="AB51:AB60" si="14">100*(I51/H51-1)</f>
        <v>#DIV/0!</v>
      </c>
      <c r="AC51" s="10" t="e">
        <f t="shared" ref="AC51:AC60" si="15">100*(J51/I51-1)</f>
        <v>#DIV/0!</v>
      </c>
    </row>
    <row r="52" spans="1:29" x14ac:dyDescent="0.2">
      <c r="V52">
        <f t="shared" si="9"/>
        <v>0</v>
      </c>
      <c r="W52" s="10">
        <v>0</v>
      </c>
      <c r="X52" s="10" t="e">
        <f t="shared" si="10"/>
        <v>#DIV/0!</v>
      </c>
      <c r="Y52" s="10" t="e">
        <f t="shared" si="11"/>
        <v>#DIV/0!</v>
      </c>
      <c r="Z52" s="10" t="e">
        <f t="shared" si="12"/>
        <v>#DIV/0!</v>
      </c>
      <c r="AA52" s="10" t="e">
        <f t="shared" si="13"/>
        <v>#DIV/0!</v>
      </c>
      <c r="AB52" s="10" t="e">
        <f t="shared" si="14"/>
        <v>#DIV/0!</v>
      </c>
      <c r="AC52" s="10" t="e">
        <f t="shared" si="15"/>
        <v>#DIV/0!</v>
      </c>
    </row>
    <row r="53" spans="1:29" x14ac:dyDescent="0.2">
      <c r="V53">
        <f t="shared" si="9"/>
        <v>0</v>
      </c>
      <c r="W53" s="10">
        <v>0</v>
      </c>
      <c r="X53" s="10" t="e">
        <f t="shared" si="10"/>
        <v>#DIV/0!</v>
      </c>
      <c r="Y53" s="10" t="e">
        <f t="shared" si="11"/>
        <v>#DIV/0!</v>
      </c>
      <c r="Z53" s="10" t="e">
        <f t="shared" si="12"/>
        <v>#DIV/0!</v>
      </c>
      <c r="AA53" s="10" t="e">
        <f t="shared" si="13"/>
        <v>#DIV/0!</v>
      </c>
      <c r="AB53" s="10" t="e">
        <f t="shared" si="14"/>
        <v>#DIV/0!</v>
      </c>
      <c r="AC53" s="10" t="e">
        <f t="shared" si="15"/>
        <v>#DIV/0!</v>
      </c>
    </row>
    <row r="54" spans="1:29" x14ac:dyDescent="0.2">
      <c r="V54">
        <f t="shared" si="9"/>
        <v>0</v>
      </c>
      <c r="W54" s="10">
        <v>0</v>
      </c>
      <c r="X54" s="10" t="e">
        <f t="shared" si="10"/>
        <v>#DIV/0!</v>
      </c>
      <c r="Y54" s="10" t="e">
        <f t="shared" si="11"/>
        <v>#DIV/0!</v>
      </c>
      <c r="Z54" s="10" t="e">
        <f t="shared" si="12"/>
        <v>#DIV/0!</v>
      </c>
      <c r="AA54" s="10" t="e">
        <f t="shared" si="13"/>
        <v>#DIV/0!</v>
      </c>
      <c r="AB54" s="10" t="e">
        <f t="shared" si="14"/>
        <v>#DIV/0!</v>
      </c>
      <c r="AC54" s="10" t="e">
        <f t="shared" si="15"/>
        <v>#DIV/0!</v>
      </c>
    </row>
    <row r="55" spans="1:29" x14ac:dyDescent="0.2">
      <c r="V55">
        <f t="shared" si="9"/>
        <v>0</v>
      </c>
      <c r="W55" s="10">
        <v>0</v>
      </c>
      <c r="X55" s="10" t="e">
        <f t="shared" si="10"/>
        <v>#DIV/0!</v>
      </c>
      <c r="Y55" s="10" t="e">
        <f t="shared" si="11"/>
        <v>#DIV/0!</v>
      </c>
      <c r="Z55" s="10" t="e">
        <f t="shared" si="12"/>
        <v>#DIV/0!</v>
      </c>
      <c r="AA55" s="10" t="e">
        <f t="shared" si="13"/>
        <v>#DIV/0!</v>
      </c>
      <c r="AB55" s="10" t="e">
        <f t="shared" si="14"/>
        <v>#DIV/0!</v>
      </c>
      <c r="AC55" s="10" t="e">
        <f t="shared" si="15"/>
        <v>#DIV/0!</v>
      </c>
    </row>
    <row r="56" spans="1:29" x14ac:dyDescent="0.2">
      <c r="V56">
        <f t="shared" si="9"/>
        <v>0</v>
      </c>
      <c r="W56" s="10">
        <v>0</v>
      </c>
      <c r="X56" s="10" t="e">
        <f t="shared" si="10"/>
        <v>#DIV/0!</v>
      </c>
      <c r="Y56" s="10" t="e">
        <f t="shared" si="11"/>
        <v>#DIV/0!</v>
      </c>
      <c r="Z56" s="10" t="e">
        <f t="shared" si="12"/>
        <v>#DIV/0!</v>
      </c>
      <c r="AA56" s="10" t="e">
        <f t="shared" si="13"/>
        <v>#DIV/0!</v>
      </c>
      <c r="AB56" s="10" t="e">
        <f t="shared" si="14"/>
        <v>#DIV/0!</v>
      </c>
      <c r="AC56" s="10" t="e">
        <f t="shared" si="15"/>
        <v>#DIV/0!</v>
      </c>
    </row>
    <row r="57" spans="1:29" x14ac:dyDescent="0.2">
      <c r="V57">
        <f t="shared" si="9"/>
        <v>0</v>
      </c>
      <c r="W57" s="10">
        <v>0</v>
      </c>
      <c r="X57" s="10" t="e">
        <f t="shared" si="10"/>
        <v>#DIV/0!</v>
      </c>
      <c r="Y57" s="10" t="e">
        <f t="shared" si="11"/>
        <v>#DIV/0!</v>
      </c>
      <c r="Z57" s="10" t="e">
        <f t="shared" si="12"/>
        <v>#DIV/0!</v>
      </c>
      <c r="AA57" s="10" t="e">
        <f t="shared" si="13"/>
        <v>#DIV/0!</v>
      </c>
      <c r="AB57" s="10" t="e">
        <f t="shared" si="14"/>
        <v>#DIV/0!</v>
      </c>
      <c r="AC57" s="10" t="e">
        <f t="shared" si="15"/>
        <v>#DIV/0!</v>
      </c>
    </row>
    <row r="58" spans="1:29" x14ac:dyDescent="0.2">
      <c r="V58">
        <f t="shared" si="9"/>
        <v>0</v>
      </c>
      <c r="W58" s="10">
        <v>0</v>
      </c>
      <c r="X58" s="10" t="e">
        <f t="shared" si="10"/>
        <v>#DIV/0!</v>
      </c>
      <c r="Y58" s="10" t="e">
        <f t="shared" si="11"/>
        <v>#DIV/0!</v>
      </c>
      <c r="Z58" s="10" t="e">
        <f t="shared" si="12"/>
        <v>#DIV/0!</v>
      </c>
      <c r="AA58" s="10" t="e">
        <f t="shared" si="13"/>
        <v>#DIV/0!</v>
      </c>
      <c r="AB58" s="10" t="e">
        <f t="shared" si="14"/>
        <v>#DIV/0!</v>
      </c>
      <c r="AC58" s="10" t="e">
        <f t="shared" si="15"/>
        <v>#DIV/0!</v>
      </c>
    </row>
    <row r="59" spans="1:29" x14ac:dyDescent="0.2">
      <c r="V59">
        <f t="shared" si="9"/>
        <v>0</v>
      </c>
      <c r="W59" s="10">
        <v>0</v>
      </c>
      <c r="X59" s="10" t="e">
        <f t="shared" si="10"/>
        <v>#DIV/0!</v>
      </c>
      <c r="Y59" s="10" t="e">
        <f t="shared" si="11"/>
        <v>#DIV/0!</v>
      </c>
      <c r="Z59" s="10" t="e">
        <f t="shared" si="12"/>
        <v>#DIV/0!</v>
      </c>
      <c r="AA59" s="10" t="e">
        <f t="shared" si="13"/>
        <v>#DIV/0!</v>
      </c>
      <c r="AB59" s="10" t="e">
        <f t="shared" si="14"/>
        <v>#DIV/0!</v>
      </c>
      <c r="AC59" s="10" t="e">
        <f t="shared" si="15"/>
        <v>#DIV/0!</v>
      </c>
    </row>
    <row r="60" spans="1:29" x14ac:dyDescent="0.2">
      <c r="V60">
        <f t="shared" si="9"/>
        <v>0</v>
      </c>
      <c r="W60" s="10">
        <v>0</v>
      </c>
      <c r="X60" s="10" t="e">
        <f>100*(E60/D60-1)</f>
        <v>#DIV/0!</v>
      </c>
      <c r="Y60" s="10" t="e">
        <f t="shared" si="11"/>
        <v>#DIV/0!</v>
      </c>
      <c r="Z60" s="10" t="e">
        <f t="shared" si="12"/>
        <v>#DIV/0!</v>
      </c>
      <c r="AA60" s="10" t="e">
        <f t="shared" si="13"/>
        <v>#DIV/0!</v>
      </c>
      <c r="AB60" s="10" t="e">
        <f t="shared" si="14"/>
        <v>#DIV/0!</v>
      </c>
      <c r="AC60" s="10" t="e">
        <f t="shared" si="15"/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AN60"/>
  <sheetViews>
    <sheetView workbookViewId="0">
      <selection activeCell="D12" sqref="D12"/>
    </sheetView>
  </sheetViews>
  <sheetFormatPr baseColWidth="10" defaultRowHeight="16" x14ac:dyDescent="0.2"/>
  <cols>
    <col min="1" max="1" width="12.83203125" customWidth="1"/>
    <col min="2" max="2" width="15.5" customWidth="1"/>
    <col min="3" max="3" width="10.6640625" bestFit="1" customWidth="1"/>
    <col min="4" max="4" width="7.83203125" bestFit="1" customWidth="1"/>
    <col min="5" max="5" width="10.6640625" bestFit="1" customWidth="1"/>
    <col min="6" max="11" width="7.6640625" customWidth="1"/>
    <col min="12" max="12" width="10.6640625" bestFit="1" customWidth="1"/>
    <col min="13" max="19" width="12.1640625" customWidth="1"/>
    <col min="20" max="20" width="12.1640625" bestFit="1" customWidth="1"/>
    <col min="21" max="21" width="10.6640625" bestFit="1" customWidth="1"/>
  </cols>
  <sheetData>
    <row r="2" spans="1:40" x14ac:dyDescent="0.2">
      <c r="A2" s="1" t="s">
        <v>112</v>
      </c>
      <c r="B2" s="2">
        <v>2030</v>
      </c>
    </row>
    <row r="3" spans="1:40" x14ac:dyDescent="0.2">
      <c r="A3" s="1" t="s">
        <v>116</v>
      </c>
      <c r="B3" t="s">
        <v>19</v>
      </c>
    </row>
    <row r="5" spans="1:40" x14ac:dyDescent="0.2">
      <c r="A5" s="1" t="s">
        <v>126</v>
      </c>
      <c r="B5" s="1" t="s">
        <v>64</v>
      </c>
      <c r="V5" t="str">
        <f t="shared" ref="V5:AN5" si="0">A5</f>
        <v>Min of value</v>
      </c>
      <c r="W5" t="str">
        <f t="shared" si="0"/>
        <v>Column Labels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</row>
    <row r="6" spans="1:40" x14ac:dyDescent="0.2">
      <c r="A6" s="1" t="s">
        <v>66</v>
      </c>
      <c r="B6" t="s">
        <v>113</v>
      </c>
      <c r="C6" t="s">
        <v>65</v>
      </c>
      <c r="V6" t="str">
        <f t="shared" ref="V6:V31" si="1">A6</f>
        <v>Row Labels</v>
      </c>
      <c r="W6">
        <v>0</v>
      </c>
      <c r="X6" t="e">
        <f t="shared" ref="X6:AM7" si="2">100*(C6/B6-1)</f>
        <v>#VALUE!</v>
      </c>
      <c r="Y6" t="e">
        <f t="shared" si="2"/>
        <v>#VALUE!</v>
      </c>
      <c r="Z6" t="e">
        <f t="shared" si="2"/>
        <v>#DIV/0!</v>
      </c>
      <c r="AA6" t="e">
        <f t="shared" si="2"/>
        <v>#DIV/0!</v>
      </c>
      <c r="AB6" t="e">
        <f t="shared" si="2"/>
        <v>#DIV/0!</v>
      </c>
      <c r="AC6" t="e">
        <f t="shared" si="2"/>
        <v>#DIV/0!</v>
      </c>
      <c r="AD6" t="e">
        <f t="shared" si="2"/>
        <v>#DIV/0!</v>
      </c>
      <c r="AE6" t="e">
        <f t="shared" si="2"/>
        <v>#DIV/0!</v>
      </c>
      <c r="AF6" t="e">
        <f t="shared" si="2"/>
        <v>#DIV/0!</v>
      </c>
      <c r="AG6" t="e">
        <f t="shared" si="2"/>
        <v>#DIV/0!</v>
      </c>
      <c r="AH6" t="e">
        <f t="shared" si="2"/>
        <v>#DIV/0!</v>
      </c>
      <c r="AI6" t="e">
        <f t="shared" si="2"/>
        <v>#DIV/0!</v>
      </c>
      <c r="AJ6" t="e">
        <f t="shared" si="2"/>
        <v>#DIV/0!</v>
      </c>
      <c r="AK6" t="e">
        <f t="shared" si="2"/>
        <v>#DIV/0!</v>
      </c>
      <c r="AL6" t="e">
        <f t="shared" si="2"/>
        <v>#DIV/0!</v>
      </c>
      <c r="AM6" t="e">
        <f t="shared" si="2"/>
        <v>#DIV/0!</v>
      </c>
      <c r="AN6" t="e">
        <f t="shared" ref="Y6:AN21" si="3">100*(S6/R6-1)</f>
        <v>#DIV/0!</v>
      </c>
    </row>
    <row r="7" spans="1:40" x14ac:dyDescent="0.2">
      <c r="A7" s="2" t="s">
        <v>508</v>
      </c>
      <c r="B7" s="21"/>
      <c r="C7" s="19"/>
      <c r="V7" t="str">
        <f t="shared" si="1"/>
        <v>AgFFF</v>
      </c>
      <c r="W7">
        <v>0</v>
      </c>
      <c r="X7" t="e">
        <f t="shared" si="2"/>
        <v>#DIV/0!</v>
      </c>
      <c r="Y7" t="e">
        <f t="shared" si="2"/>
        <v>#DIV/0!</v>
      </c>
      <c r="Z7" t="e">
        <f t="shared" si="2"/>
        <v>#DIV/0!</v>
      </c>
      <c r="AA7" t="e">
        <f t="shared" si="2"/>
        <v>#DIV/0!</v>
      </c>
      <c r="AB7" t="e">
        <f t="shared" si="2"/>
        <v>#DIV/0!</v>
      </c>
      <c r="AC7" t="e">
        <f t="shared" si="2"/>
        <v>#DIV/0!</v>
      </c>
      <c r="AD7" t="e">
        <f t="shared" si="2"/>
        <v>#DIV/0!</v>
      </c>
      <c r="AE7" t="e">
        <f t="shared" si="2"/>
        <v>#DIV/0!</v>
      </c>
      <c r="AF7" t="e">
        <f t="shared" si="2"/>
        <v>#DIV/0!</v>
      </c>
      <c r="AG7" t="e">
        <f t="shared" si="2"/>
        <v>#DIV/0!</v>
      </c>
      <c r="AH7" t="e">
        <f t="shared" si="2"/>
        <v>#DIV/0!</v>
      </c>
      <c r="AI7" t="e">
        <f t="shared" si="2"/>
        <v>#DIV/0!</v>
      </c>
      <c r="AJ7" t="e">
        <f t="shared" si="2"/>
        <v>#DIV/0!</v>
      </c>
      <c r="AK7" t="e">
        <f t="shared" si="2"/>
        <v>#DIV/0!</v>
      </c>
      <c r="AL7" t="e">
        <f t="shared" si="2"/>
        <v>#DIV/0!</v>
      </c>
      <c r="AM7" t="e">
        <f t="shared" si="2"/>
        <v>#DIV/0!</v>
      </c>
      <c r="AN7" t="e">
        <f t="shared" si="3"/>
        <v>#DIV/0!</v>
      </c>
    </row>
    <row r="8" spans="1:40" x14ac:dyDescent="0.2">
      <c r="A8" s="2" t="s">
        <v>509</v>
      </c>
      <c r="B8" s="21"/>
      <c r="C8" s="19"/>
      <c r="V8" t="str">
        <f t="shared" si="1"/>
        <v>Coal</v>
      </c>
      <c r="W8">
        <v>0</v>
      </c>
      <c r="X8" t="e">
        <f t="shared" ref="X8:X31" si="4">100*(C8/B8-1)</f>
        <v>#DIV/0!</v>
      </c>
      <c r="Y8" t="e">
        <f t="shared" si="3"/>
        <v>#DIV/0!</v>
      </c>
      <c r="Z8" t="e">
        <f t="shared" si="3"/>
        <v>#DIV/0!</v>
      </c>
      <c r="AA8" t="e">
        <f t="shared" si="3"/>
        <v>#DIV/0!</v>
      </c>
      <c r="AB8" t="e">
        <f t="shared" si="3"/>
        <v>#DIV/0!</v>
      </c>
      <c r="AC8" t="e">
        <f t="shared" si="3"/>
        <v>#DIV/0!</v>
      </c>
      <c r="AD8" t="e">
        <f t="shared" si="3"/>
        <v>#DIV/0!</v>
      </c>
      <c r="AE8" t="e">
        <f t="shared" si="3"/>
        <v>#DIV/0!</v>
      </c>
      <c r="AF8" t="e">
        <f t="shared" si="3"/>
        <v>#DIV/0!</v>
      </c>
      <c r="AG8" t="e">
        <f t="shared" si="3"/>
        <v>#DIV/0!</v>
      </c>
      <c r="AH8" t="e">
        <f t="shared" si="3"/>
        <v>#DIV/0!</v>
      </c>
      <c r="AI8" t="e">
        <f t="shared" si="3"/>
        <v>#DIV/0!</v>
      </c>
      <c r="AJ8" t="e">
        <f t="shared" si="3"/>
        <v>#DIV/0!</v>
      </c>
      <c r="AK8" t="e">
        <f t="shared" si="3"/>
        <v>#DIV/0!</v>
      </c>
      <c r="AL8" t="e">
        <f t="shared" si="3"/>
        <v>#DIV/0!</v>
      </c>
      <c r="AM8" t="e">
        <f t="shared" si="3"/>
        <v>#DIV/0!</v>
      </c>
      <c r="AN8" t="e">
        <f t="shared" si="3"/>
        <v>#DIV/0!</v>
      </c>
    </row>
    <row r="9" spans="1:40" x14ac:dyDescent="0.2">
      <c r="A9" s="2" t="s">
        <v>510</v>
      </c>
      <c r="B9" s="21"/>
      <c r="C9" s="19"/>
      <c r="V9" t="str">
        <f t="shared" si="1"/>
        <v>OilGas</v>
      </c>
      <c r="W9">
        <v>0</v>
      </c>
      <c r="X9" t="e">
        <f t="shared" si="4"/>
        <v>#DIV/0!</v>
      </c>
      <c r="Y9" t="e">
        <f t="shared" si="3"/>
        <v>#DIV/0!</v>
      </c>
      <c r="Z9" t="e">
        <f t="shared" si="3"/>
        <v>#DIV/0!</v>
      </c>
      <c r="AA9" t="e">
        <f t="shared" si="3"/>
        <v>#DIV/0!</v>
      </c>
      <c r="AB9" t="e">
        <f t="shared" si="3"/>
        <v>#DIV/0!</v>
      </c>
      <c r="AC9" t="e">
        <f t="shared" si="3"/>
        <v>#DIV/0!</v>
      </c>
      <c r="AD9" t="e">
        <f t="shared" si="3"/>
        <v>#DIV/0!</v>
      </c>
      <c r="AE9" t="e">
        <f t="shared" si="3"/>
        <v>#DIV/0!</v>
      </c>
      <c r="AF9" t="e">
        <f t="shared" si="3"/>
        <v>#DIV/0!</v>
      </c>
      <c r="AG9" t="e">
        <f t="shared" si="3"/>
        <v>#DIV/0!</v>
      </c>
      <c r="AH9" t="e">
        <f t="shared" si="3"/>
        <v>#DIV/0!</v>
      </c>
      <c r="AI9" t="e">
        <f t="shared" si="3"/>
        <v>#DIV/0!</v>
      </c>
      <c r="AJ9" t="e">
        <f t="shared" si="3"/>
        <v>#DIV/0!</v>
      </c>
      <c r="AK9" t="e">
        <f t="shared" si="3"/>
        <v>#DIV/0!</v>
      </c>
      <c r="AL9" t="e">
        <f t="shared" si="3"/>
        <v>#DIV/0!</v>
      </c>
      <c r="AM9" t="e">
        <f t="shared" si="3"/>
        <v>#DIV/0!</v>
      </c>
      <c r="AN9" t="e">
        <f t="shared" si="3"/>
        <v>#DIV/0!</v>
      </c>
    </row>
    <row r="10" spans="1:40" x14ac:dyDescent="0.2">
      <c r="A10" s="2" t="s">
        <v>511</v>
      </c>
      <c r="B10" s="21"/>
      <c r="C10" s="19"/>
      <c r="V10" t="str">
        <f t="shared" si="1"/>
        <v>MetMin</v>
      </c>
      <c r="W10">
        <v>0</v>
      </c>
      <c r="X10" t="e">
        <f t="shared" si="4"/>
        <v>#DIV/0!</v>
      </c>
      <c r="Y10" t="e">
        <f t="shared" si="3"/>
        <v>#DIV/0!</v>
      </c>
      <c r="Z10" t="e">
        <f t="shared" si="3"/>
        <v>#DIV/0!</v>
      </c>
      <c r="AA10" t="e">
        <f t="shared" si="3"/>
        <v>#DIV/0!</v>
      </c>
      <c r="AB10" t="e">
        <f t="shared" si="3"/>
        <v>#DIV/0!</v>
      </c>
      <c r="AC10" t="e">
        <f t="shared" si="3"/>
        <v>#DIV/0!</v>
      </c>
      <c r="AD10" t="e">
        <f t="shared" si="3"/>
        <v>#DIV/0!</v>
      </c>
      <c r="AE10" t="e">
        <f t="shared" si="3"/>
        <v>#DIV/0!</v>
      </c>
      <c r="AF10" t="e">
        <f t="shared" si="3"/>
        <v>#DIV/0!</v>
      </c>
      <c r="AG10" t="e">
        <f t="shared" si="3"/>
        <v>#DIV/0!</v>
      </c>
      <c r="AH10" t="e">
        <f t="shared" si="3"/>
        <v>#DIV/0!</v>
      </c>
      <c r="AI10" t="e">
        <f t="shared" si="3"/>
        <v>#DIV/0!</v>
      </c>
      <c r="AJ10" t="e">
        <f t="shared" si="3"/>
        <v>#DIV/0!</v>
      </c>
      <c r="AK10" t="e">
        <f t="shared" si="3"/>
        <v>#DIV/0!</v>
      </c>
      <c r="AL10" t="e">
        <f t="shared" si="3"/>
        <v>#DIV/0!</v>
      </c>
      <c r="AM10" t="e">
        <f t="shared" si="3"/>
        <v>#DIV/0!</v>
      </c>
      <c r="AN10" t="e">
        <f t="shared" si="3"/>
        <v>#DIV/0!</v>
      </c>
    </row>
    <row r="11" spans="1:40" x14ac:dyDescent="0.2">
      <c r="A11" s="2" t="s">
        <v>512</v>
      </c>
      <c r="B11" s="21"/>
      <c r="C11" s="19"/>
      <c r="V11" t="str">
        <f t="shared" si="1"/>
        <v>NMetMin</v>
      </c>
      <c r="W11">
        <v>0</v>
      </c>
      <c r="X11" t="e">
        <f t="shared" si="4"/>
        <v>#DIV/0!</v>
      </c>
      <c r="Y11" t="e">
        <f t="shared" si="3"/>
        <v>#DIV/0!</v>
      </c>
      <c r="Z11" t="e">
        <f t="shared" si="3"/>
        <v>#DIV/0!</v>
      </c>
      <c r="AA11" t="e">
        <f t="shared" si="3"/>
        <v>#DIV/0!</v>
      </c>
      <c r="AB11" t="e">
        <f t="shared" si="3"/>
        <v>#DIV/0!</v>
      </c>
      <c r="AC11" t="e">
        <f t="shared" si="3"/>
        <v>#DIV/0!</v>
      </c>
      <c r="AD11" t="e">
        <f t="shared" si="3"/>
        <v>#DIV/0!</v>
      </c>
      <c r="AE11" t="e">
        <f t="shared" si="3"/>
        <v>#DIV/0!</v>
      </c>
      <c r="AF11" t="e">
        <f t="shared" si="3"/>
        <v>#DIV/0!</v>
      </c>
      <c r="AG11" t="e">
        <f t="shared" si="3"/>
        <v>#DIV/0!</v>
      </c>
      <c r="AH11" t="e">
        <f t="shared" si="3"/>
        <v>#DIV/0!</v>
      </c>
      <c r="AI11" t="e">
        <f t="shared" si="3"/>
        <v>#DIV/0!</v>
      </c>
      <c r="AJ11" t="e">
        <f t="shared" si="3"/>
        <v>#DIV/0!</v>
      </c>
      <c r="AK11" t="e">
        <f t="shared" si="3"/>
        <v>#DIV/0!</v>
      </c>
      <c r="AL11" t="e">
        <f t="shared" si="3"/>
        <v>#DIV/0!</v>
      </c>
      <c r="AM11" t="e">
        <f t="shared" si="3"/>
        <v>#DIV/0!</v>
      </c>
      <c r="AN11" t="e">
        <f t="shared" si="3"/>
        <v>#DIV/0!</v>
      </c>
    </row>
    <row r="12" spans="1:40" x14ac:dyDescent="0.2">
      <c r="A12" s="2" t="s">
        <v>513</v>
      </c>
      <c r="B12" s="21"/>
      <c r="C12" s="19"/>
      <c r="V12" t="str">
        <f t="shared" si="1"/>
        <v>FoodPr</v>
      </c>
      <c r="W12">
        <v>0</v>
      </c>
      <c r="X12" t="e">
        <f t="shared" si="4"/>
        <v>#DIV/0!</v>
      </c>
      <c r="Y12" t="e">
        <f t="shared" si="3"/>
        <v>#DIV/0!</v>
      </c>
      <c r="Z12" t="e">
        <f t="shared" si="3"/>
        <v>#DIV/0!</v>
      </c>
      <c r="AA12" t="e">
        <f t="shared" si="3"/>
        <v>#DIV/0!</v>
      </c>
      <c r="AB12" t="e">
        <f t="shared" si="3"/>
        <v>#DIV/0!</v>
      </c>
      <c r="AC12" t="e">
        <f t="shared" si="3"/>
        <v>#DIV/0!</v>
      </c>
      <c r="AD12" t="e">
        <f t="shared" si="3"/>
        <v>#DIV/0!</v>
      </c>
      <c r="AE12" t="e">
        <f t="shared" si="3"/>
        <v>#DIV/0!</v>
      </c>
      <c r="AF12" t="e">
        <f t="shared" si="3"/>
        <v>#DIV/0!</v>
      </c>
      <c r="AG12" t="e">
        <f t="shared" si="3"/>
        <v>#DIV/0!</v>
      </c>
      <c r="AH12" t="e">
        <f t="shared" si="3"/>
        <v>#DIV/0!</v>
      </c>
      <c r="AI12" t="e">
        <f t="shared" si="3"/>
        <v>#DIV/0!</v>
      </c>
      <c r="AJ12" t="e">
        <f t="shared" si="3"/>
        <v>#DIV/0!</v>
      </c>
      <c r="AK12" t="e">
        <f t="shared" si="3"/>
        <v>#DIV/0!</v>
      </c>
      <c r="AL12" t="e">
        <f t="shared" si="3"/>
        <v>#DIV/0!</v>
      </c>
      <c r="AM12" t="e">
        <f t="shared" si="3"/>
        <v>#DIV/0!</v>
      </c>
      <c r="AN12" t="e">
        <f t="shared" si="3"/>
        <v>#DIV/0!</v>
      </c>
    </row>
    <row r="13" spans="1:40" x14ac:dyDescent="0.2">
      <c r="A13" s="2" t="s">
        <v>514</v>
      </c>
      <c r="B13" s="21"/>
      <c r="C13" s="19"/>
      <c r="V13" t="str">
        <f t="shared" si="1"/>
        <v>Textile</v>
      </c>
      <c r="W13">
        <v>0</v>
      </c>
      <c r="X13" t="e">
        <f t="shared" si="4"/>
        <v>#DIV/0!</v>
      </c>
      <c r="Y13" t="e">
        <f t="shared" si="3"/>
        <v>#DIV/0!</v>
      </c>
      <c r="Z13" t="e">
        <f t="shared" si="3"/>
        <v>#DIV/0!</v>
      </c>
      <c r="AA13" t="e">
        <f t="shared" si="3"/>
        <v>#DIV/0!</v>
      </c>
      <c r="AB13" t="e">
        <f t="shared" si="3"/>
        <v>#DIV/0!</v>
      </c>
      <c r="AC13" t="e">
        <f t="shared" si="3"/>
        <v>#DIV/0!</v>
      </c>
      <c r="AD13" t="e">
        <f t="shared" si="3"/>
        <v>#DIV/0!</v>
      </c>
      <c r="AE13" t="e">
        <f t="shared" si="3"/>
        <v>#DIV/0!</v>
      </c>
      <c r="AF13" t="e">
        <f t="shared" si="3"/>
        <v>#DIV/0!</v>
      </c>
      <c r="AG13" t="e">
        <f t="shared" si="3"/>
        <v>#DIV/0!</v>
      </c>
      <c r="AH13" t="e">
        <f t="shared" si="3"/>
        <v>#DIV/0!</v>
      </c>
      <c r="AI13" t="e">
        <f t="shared" si="3"/>
        <v>#DIV/0!</v>
      </c>
      <c r="AJ13" t="e">
        <f t="shared" si="3"/>
        <v>#DIV/0!</v>
      </c>
      <c r="AK13" t="e">
        <f t="shared" si="3"/>
        <v>#DIV/0!</v>
      </c>
      <c r="AL13" t="e">
        <f t="shared" si="3"/>
        <v>#DIV/0!</v>
      </c>
      <c r="AM13" t="e">
        <f t="shared" si="3"/>
        <v>#DIV/0!</v>
      </c>
      <c r="AN13" t="e">
        <f t="shared" si="3"/>
        <v>#DIV/0!</v>
      </c>
    </row>
    <row r="14" spans="1:40" x14ac:dyDescent="0.2">
      <c r="A14" s="2" t="s">
        <v>515</v>
      </c>
      <c r="B14" s="21"/>
      <c r="C14" s="19"/>
      <c r="V14" t="str">
        <f t="shared" si="1"/>
        <v>Apparel</v>
      </c>
      <c r="W14">
        <v>0</v>
      </c>
      <c r="X14" t="e">
        <f t="shared" si="4"/>
        <v>#DIV/0!</v>
      </c>
      <c r="Y14" t="e">
        <f t="shared" si="3"/>
        <v>#DIV/0!</v>
      </c>
      <c r="Z14" t="e">
        <f t="shared" si="3"/>
        <v>#DIV/0!</v>
      </c>
      <c r="AA14" t="e">
        <f t="shared" si="3"/>
        <v>#DIV/0!</v>
      </c>
      <c r="AB14" t="e">
        <f t="shared" si="3"/>
        <v>#DIV/0!</v>
      </c>
      <c r="AC14" t="e">
        <f t="shared" si="3"/>
        <v>#DIV/0!</v>
      </c>
      <c r="AD14" t="e">
        <f t="shared" si="3"/>
        <v>#DIV/0!</v>
      </c>
      <c r="AE14" t="e">
        <f t="shared" si="3"/>
        <v>#DIV/0!</v>
      </c>
      <c r="AF14" t="e">
        <f t="shared" si="3"/>
        <v>#DIV/0!</v>
      </c>
      <c r="AG14" t="e">
        <f t="shared" si="3"/>
        <v>#DIV/0!</v>
      </c>
      <c r="AH14" t="e">
        <f t="shared" si="3"/>
        <v>#DIV/0!</v>
      </c>
      <c r="AI14" t="e">
        <f t="shared" si="3"/>
        <v>#DIV/0!</v>
      </c>
      <c r="AJ14" t="e">
        <f t="shared" si="3"/>
        <v>#DIV/0!</v>
      </c>
      <c r="AK14" t="e">
        <f t="shared" si="3"/>
        <v>#DIV/0!</v>
      </c>
      <c r="AL14" t="e">
        <f t="shared" si="3"/>
        <v>#DIV/0!</v>
      </c>
      <c r="AM14" t="e">
        <f t="shared" si="3"/>
        <v>#DIV/0!</v>
      </c>
      <c r="AN14" t="e">
        <f t="shared" si="3"/>
        <v>#DIV/0!</v>
      </c>
    </row>
    <row r="15" spans="1:40" x14ac:dyDescent="0.2">
      <c r="A15" s="2" t="s">
        <v>516</v>
      </c>
      <c r="B15" s="21"/>
      <c r="C15" s="19"/>
      <c r="V15" t="str">
        <f t="shared" si="1"/>
        <v>WoodPr</v>
      </c>
      <c r="W15">
        <v>0</v>
      </c>
      <c r="X15" t="e">
        <f t="shared" si="4"/>
        <v>#DIV/0!</v>
      </c>
      <c r="Y15" t="e">
        <f t="shared" si="3"/>
        <v>#DIV/0!</v>
      </c>
      <c r="Z15" t="e">
        <f t="shared" si="3"/>
        <v>#DIV/0!</v>
      </c>
      <c r="AA15" t="e">
        <f t="shared" si="3"/>
        <v>#DIV/0!</v>
      </c>
      <c r="AB15" t="e">
        <f t="shared" si="3"/>
        <v>#DIV/0!</v>
      </c>
      <c r="AC15" t="e">
        <f t="shared" si="3"/>
        <v>#DIV/0!</v>
      </c>
      <c r="AD15" t="e">
        <f t="shared" si="3"/>
        <v>#DIV/0!</v>
      </c>
      <c r="AE15" t="e">
        <f t="shared" si="3"/>
        <v>#DIV/0!</v>
      </c>
      <c r="AF15" t="e">
        <f t="shared" si="3"/>
        <v>#DIV/0!</v>
      </c>
      <c r="AG15" t="e">
        <f t="shared" si="3"/>
        <v>#DIV/0!</v>
      </c>
      <c r="AH15" t="e">
        <f t="shared" si="3"/>
        <v>#DIV/0!</v>
      </c>
      <c r="AI15" t="e">
        <f t="shared" si="3"/>
        <v>#DIV/0!</v>
      </c>
      <c r="AJ15" t="e">
        <f t="shared" si="3"/>
        <v>#DIV/0!</v>
      </c>
      <c r="AK15" t="e">
        <f t="shared" si="3"/>
        <v>#DIV/0!</v>
      </c>
      <c r="AL15" t="e">
        <f t="shared" si="3"/>
        <v>#DIV/0!</v>
      </c>
      <c r="AM15" t="e">
        <f t="shared" si="3"/>
        <v>#DIV/0!</v>
      </c>
      <c r="AN15" t="e">
        <f t="shared" si="3"/>
        <v>#DIV/0!</v>
      </c>
    </row>
    <row r="16" spans="1:40" x14ac:dyDescent="0.2">
      <c r="A16" s="2" t="s">
        <v>517</v>
      </c>
      <c r="B16" s="21"/>
      <c r="C16" s="19"/>
      <c r="V16" t="str">
        <f t="shared" si="1"/>
        <v>PaperPr</v>
      </c>
      <c r="W16">
        <v>0</v>
      </c>
      <c r="X16" t="e">
        <f t="shared" si="4"/>
        <v>#DIV/0!</v>
      </c>
      <c r="Y16" t="e">
        <f t="shared" si="3"/>
        <v>#DIV/0!</v>
      </c>
      <c r="Z16" t="e">
        <f t="shared" si="3"/>
        <v>#DIV/0!</v>
      </c>
      <c r="AA16" t="e">
        <f t="shared" si="3"/>
        <v>#DIV/0!</v>
      </c>
      <c r="AB16" t="e">
        <f t="shared" si="3"/>
        <v>#DIV/0!</v>
      </c>
      <c r="AC16" t="e">
        <f t="shared" si="3"/>
        <v>#DIV/0!</v>
      </c>
      <c r="AD16" t="e">
        <f t="shared" si="3"/>
        <v>#DIV/0!</v>
      </c>
      <c r="AE16" t="e">
        <f t="shared" si="3"/>
        <v>#DIV/0!</v>
      </c>
      <c r="AF16" t="e">
        <f t="shared" si="3"/>
        <v>#DIV/0!</v>
      </c>
      <c r="AG16" t="e">
        <f t="shared" si="3"/>
        <v>#DIV/0!</v>
      </c>
      <c r="AH16" t="e">
        <f t="shared" si="3"/>
        <v>#DIV/0!</v>
      </c>
      <c r="AI16" t="e">
        <f t="shared" si="3"/>
        <v>#DIV/0!</v>
      </c>
      <c r="AJ16" t="e">
        <f t="shared" si="3"/>
        <v>#DIV/0!</v>
      </c>
      <c r="AK16" t="e">
        <f t="shared" si="3"/>
        <v>#DIV/0!</v>
      </c>
      <c r="AL16" t="e">
        <f t="shared" si="3"/>
        <v>#DIV/0!</v>
      </c>
      <c r="AM16" t="e">
        <f t="shared" si="3"/>
        <v>#DIV/0!</v>
      </c>
      <c r="AN16" t="e">
        <f t="shared" si="3"/>
        <v>#DIV/0!</v>
      </c>
    </row>
    <row r="17" spans="1:40" x14ac:dyDescent="0.2">
      <c r="A17" s="2" t="s">
        <v>518</v>
      </c>
      <c r="B17" s="21"/>
      <c r="C17" s="19"/>
      <c r="V17" t="str">
        <f t="shared" si="1"/>
        <v>RefPet</v>
      </c>
      <c r="W17">
        <v>0</v>
      </c>
      <c r="X17" t="e">
        <f t="shared" si="4"/>
        <v>#DIV/0!</v>
      </c>
      <c r="Y17" t="e">
        <f t="shared" si="3"/>
        <v>#DIV/0!</v>
      </c>
      <c r="Z17" t="e">
        <f t="shared" si="3"/>
        <v>#DIV/0!</v>
      </c>
      <c r="AA17" t="e">
        <f t="shared" si="3"/>
        <v>#DIV/0!</v>
      </c>
      <c r="AB17" t="e">
        <f t="shared" si="3"/>
        <v>#DIV/0!</v>
      </c>
      <c r="AC17" t="e">
        <f t="shared" si="3"/>
        <v>#DIV/0!</v>
      </c>
      <c r="AD17" t="e">
        <f t="shared" si="3"/>
        <v>#DIV/0!</v>
      </c>
      <c r="AE17" t="e">
        <f t="shared" si="3"/>
        <v>#DIV/0!</v>
      </c>
      <c r="AF17" t="e">
        <f t="shared" si="3"/>
        <v>#DIV/0!</v>
      </c>
      <c r="AG17" t="e">
        <f t="shared" si="3"/>
        <v>#DIV/0!</v>
      </c>
      <c r="AH17" t="e">
        <f t="shared" si="3"/>
        <v>#DIV/0!</v>
      </c>
      <c r="AI17" t="e">
        <f t="shared" si="3"/>
        <v>#DIV/0!</v>
      </c>
      <c r="AJ17" t="e">
        <f t="shared" si="3"/>
        <v>#DIV/0!</v>
      </c>
      <c r="AK17" t="e">
        <f t="shared" si="3"/>
        <v>#DIV/0!</v>
      </c>
      <c r="AL17" t="e">
        <f t="shared" si="3"/>
        <v>#DIV/0!</v>
      </c>
      <c r="AM17" t="e">
        <f t="shared" si="3"/>
        <v>#DIV/0!</v>
      </c>
      <c r="AN17" t="e">
        <f t="shared" si="3"/>
        <v>#DIV/0!</v>
      </c>
    </row>
    <row r="18" spans="1:40" x14ac:dyDescent="0.2">
      <c r="A18" s="2" t="s">
        <v>519</v>
      </c>
      <c r="B18" s="21"/>
      <c r="C18" s="19"/>
      <c r="V18" t="str">
        <f t="shared" si="1"/>
        <v>Chemical</v>
      </c>
      <c r="W18">
        <v>0</v>
      </c>
      <c r="X18" t="e">
        <f t="shared" si="4"/>
        <v>#DIV/0!</v>
      </c>
      <c r="Y18" t="e">
        <f t="shared" si="3"/>
        <v>#DIV/0!</v>
      </c>
      <c r="Z18" t="e">
        <f t="shared" si="3"/>
        <v>#DIV/0!</v>
      </c>
      <c r="AA18" t="e">
        <f t="shared" si="3"/>
        <v>#DIV/0!</v>
      </c>
      <c r="AB18" t="e">
        <f t="shared" si="3"/>
        <v>#DIV/0!</v>
      </c>
      <c r="AC18" t="e">
        <f t="shared" si="3"/>
        <v>#DIV/0!</v>
      </c>
      <c r="AD18" t="e">
        <f t="shared" si="3"/>
        <v>#DIV/0!</v>
      </c>
      <c r="AE18" t="e">
        <f t="shared" si="3"/>
        <v>#DIV/0!</v>
      </c>
      <c r="AF18" t="e">
        <f t="shared" si="3"/>
        <v>#DIV/0!</v>
      </c>
      <c r="AG18" t="e">
        <f t="shared" si="3"/>
        <v>#DIV/0!</v>
      </c>
      <c r="AH18" t="e">
        <f t="shared" si="3"/>
        <v>#DIV/0!</v>
      </c>
      <c r="AI18" t="e">
        <f t="shared" si="3"/>
        <v>#DIV/0!</v>
      </c>
      <c r="AJ18" t="e">
        <f t="shared" si="3"/>
        <v>#DIV/0!</v>
      </c>
      <c r="AK18" t="e">
        <f t="shared" si="3"/>
        <v>#DIV/0!</v>
      </c>
      <c r="AL18" t="e">
        <f t="shared" si="3"/>
        <v>#DIV/0!</v>
      </c>
      <c r="AM18" t="e">
        <f t="shared" si="3"/>
        <v>#DIV/0!</v>
      </c>
      <c r="AN18" t="e">
        <f t="shared" si="3"/>
        <v>#DIV/0!</v>
      </c>
    </row>
    <row r="19" spans="1:40" x14ac:dyDescent="0.2">
      <c r="A19" s="2" t="s">
        <v>520</v>
      </c>
      <c r="B19" s="21"/>
      <c r="C19" s="19"/>
      <c r="V19" t="str">
        <f t="shared" si="1"/>
        <v>NMetPr</v>
      </c>
      <c r="W19">
        <v>0</v>
      </c>
      <c r="X19" t="e">
        <f t="shared" si="4"/>
        <v>#DIV/0!</v>
      </c>
      <c r="Y19" t="e">
        <f t="shared" si="3"/>
        <v>#DIV/0!</v>
      </c>
      <c r="Z19" t="e">
        <f t="shared" si="3"/>
        <v>#DIV/0!</v>
      </c>
      <c r="AA19" t="e">
        <f t="shared" si="3"/>
        <v>#DIV/0!</v>
      </c>
      <c r="AB19" t="e">
        <f t="shared" si="3"/>
        <v>#DIV/0!</v>
      </c>
      <c r="AC19" t="e">
        <f t="shared" si="3"/>
        <v>#DIV/0!</v>
      </c>
      <c r="AD19" t="e">
        <f t="shared" si="3"/>
        <v>#DIV/0!</v>
      </c>
      <c r="AE19" t="e">
        <f t="shared" si="3"/>
        <v>#DIV/0!</v>
      </c>
      <c r="AF19" t="e">
        <f t="shared" si="3"/>
        <v>#DIV/0!</v>
      </c>
      <c r="AG19" t="e">
        <f t="shared" si="3"/>
        <v>#DIV/0!</v>
      </c>
      <c r="AH19" t="e">
        <f t="shared" si="3"/>
        <v>#DIV/0!</v>
      </c>
      <c r="AI19" t="e">
        <f t="shared" si="3"/>
        <v>#DIV/0!</v>
      </c>
      <c r="AJ19" t="e">
        <f t="shared" si="3"/>
        <v>#DIV/0!</v>
      </c>
      <c r="AK19" t="e">
        <f t="shared" si="3"/>
        <v>#DIV/0!</v>
      </c>
      <c r="AL19" t="e">
        <f t="shared" si="3"/>
        <v>#DIV/0!</v>
      </c>
      <c r="AM19" t="e">
        <f t="shared" si="3"/>
        <v>#DIV/0!</v>
      </c>
      <c r="AN19" t="e">
        <f t="shared" si="3"/>
        <v>#DIV/0!</v>
      </c>
    </row>
    <row r="20" spans="1:40" x14ac:dyDescent="0.2">
      <c r="A20" s="2" t="s">
        <v>521</v>
      </c>
      <c r="B20" s="21"/>
      <c r="C20" s="19"/>
      <c r="V20" t="str">
        <f t="shared" si="1"/>
        <v>Metals</v>
      </c>
      <c r="W20">
        <v>0</v>
      </c>
      <c r="X20" t="e">
        <f t="shared" si="4"/>
        <v>#DIV/0!</v>
      </c>
      <c r="Y20" t="e">
        <f t="shared" si="3"/>
        <v>#DIV/0!</v>
      </c>
      <c r="Z20" t="e">
        <f t="shared" si="3"/>
        <v>#DIV/0!</v>
      </c>
      <c r="AA20" t="e">
        <f t="shared" si="3"/>
        <v>#DIV/0!</v>
      </c>
      <c r="AB20" t="e">
        <f t="shared" si="3"/>
        <v>#DIV/0!</v>
      </c>
      <c r="AC20" t="e">
        <f t="shared" si="3"/>
        <v>#DIV/0!</v>
      </c>
      <c r="AD20" t="e">
        <f t="shared" si="3"/>
        <v>#DIV/0!</v>
      </c>
      <c r="AE20" t="e">
        <f t="shared" si="3"/>
        <v>#DIV/0!</v>
      </c>
      <c r="AF20" t="e">
        <f t="shared" si="3"/>
        <v>#DIV/0!</v>
      </c>
      <c r="AG20" t="e">
        <f t="shared" si="3"/>
        <v>#DIV/0!</v>
      </c>
      <c r="AH20" t="e">
        <f t="shared" si="3"/>
        <v>#DIV/0!</v>
      </c>
      <c r="AI20" t="e">
        <f t="shared" si="3"/>
        <v>#DIV/0!</v>
      </c>
      <c r="AJ20" t="e">
        <f t="shared" si="3"/>
        <v>#DIV/0!</v>
      </c>
      <c r="AK20" t="e">
        <f t="shared" si="3"/>
        <v>#DIV/0!</v>
      </c>
      <c r="AL20" t="e">
        <f t="shared" si="3"/>
        <v>#DIV/0!</v>
      </c>
      <c r="AM20" t="e">
        <f t="shared" si="3"/>
        <v>#DIV/0!</v>
      </c>
      <c r="AN20" t="e">
        <f t="shared" si="3"/>
        <v>#DIV/0!</v>
      </c>
    </row>
    <row r="21" spans="1:40" x14ac:dyDescent="0.2">
      <c r="A21" s="2" t="s">
        <v>522</v>
      </c>
      <c r="B21" s="21"/>
      <c r="C21" s="19"/>
      <c r="V21" t="str">
        <f t="shared" si="1"/>
        <v>MetalPr</v>
      </c>
      <c r="W21">
        <v>0</v>
      </c>
      <c r="X21" t="e">
        <f t="shared" si="4"/>
        <v>#DIV/0!</v>
      </c>
      <c r="Y21" t="e">
        <f t="shared" si="3"/>
        <v>#DIV/0!</v>
      </c>
      <c r="Z21" t="e">
        <f t="shared" si="3"/>
        <v>#DIV/0!</v>
      </c>
      <c r="AA21" t="e">
        <f t="shared" si="3"/>
        <v>#DIV/0!</v>
      </c>
      <c r="AB21" t="e">
        <f t="shared" si="3"/>
        <v>#DIV/0!</v>
      </c>
      <c r="AC21" t="e">
        <f t="shared" si="3"/>
        <v>#DIV/0!</v>
      </c>
      <c r="AD21" t="e">
        <f t="shared" si="3"/>
        <v>#DIV/0!</v>
      </c>
      <c r="AE21" t="e">
        <f t="shared" si="3"/>
        <v>#DIV/0!</v>
      </c>
      <c r="AF21" t="e">
        <f t="shared" si="3"/>
        <v>#DIV/0!</v>
      </c>
      <c r="AG21" t="e">
        <f t="shared" si="3"/>
        <v>#DIV/0!</v>
      </c>
      <c r="AH21" t="e">
        <f t="shared" si="3"/>
        <v>#DIV/0!</v>
      </c>
      <c r="AI21" t="e">
        <f t="shared" si="3"/>
        <v>#DIV/0!</v>
      </c>
      <c r="AJ21" t="e">
        <f t="shared" si="3"/>
        <v>#DIV/0!</v>
      </c>
      <c r="AK21" t="e">
        <f t="shared" si="3"/>
        <v>#DIV/0!</v>
      </c>
      <c r="AL21" t="e">
        <f t="shared" si="3"/>
        <v>#DIV/0!</v>
      </c>
      <c r="AM21" t="e">
        <f t="shared" si="3"/>
        <v>#DIV/0!</v>
      </c>
      <c r="AN21" t="e">
        <f t="shared" si="3"/>
        <v>#DIV/0!</v>
      </c>
    </row>
    <row r="22" spans="1:40" x14ac:dyDescent="0.2">
      <c r="A22" s="2" t="s">
        <v>523</v>
      </c>
      <c r="B22" s="21"/>
      <c r="C22" s="19"/>
      <c r="V22" t="str">
        <f t="shared" si="1"/>
        <v>GenEqp</v>
      </c>
      <c r="W22">
        <v>0</v>
      </c>
      <c r="X22" t="e">
        <f t="shared" si="4"/>
        <v>#DIV/0!</v>
      </c>
      <c r="Y22" t="e">
        <f t="shared" ref="Y22:AM22" si="5">100*(D22/C22-1)</f>
        <v>#DIV/0!</v>
      </c>
      <c r="Z22" t="e">
        <f t="shared" si="5"/>
        <v>#DIV/0!</v>
      </c>
      <c r="AA22" t="e">
        <f t="shared" si="5"/>
        <v>#DIV/0!</v>
      </c>
      <c r="AB22" t="e">
        <f t="shared" si="5"/>
        <v>#DIV/0!</v>
      </c>
      <c r="AC22" t="e">
        <f t="shared" si="5"/>
        <v>#DIV/0!</v>
      </c>
      <c r="AD22" t="e">
        <f t="shared" si="5"/>
        <v>#DIV/0!</v>
      </c>
      <c r="AE22" t="e">
        <f t="shared" si="5"/>
        <v>#DIV/0!</v>
      </c>
      <c r="AF22" t="e">
        <f t="shared" si="5"/>
        <v>#DIV/0!</v>
      </c>
      <c r="AG22" t="e">
        <f t="shared" si="5"/>
        <v>#DIV/0!</v>
      </c>
      <c r="AH22" t="e">
        <f t="shared" si="5"/>
        <v>#DIV/0!</v>
      </c>
      <c r="AI22" t="e">
        <f t="shared" si="5"/>
        <v>#DIV/0!</v>
      </c>
      <c r="AJ22" t="e">
        <f t="shared" si="5"/>
        <v>#DIV/0!</v>
      </c>
      <c r="AK22" t="e">
        <f t="shared" si="5"/>
        <v>#DIV/0!</v>
      </c>
      <c r="AL22" t="e">
        <f t="shared" si="5"/>
        <v>#DIV/0!</v>
      </c>
      <c r="AM22" t="e">
        <f t="shared" si="5"/>
        <v>#DIV/0!</v>
      </c>
      <c r="AN22" t="e">
        <f t="shared" ref="Y22:AN31" si="6">100*(S22/R22-1)</f>
        <v>#DIV/0!</v>
      </c>
    </row>
    <row r="23" spans="1:40" x14ac:dyDescent="0.2">
      <c r="A23" s="2" t="s">
        <v>524</v>
      </c>
      <c r="B23" s="21"/>
      <c r="C23" s="19"/>
      <c r="V23" t="str">
        <f t="shared" si="1"/>
        <v>SpecEqp</v>
      </c>
      <c r="W23">
        <v>0</v>
      </c>
      <c r="X23" t="e">
        <f t="shared" si="4"/>
        <v>#DIV/0!</v>
      </c>
      <c r="Y23" t="e">
        <f t="shared" si="6"/>
        <v>#DIV/0!</v>
      </c>
      <c r="Z23" t="e">
        <f t="shared" si="6"/>
        <v>#DIV/0!</v>
      </c>
      <c r="AA23" t="e">
        <f t="shared" si="6"/>
        <v>#DIV/0!</v>
      </c>
      <c r="AB23" t="e">
        <f t="shared" si="6"/>
        <v>#DIV/0!</v>
      </c>
      <c r="AC23" t="e">
        <f t="shared" si="6"/>
        <v>#DIV/0!</v>
      </c>
      <c r="AD23" t="e">
        <f t="shared" si="6"/>
        <v>#DIV/0!</v>
      </c>
      <c r="AE23" t="e">
        <f t="shared" si="6"/>
        <v>#DIV/0!</v>
      </c>
      <c r="AF23" t="e">
        <f t="shared" si="6"/>
        <v>#DIV/0!</v>
      </c>
      <c r="AG23" t="e">
        <f t="shared" si="6"/>
        <v>#DIV/0!</v>
      </c>
      <c r="AH23" t="e">
        <f t="shared" si="6"/>
        <v>#DIV/0!</v>
      </c>
      <c r="AI23" t="e">
        <f t="shared" si="6"/>
        <v>#DIV/0!</v>
      </c>
      <c r="AJ23" t="e">
        <f t="shared" si="6"/>
        <v>#DIV/0!</v>
      </c>
      <c r="AK23" t="e">
        <f t="shared" si="6"/>
        <v>#DIV/0!</v>
      </c>
      <c r="AL23" t="e">
        <f t="shared" si="6"/>
        <v>#DIV/0!</v>
      </c>
      <c r="AM23" t="e">
        <f>100*(R23/Q23-1)</f>
        <v>#DIV/0!</v>
      </c>
      <c r="AN23" t="e">
        <f t="shared" si="6"/>
        <v>#DIV/0!</v>
      </c>
    </row>
    <row r="24" spans="1:40" x14ac:dyDescent="0.2">
      <c r="A24" s="2" t="s">
        <v>525</v>
      </c>
      <c r="B24" s="21"/>
      <c r="C24" s="19"/>
      <c r="V24" t="str">
        <f t="shared" si="1"/>
        <v>TransEqp</v>
      </c>
      <c r="W24">
        <v>0</v>
      </c>
      <c r="X24" t="e">
        <f t="shared" si="4"/>
        <v>#DIV/0!</v>
      </c>
      <c r="Y24" t="e">
        <f t="shared" si="6"/>
        <v>#DIV/0!</v>
      </c>
      <c r="Z24" t="e">
        <f t="shared" si="6"/>
        <v>#DIV/0!</v>
      </c>
      <c r="AA24" t="e">
        <f t="shared" si="6"/>
        <v>#DIV/0!</v>
      </c>
      <c r="AB24" t="e">
        <f t="shared" si="6"/>
        <v>#DIV/0!</v>
      </c>
      <c r="AC24" t="e">
        <f t="shared" si="6"/>
        <v>#DIV/0!</v>
      </c>
      <c r="AD24" t="e">
        <f t="shared" si="6"/>
        <v>#DIV/0!</v>
      </c>
      <c r="AE24" t="e">
        <f t="shared" si="6"/>
        <v>#DIV/0!</v>
      </c>
      <c r="AF24" t="e">
        <f t="shared" si="6"/>
        <v>#DIV/0!</v>
      </c>
      <c r="AG24" t="e">
        <f t="shared" si="6"/>
        <v>#DIV/0!</v>
      </c>
      <c r="AH24" t="e">
        <f t="shared" si="6"/>
        <v>#DIV/0!</v>
      </c>
      <c r="AI24" t="e">
        <f t="shared" si="6"/>
        <v>#DIV/0!</v>
      </c>
      <c r="AJ24" t="e">
        <f t="shared" si="6"/>
        <v>#DIV/0!</v>
      </c>
      <c r="AK24" t="e">
        <f t="shared" si="6"/>
        <v>#DIV/0!</v>
      </c>
      <c r="AL24" t="e">
        <f t="shared" si="6"/>
        <v>#DIV/0!</v>
      </c>
      <c r="AM24" t="e">
        <f t="shared" si="6"/>
        <v>#DIV/0!</v>
      </c>
      <c r="AN24" t="e">
        <f t="shared" si="6"/>
        <v>#DIV/0!</v>
      </c>
    </row>
    <row r="25" spans="1:40" x14ac:dyDescent="0.2">
      <c r="A25" s="2" t="s">
        <v>526</v>
      </c>
      <c r="B25" s="21"/>
      <c r="C25" s="19"/>
      <c r="V25" t="str">
        <f t="shared" si="1"/>
        <v>ElecEqp</v>
      </c>
      <c r="W25">
        <v>0</v>
      </c>
      <c r="X25" t="e">
        <f t="shared" si="4"/>
        <v>#DIV/0!</v>
      </c>
      <c r="Y25" t="e">
        <f t="shared" si="6"/>
        <v>#DIV/0!</v>
      </c>
      <c r="Z25" t="e">
        <f t="shared" si="6"/>
        <v>#DIV/0!</v>
      </c>
      <c r="AA25" t="e">
        <f t="shared" si="6"/>
        <v>#DIV/0!</v>
      </c>
      <c r="AB25" t="e">
        <f t="shared" si="6"/>
        <v>#DIV/0!</v>
      </c>
      <c r="AC25" t="e">
        <f t="shared" si="6"/>
        <v>#DIV/0!</v>
      </c>
      <c r="AD25" t="e">
        <f t="shared" si="6"/>
        <v>#DIV/0!</v>
      </c>
      <c r="AE25" t="e">
        <f t="shared" si="6"/>
        <v>#DIV/0!</v>
      </c>
      <c r="AF25" t="e">
        <f t="shared" si="6"/>
        <v>#DIV/0!</v>
      </c>
      <c r="AG25" t="e">
        <f t="shared" si="6"/>
        <v>#DIV/0!</v>
      </c>
      <c r="AH25" t="e">
        <f t="shared" si="6"/>
        <v>#DIV/0!</v>
      </c>
      <c r="AI25" t="e">
        <f t="shared" si="6"/>
        <v>#DIV/0!</v>
      </c>
      <c r="AJ25" t="e">
        <f t="shared" si="6"/>
        <v>#DIV/0!</v>
      </c>
      <c r="AK25" t="e">
        <f t="shared" si="6"/>
        <v>#DIV/0!</v>
      </c>
      <c r="AL25" t="e">
        <f t="shared" si="6"/>
        <v>#DIV/0!</v>
      </c>
      <c r="AM25" t="e">
        <f t="shared" si="6"/>
        <v>#DIV/0!</v>
      </c>
      <c r="AN25" t="e">
        <f t="shared" si="6"/>
        <v>#DIV/0!</v>
      </c>
    </row>
    <row r="26" spans="1:40" x14ac:dyDescent="0.2">
      <c r="A26" s="2" t="s">
        <v>527</v>
      </c>
      <c r="B26" s="21"/>
      <c r="C26" s="19"/>
      <c r="V26" t="str">
        <f t="shared" si="1"/>
        <v>ICTEqp</v>
      </c>
      <c r="W26">
        <v>0</v>
      </c>
      <c r="X26" t="e">
        <f t="shared" si="4"/>
        <v>#DIV/0!</v>
      </c>
      <c r="Y26" t="e">
        <f t="shared" si="6"/>
        <v>#DIV/0!</v>
      </c>
      <c r="Z26" t="e">
        <f t="shared" si="6"/>
        <v>#DIV/0!</v>
      </c>
      <c r="AA26" t="e">
        <f t="shared" si="6"/>
        <v>#DIV/0!</v>
      </c>
      <c r="AB26" t="e">
        <f t="shared" si="6"/>
        <v>#DIV/0!</v>
      </c>
      <c r="AC26" t="e">
        <f t="shared" si="6"/>
        <v>#DIV/0!</v>
      </c>
      <c r="AD26" t="e">
        <f t="shared" si="6"/>
        <v>#DIV/0!</v>
      </c>
      <c r="AE26" t="e">
        <f t="shared" si="6"/>
        <v>#DIV/0!</v>
      </c>
      <c r="AF26" t="e">
        <f t="shared" si="6"/>
        <v>#DIV/0!</v>
      </c>
      <c r="AG26" t="e">
        <f t="shared" si="6"/>
        <v>#DIV/0!</v>
      </c>
      <c r="AH26" t="e">
        <f t="shared" si="6"/>
        <v>#DIV/0!</v>
      </c>
      <c r="AI26" t="e">
        <f t="shared" si="6"/>
        <v>#DIV/0!</v>
      </c>
      <c r="AJ26" t="e">
        <f t="shared" si="6"/>
        <v>#DIV/0!</v>
      </c>
      <c r="AK26" t="e">
        <f t="shared" si="6"/>
        <v>#DIV/0!</v>
      </c>
      <c r="AL26" t="e">
        <f t="shared" si="6"/>
        <v>#DIV/0!</v>
      </c>
      <c r="AM26" t="e">
        <f t="shared" si="6"/>
        <v>#DIV/0!</v>
      </c>
      <c r="AN26" t="e">
        <f t="shared" si="6"/>
        <v>#DIV/0!</v>
      </c>
    </row>
    <row r="27" spans="1:40" x14ac:dyDescent="0.2">
      <c r="A27" s="2" t="s">
        <v>528</v>
      </c>
      <c r="B27" s="21"/>
      <c r="C27" s="19"/>
      <c r="V27" t="str">
        <f t="shared" si="1"/>
        <v>PrecInst</v>
      </c>
      <c r="W27">
        <v>0</v>
      </c>
      <c r="X27" t="e">
        <f t="shared" si="4"/>
        <v>#DIV/0!</v>
      </c>
      <c r="Y27" t="e">
        <f t="shared" si="6"/>
        <v>#DIV/0!</v>
      </c>
      <c r="Z27" t="e">
        <f t="shared" si="6"/>
        <v>#DIV/0!</v>
      </c>
      <c r="AA27" t="e">
        <f t="shared" si="6"/>
        <v>#DIV/0!</v>
      </c>
      <c r="AB27" t="e">
        <f t="shared" si="6"/>
        <v>#DIV/0!</v>
      </c>
      <c r="AC27" t="e">
        <f t="shared" si="6"/>
        <v>#DIV/0!</v>
      </c>
      <c r="AD27" t="e">
        <f t="shared" si="6"/>
        <v>#DIV/0!</v>
      </c>
      <c r="AE27" t="e">
        <f t="shared" si="6"/>
        <v>#DIV/0!</v>
      </c>
      <c r="AF27" t="e">
        <f t="shared" si="6"/>
        <v>#DIV/0!</v>
      </c>
      <c r="AG27" t="e">
        <f t="shared" si="6"/>
        <v>#DIV/0!</v>
      </c>
      <c r="AH27" t="e">
        <f t="shared" si="6"/>
        <v>#DIV/0!</v>
      </c>
      <c r="AI27" t="e">
        <f t="shared" si="6"/>
        <v>#DIV/0!</v>
      </c>
      <c r="AJ27" t="e">
        <f t="shared" si="6"/>
        <v>#DIV/0!</v>
      </c>
      <c r="AK27" t="e">
        <f t="shared" si="6"/>
        <v>#DIV/0!</v>
      </c>
      <c r="AL27" t="e">
        <f t="shared" si="6"/>
        <v>#DIV/0!</v>
      </c>
      <c r="AM27" t="e">
        <f t="shared" si="6"/>
        <v>#DIV/0!</v>
      </c>
      <c r="AN27" t="e">
        <f t="shared" si="6"/>
        <v>#DIV/0!</v>
      </c>
    </row>
    <row r="28" spans="1:40" x14ac:dyDescent="0.2">
      <c r="A28" s="2" t="s">
        <v>529</v>
      </c>
      <c r="B28" s="21"/>
      <c r="C28" s="19"/>
      <c r="V28" t="str">
        <f t="shared" si="1"/>
        <v>OthMfg</v>
      </c>
      <c r="W28">
        <v>0</v>
      </c>
      <c r="X28" t="e">
        <f t="shared" si="4"/>
        <v>#DIV/0!</v>
      </c>
      <c r="Y28" t="e">
        <f t="shared" si="6"/>
        <v>#DIV/0!</v>
      </c>
      <c r="Z28" t="e">
        <f t="shared" si="6"/>
        <v>#DIV/0!</v>
      </c>
      <c r="AA28" t="e">
        <f t="shared" si="6"/>
        <v>#DIV/0!</v>
      </c>
      <c r="AB28" t="e">
        <f t="shared" si="6"/>
        <v>#DIV/0!</v>
      </c>
      <c r="AC28" t="e">
        <f t="shared" si="6"/>
        <v>#DIV/0!</v>
      </c>
      <c r="AD28" t="e">
        <f t="shared" si="6"/>
        <v>#DIV/0!</v>
      </c>
      <c r="AE28" t="e">
        <f t="shared" si="6"/>
        <v>#DIV/0!</v>
      </c>
      <c r="AF28" t="e">
        <f t="shared" si="6"/>
        <v>#DIV/0!</v>
      </c>
      <c r="AG28" t="e">
        <f t="shared" si="6"/>
        <v>#DIV/0!</v>
      </c>
      <c r="AH28" t="e">
        <f t="shared" si="6"/>
        <v>#DIV/0!</v>
      </c>
      <c r="AI28" t="e">
        <f t="shared" si="6"/>
        <v>#DIV/0!</v>
      </c>
      <c r="AJ28" t="e">
        <f t="shared" si="6"/>
        <v>#DIV/0!</v>
      </c>
      <c r="AK28" t="e">
        <f t="shared" si="6"/>
        <v>#DIV/0!</v>
      </c>
      <c r="AL28" t="e">
        <f t="shared" si="6"/>
        <v>#DIV/0!</v>
      </c>
      <c r="AM28" t="e">
        <f t="shared" si="6"/>
        <v>#DIV/0!</v>
      </c>
      <c r="AN28" t="e">
        <f t="shared" si="6"/>
        <v>#DIV/0!</v>
      </c>
    </row>
    <row r="29" spans="1:40" x14ac:dyDescent="0.2">
      <c r="A29" s="2" t="s">
        <v>530</v>
      </c>
      <c r="B29" s="21"/>
      <c r="C29" s="19"/>
      <c r="V29" t="str">
        <f t="shared" si="1"/>
        <v>Waste</v>
      </c>
      <c r="W29">
        <v>0</v>
      </c>
      <c r="X29" t="e">
        <f t="shared" si="4"/>
        <v>#DIV/0!</v>
      </c>
      <c r="Y29" t="e">
        <f t="shared" si="6"/>
        <v>#DIV/0!</v>
      </c>
      <c r="Z29" t="e">
        <f t="shared" si="6"/>
        <v>#DIV/0!</v>
      </c>
      <c r="AA29" t="e">
        <f t="shared" si="6"/>
        <v>#DIV/0!</v>
      </c>
      <c r="AB29" t="e">
        <f t="shared" si="6"/>
        <v>#DIV/0!</v>
      </c>
      <c r="AC29" t="e">
        <f t="shared" si="6"/>
        <v>#DIV/0!</v>
      </c>
      <c r="AD29" t="e">
        <f t="shared" si="6"/>
        <v>#DIV/0!</v>
      </c>
      <c r="AE29" t="e">
        <f t="shared" si="6"/>
        <v>#DIV/0!</v>
      </c>
      <c r="AF29" t="e">
        <f t="shared" si="6"/>
        <v>#DIV/0!</v>
      </c>
      <c r="AG29" t="e">
        <f t="shared" si="6"/>
        <v>#DIV/0!</v>
      </c>
      <c r="AH29" t="e">
        <f t="shared" si="6"/>
        <v>#DIV/0!</v>
      </c>
      <c r="AI29" t="e">
        <f t="shared" si="6"/>
        <v>#DIV/0!</v>
      </c>
      <c r="AJ29" t="e">
        <f t="shared" si="6"/>
        <v>#DIV/0!</v>
      </c>
      <c r="AK29" t="e">
        <f t="shared" si="6"/>
        <v>#DIV/0!</v>
      </c>
      <c r="AL29" t="e">
        <f t="shared" si="6"/>
        <v>#DIV/0!</v>
      </c>
      <c r="AM29" t="e">
        <f t="shared" si="6"/>
        <v>#DIV/0!</v>
      </c>
      <c r="AN29" t="e">
        <f t="shared" si="6"/>
        <v>#DIV/0!</v>
      </c>
    </row>
    <row r="30" spans="1:40" x14ac:dyDescent="0.2">
      <c r="A30" s="2" t="s">
        <v>531</v>
      </c>
      <c r="B30" s="21"/>
      <c r="C30" s="19"/>
      <c r="V30" t="str">
        <f t="shared" si="1"/>
        <v>MachRep</v>
      </c>
      <c r="W30">
        <v>0</v>
      </c>
      <c r="X30" t="e">
        <f t="shared" si="4"/>
        <v>#DIV/0!</v>
      </c>
      <c r="Y30" t="e">
        <f t="shared" si="6"/>
        <v>#DIV/0!</v>
      </c>
      <c r="Z30" t="e">
        <f t="shared" si="6"/>
        <v>#DIV/0!</v>
      </c>
      <c r="AA30" t="e">
        <f t="shared" si="6"/>
        <v>#DIV/0!</v>
      </c>
      <c r="AB30" t="e">
        <f t="shared" si="6"/>
        <v>#DIV/0!</v>
      </c>
      <c r="AC30" t="e">
        <f t="shared" si="6"/>
        <v>#DIV/0!</v>
      </c>
      <c r="AD30" t="e">
        <f t="shared" si="6"/>
        <v>#DIV/0!</v>
      </c>
      <c r="AE30" t="e">
        <f t="shared" si="6"/>
        <v>#DIV/0!</v>
      </c>
      <c r="AF30" t="e">
        <f t="shared" si="6"/>
        <v>#DIV/0!</v>
      </c>
      <c r="AG30" t="e">
        <f t="shared" si="6"/>
        <v>#DIV/0!</v>
      </c>
      <c r="AH30" t="e">
        <f t="shared" si="6"/>
        <v>#DIV/0!</v>
      </c>
      <c r="AI30" t="e">
        <f t="shared" si="6"/>
        <v>#DIV/0!</v>
      </c>
      <c r="AJ30" t="e">
        <f t="shared" si="6"/>
        <v>#DIV/0!</v>
      </c>
      <c r="AK30" t="e">
        <f t="shared" si="6"/>
        <v>#DIV/0!</v>
      </c>
      <c r="AL30" t="e">
        <f t="shared" si="6"/>
        <v>#DIV/0!</v>
      </c>
      <c r="AM30" t="e">
        <f t="shared" si="6"/>
        <v>#DIV/0!</v>
      </c>
      <c r="AN30" t="e">
        <f t="shared" si="6"/>
        <v>#DIV/0!</v>
      </c>
    </row>
    <row r="31" spans="1:40" x14ac:dyDescent="0.2">
      <c r="A31" s="2" t="s">
        <v>532</v>
      </c>
      <c r="B31" s="21"/>
      <c r="C31" s="19"/>
      <c r="V31" t="str">
        <f t="shared" si="1"/>
        <v>ElecDist</v>
      </c>
      <c r="W31">
        <v>0</v>
      </c>
      <c r="X31" t="e">
        <f t="shared" si="4"/>
        <v>#DIV/0!</v>
      </c>
      <c r="Y31" t="e">
        <f t="shared" si="6"/>
        <v>#DIV/0!</v>
      </c>
      <c r="Z31" t="e">
        <f t="shared" si="6"/>
        <v>#DIV/0!</v>
      </c>
      <c r="AA31" t="e">
        <f t="shared" si="6"/>
        <v>#DIV/0!</v>
      </c>
      <c r="AB31" t="e">
        <f t="shared" si="6"/>
        <v>#DIV/0!</v>
      </c>
      <c r="AC31" t="e">
        <f t="shared" si="6"/>
        <v>#DIV/0!</v>
      </c>
      <c r="AD31" t="e">
        <f t="shared" si="6"/>
        <v>#DIV/0!</v>
      </c>
      <c r="AE31" t="e">
        <f t="shared" si="6"/>
        <v>#DIV/0!</v>
      </c>
      <c r="AF31" t="e">
        <f t="shared" si="6"/>
        <v>#DIV/0!</v>
      </c>
      <c r="AG31" t="e">
        <f t="shared" si="6"/>
        <v>#DIV/0!</v>
      </c>
      <c r="AH31" t="e">
        <f t="shared" si="6"/>
        <v>#DIV/0!</v>
      </c>
      <c r="AI31" t="e">
        <f t="shared" si="6"/>
        <v>#DIV/0!</v>
      </c>
      <c r="AJ31" t="e">
        <f t="shared" si="6"/>
        <v>#DIV/0!</v>
      </c>
      <c r="AK31" t="e">
        <f t="shared" si="6"/>
        <v>#DIV/0!</v>
      </c>
      <c r="AL31" t="e">
        <f t="shared" si="6"/>
        <v>#DIV/0!</v>
      </c>
      <c r="AM31" t="e">
        <f t="shared" si="6"/>
        <v>#DIV/0!</v>
      </c>
      <c r="AN31" t="e">
        <f t="shared" si="6"/>
        <v>#DIV/0!</v>
      </c>
    </row>
    <row r="32" spans="1:40" x14ac:dyDescent="0.2">
      <c r="A32" s="2" t="s">
        <v>533</v>
      </c>
      <c r="B32" s="21"/>
      <c r="C32" s="19"/>
    </row>
    <row r="33" spans="1:29" x14ac:dyDescent="0.2">
      <c r="A33" s="2" t="s">
        <v>534</v>
      </c>
      <c r="B33" s="21"/>
      <c r="C33" s="19"/>
    </row>
    <row r="34" spans="1:29" x14ac:dyDescent="0.2">
      <c r="A34" s="2" t="s">
        <v>535</v>
      </c>
      <c r="B34" s="21"/>
      <c r="C34" s="19"/>
      <c r="W34" s="13">
        <f>D34</f>
        <v>0</v>
      </c>
      <c r="X34" s="13">
        <f t="shared" ref="X34:AC34" si="7">E34</f>
        <v>0</v>
      </c>
      <c r="Y34" s="13">
        <f t="shared" si="7"/>
        <v>0</v>
      </c>
      <c r="Z34" s="13">
        <f t="shared" si="7"/>
        <v>0</v>
      </c>
      <c r="AA34" s="13">
        <f t="shared" si="7"/>
        <v>0</v>
      </c>
      <c r="AB34" s="13">
        <f t="shared" si="7"/>
        <v>0</v>
      </c>
      <c r="AC34" s="13">
        <f t="shared" si="7"/>
        <v>0</v>
      </c>
    </row>
    <row r="35" spans="1:29" x14ac:dyDescent="0.2">
      <c r="A35" s="2" t="s">
        <v>536</v>
      </c>
      <c r="B35" s="21"/>
      <c r="C35" s="19"/>
      <c r="V35" t="str">
        <f>A35</f>
        <v>WhRetTr</v>
      </c>
      <c r="W35" s="10">
        <v>0</v>
      </c>
      <c r="X35" s="10" t="e">
        <f t="shared" ref="X35:X46" si="8">100*(E35/D35-1)</f>
        <v>#DIV/0!</v>
      </c>
      <c r="Y35" s="10" t="e">
        <f t="shared" ref="Y35:AC46" si="9">100*(F35/E35-1)</f>
        <v>#DIV/0!</v>
      </c>
      <c r="Z35" s="10" t="e">
        <f t="shared" si="9"/>
        <v>#DIV/0!</v>
      </c>
      <c r="AA35" s="10" t="e">
        <f t="shared" si="9"/>
        <v>#DIV/0!</v>
      </c>
      <c r="AB35" s="10" t="e">
        <f t="shared" si="9"/>
        <v>#DIV/0!</v>
      </c>
      <c r="AC35" s="10" t="e">
        <f t="shared" si="9"/>
        <v>#DIV/0!</v>
      </c>
    </row>
    <row r="36" spans="1:29" x14ac:dyDescent="0.2">
      <c r="A36" s="2" t="s">
        <v>537</v>
      </c>
      <c r="B36" s="21"/>
      <c r="C36" s="19"/>
      <c r="V36" t="str">
        <f t="shared" ref="V36:V60" si="10">A36</f>
        <v>TranspSrv</v>
      </c>
      <c r="W36" s="10">
        <v>0</v>
      </c>
      <c r="X36" s="10" t="e">
        <f t="shared" si="8"/>
        <v>#DIV/0!</v>
      </c>
      <c r="Y36" s="10" t="e">
        <f t="shared" si="9"/>
        <v>#DIV/0!</v>
      </c>
      <c r="Z36" s="10" t="e">
        <f t="shared" si="9"/>
        <v>#DIV/0!</v>
      </c>
      <c r="AA36" s="10" t="e">
        <f t="shared" si="9"/>
        <v>#DIV/0!</v>
      </c>
      <c r="AB36" s="10" t="e">
        <f t="shared" si="9"/>
        <v>#DIV/0!</v>
      </c>
      <c r="AC36" s="10" t="e">
        <f t="shared" si="9"/>
        <v>#DIV/0!</v>
      </c>
    </row>
    <row r="37" spans="1:29" x14ac:dyDescent="0.2">
      <c r="A37" s="2" t="s">
        <v>538</v>
      </c>
      <c r="B37" s="21"/>
      <c r="C37" s="19"/>
      <c r="V37" t="str">
        <f t="shared" si="10"/>
        <v>HotRest</v>
      </c>
      <c r="W37" s="10">
        <v>0</v>
      </c>
      <c r="X37" s="10" t="e">
        <f t="shared" si="8"/>
        <v>#DIV/0!</v>
      </c>
      <c r="Y37" s="10" t="e">
        <f t="shared" si="9"/>
        <v>#DIV/0!</v>
      </c>
      <c r="Z37" s="10" t="e">
        <f t="shared" si="9"/>
        <v>#DIV/0!</v>
      </c>
      <c r="AA37" s="10" t="e">
        <f t="shared" si="9"/>
        <v>#DIV/0!</v>
      </c>
      <c r="AB37" s="10" t="e">
        <f t="shared" si="9"/>
        <v>#DIV/0!</v>
      </c>
      <c r="AC37" s="10" t="e">
        <f t="shared" si="9"/>
        <v>#DIV/0!</v>
      </c>
    </row>
    <row r="38" spans="1:29" x14ac:dyDescent="0.2">
      <c r="A38" s="2" t="s">
        <v>539</v>
      </c>
      <c r="B38" s="21"/>
      <c r="C38" s="19"/>
      <c r="V38" t="str">
        <f t="shared" si="10"/>
        <v>ICTServ</v>
      </c>
      <c r="W38" s="10">
        <v>0</v>
      </c>
      <c r="X38" s="10" t="e">
        <f t="shared" si="8"/>
        <v>#DIV/0!</v>
      </c>
      <c r="Y38" s="10" t="e">
        <f t="shared" si="9"/>
        <v>#DIV/0!</v>
      </c>
      <c r="Z38" s="10" t="e">
        <f t="shared" si="9"/>
        <v>#DIV/0!</v>
      </c>
      <c r="AA38" s="10" t="e">
        <f t="shared" si="9"/>
        <v>#DIV/0!</v>
      </c>
      <c r="AB38" s="10" t="e">
        <f t="shared" si="9"/>
        <v>#DIV/0!</v>
      </c>
      <c r="AC38" s="10" t="e">
        <f t="shared" si="9"/>
        <v>#DIV/0!</v>
      </c>
    </row>
    <row r="39" spans="1:29" x14ac:dyDescent="0.2">
      <c r="A39" s="2" t="s">
        <v>540</v>
      </c>
      <c r="B39" s="21"/>
      <c r="C39" s="19"/>
      <c r="V39" t="str">
        <f t="shared" si="10"/>
        <v>Finance</v>
      </c>
      <c r="W39" s="10">
        <v>0</v>
      </c>
      <c r="X39" s="10" t="e">
        <f t="shared" si="8"/>
        <v>#DIV/0!</v>
      </c>
      <c r="Y39" s="10" t="e">
        <f t="shared" si="9"/>
        <v>#DIV/0!</v>
      </c>
      <c r="Z39" s="10" t="e">
        <f t="shared" si="9"/>
        <v>#DIV/0!</v>
      </c>
      <c r="AA39" s="10" t="e">
        <f t="shared" si="9"/>
        <v>#DIV/0!</v>
      </c>
      <c r="AB39" s="10" t="e">
        <f t="shared" si="9"/>
        <v>#DIV/0!</v>
      </c>
      <c r="AC39" s="10" t="e">
        <f t="shared" si="9"/>
        <v>#DIV/0!</v>
      </c>
    </row>
    <row r="40" spans="1:29" x14ac:dyDescent="0.2">
      <c r="A40" s="2" t="s">
        <v>541</v>
      </c>
      <c r="B40" s="21"/>
      <c r="C40" s="19"/>
      <c r="V40" t="str">
        <f t="shared" si="10"/>
        <v>RealEst</v>
      </c>
      <c r="W40" s="10">
        <v>0</v>
      </c>
      <c r="X40" s="10" t="e">
        <f t="shared" si="8"/>
        <v>#DIV/0!</v>
      </c>
      <c r="Y40" s="10" t="e">
        <f t="shared" si="9"/>
        <v>#DIV/0!</v>
      </c>
      <c r="Z40" s="10" t="e">
        <f t="shared" si="9"/>
        <v>#DIV/0!</v>
      </c>
      <c r="AA40" s="10" t="e">
        <f t="shared" si="9"/>
        <v>#DIV/0!</v>
      </c>
      <c r="AB40" s="10" t="e">
        <f t="shared" si="9"/>
        <v>#DIV/0!</v>
      </c>
      <c r="AC40" s="10" t="e">
        <f t="shared" si="9"/>
        <v>#DIV/0!</v>
      </c>
    </row>
    <row r="41" spans="1:29" x14ac:dyDescent="0.2">
      <c r="A41" s="2" t="s">
        <v>542</v>
      </c>
      <c r="B41" s="21"/>
      <c r="C41" s="19"/>
      <c r="V41" t="str">
        <f t="shared" si="10"/>
        <v>BusServe</v>
      </c>
      <c r="W41" s="10">
        <v>0</v>
      </c>
      <c r="X41" s="10" t="e">
        <f t="shared" si="8"/>
        <v>#DIV/0!</v>
      </c>
      <c r="Y41" s="10" t="e">
        <f t="shared" si="9"/>
        <v>#DIV/0!</v>
      </c>
      <c r="Z41" s="10" t="e">
        <f t="shared" si="9"/>
        <v>#DIV/0!</v>
      </c>
      <c r="AA41" s="10" t="e">
        <f t="shared" si="9"/>
        <v>#DIV/0!</v>
      </c>
      <c r="AB41" s="10" t="e">
        <f t="shared" si="9"/>
        <v>#DIV/0!</v>
      </c>
      <c r="AC41" s="10" t="e">
        <f t="shared" si="9"/>
        <v>#DIV/0!</v>
      </c>
    </row>
    <row r="42" spans="1:29" x14ac:dyDescent="0.2">
      <c r="A42" s="2" t="s">
        <v>543</v>
      </c>
      <c r="B42" s="21"/>
      <c r="C42" s="19"/>
      <c r="V42" t="str">
        <f t="shared" si="10"/>
        <v>ResTech</v>
      </c>
      <c r="W42" s="10">
        <v>0</v>
      </c>
      <c r="X42" s="10" t="e">
        <f t="shared" si="8"/>
        <v>#DIV/0!</v>
      </c>
      <c r="Y42" s="10" t="e">
        <f t="shared" si="9"/>
        <v>#DIV/0!</v>
      </c>
      <c r="Z42" s="10" t="e">
        <f t="shared" si="9"/>
        <v>#DIV/0!</v>
      </c>
      <c r="AA42" s="10" t="e">
        <f t="shared" si="9"/>
        <v>#DIV/0!</v>
      </c>
      <c r="AB42" s="10" t="e">
        <f t="shared" si="9"/>
        <v>#DIV/0!</v>
      </c>
      <c r="AC42" s="10" t="e">
        <f t="shared" si="9"/>
        <v>#DIV/0!</v>
      </c>
    </row>
    <row r="43" spans="1:29" x14ac:dyDescent="0.2">
      <c r="A43" s="2" t="s">
        <v>544</v>
      </c>
      <c r="B43" s="21"/>
      <c r="C43" s="19"/>
      <c r="V43" t="str">
        <f t="shared" si="10"/>
        <v>EnvServ</v>
      </c>
      <c r="W43" s="10">
        <v>0</v>
      </c>
      <c r="X43" s="10" t="e">
        <f t="shared" si="8"/>
        <v>#DIV/0!</v>
      </c>
      <c r="Y43" s="10" t="e">
        <f t="shared" si="9"/>
        <v>#DIV/0!</v>
      </c>
      <c r="Z43" s="10" t="e">
        <f t="shared" si="9"/>
        <v>#DIV/0!</v>
      </c>
      <c r="AA43" s="10" t="e">
        <f t="shared" si="9"/>
        <v>#DIV/0!</v>
      </c>
      <c r="AB43" s="10" t="e">
        <f t="shared" si="9"/>
        <v>#DIV/0!</v>
      </c>
      <c r="AC43" s="10" t="e">
        <f t="shared" si="9"/>
        <v>#DIV/0!</v>
      </c>
    </row>
    <row r="44" spans="1:29" x14ac:dyDescent="0.2">
      <c r="A44" s="2" t="s">
        <v>545</v>
      </c>
      <c r="B44" s="21"/>
      <c r="C44" s="19"/>
      <c r="V44" t="str">
        <f t="shared" si="10"/>
        <v>ResServ</v>
      </c>
      <c r="W44" s="10">
        <v>0</v>
      </c>
      <c r="X44" s="10" t="e">
        <f t="shared" si="8"/>
        <v>#DIV/0!</v>
      </c>
      <c r="Y44" s="10" t="e">
        <f t="shared" si="9"/>
        <v>#DIV/0!</v>
      </c>
      <c r="Z44" s="10" t="e">
        <f t="shared" si="9"/>
        <v>#DIV/0!</v>
      </c>
      <c r="AA44" s="10" t="e">
        <f t="shared" si="9"/>
        <v>#DIV/0!</v>
      </c>
      <c r="AB44" s="10" t="e">
        <f t="shared" si="9"/>
        <v>#DIV/0!</v>
      </c>
      <c r="AC44" s="10" t="e">
        <f t="shared" si="9"/>
        <v>#DIV/0!</v>
      </c>
    </row>
    <row r="45" spans="1:29" x14ac:dyDescent="0.2">
      <c r="A45" s="2" t="s">
        <v>546</v>
      </c>
      <c r="B45" s="21"/>
      <c r="C45" s="19"/>
      <c r="V45" t="str">
        <f t="shared" si="10"/>
        <v>Education</v>
      </c>
      <c r="W45" s="10">
        <v>0</v>
      </c>
      <c r="X45" s="10" t="e">
        <f t="shared" si="8"/>
        <v>#DIV/0!</v>
      </c>
      <c r="Y45" s="10" t="e">
        <f t="shared" si="9"/>
        <v>#DIV/0!</v>
      </c>
      <c r="Z45" s="10" t="e">
        <f t="shared" si="9"/>
        <v>#DIV/0!</v>
      </c>
      <c r="AA45" s="10" t="e">
        <f t="shared" si="9"/>
        <v>#DIV/0!</v>
      </c>
      <c r="AB45" s="10" t="e">
        <f t="shared" si="9"/>
        <v>#DIV/0!</v>
      </c>
      <c r="AC45" s="10" t="e">
        <f t="shared" si="9"/>
        <v>#DIV/0!</v>
      </c>
    </row>
    <row r="46" spans="1:29" x14ac:dyDescent="0.2">
      <c r="A46" s="2" t="s">
        <v>547</v>
      </c>
      <c r="B46" s="21"/>
      <c r="C46" s="19"/>
      <c r="V46" t="str">
        <f t="shared" si="10"/>
        <v>Health</v>
      </c>
      <c r="W46" s="10">
        <v>0</v>
      </c>
      <c r="X46" s="10" t="e">
        <f t="shared" si="8"/>
        <v>#DIV/0!</v>
      </c>
      <c r="Y46" s="10" t="e">
        <f t="shared" si="9"/>
        <v>#DIV/0!</v>
      </c>
      <c r="Z46" s="10" t="e">
        <f t="shared" si="9"/>
        <v>#DIV/0!</v>
      </c>
      <c r="AA46" s="10" t="e">
        <f t="shared" si="9"/>
        <v>#DIV/0!</v>
      </c>
      <c r="AB46" s="10" t="e">
        <f t="shared" si="9"/>
        <v>#DIV/0!</v>
      </c>
      <c r="AC46" s="10" t="e">
        <f t="shared" si="9"/>
        <v>#DIV/0!</v>
      </c>
    </row>
    <row r="47" spans="1:29" x14ac:dyDescent="0.2">
      <c r="A47" s="2" t="s">
        <v>548</v>
      </c>
      <c r="B47" s="21"/>
      <c r="C47" s="19"/>
      <c r="V47" t="str">
        <f t="shared" si="10"/>
        <v>RecEnt</v>
      </c>
      <c r="W47" s="10">
        <v>0</v>
      </c>
      <c r="X47" s="16" t="e">
        <f t="array" ref="X47">SUM(C35:C46*X35:X46)/E47</f>
        <v>#DIV/0!</v>
      </c>
      <c r="Y47" s="16" t="e">
        <f t="array" ref="Y47">SUM(D35:D46*Y35:Y46)/F47</f>
        <v>#DIV/0!</v>
      </c>
      <c r="Z47" s="16" t="e">
        <f t="array" ref="Z47">SUM(E35:E46*Z35:Z46)/G47</f>
        <v>#DIV/0!</v>
      </c>
      <c r="AA47" s="16" t="e">
        <f t="array" ref="AA47">SUM(F35:F46*AA35:AA46)/H47</f>
        <v>#DIV/0!</v>
      </c>
      <c r="AB47" s="16" t="e">
        <f t="array" ref="AB47">SUM(G35:G46*AB35:AB46)/I47</f>
        <v>#DIV/0!</v>
      </c>
      <c r="AC47" s="16" t="e">
        <f t="array" ref="AC47">SUM(H35:H46*AC35:AC46)/J47</f>
        <v>#DIV/0!</v>
      </c>
    </row>
    <row r="48" spans="1:29" x14ac:dyDescent="0.2">
      <c r="A48" s="2" t="s">
        <v>549</v>
      </c>
      <c r="B48" s="21"/>
      <c r="C48" s="19"/>
      <c r="V48" t="str">
        <f t="shared" si="10"/>
        <v>PubAdm</v>
      </c>
      <c r="W48" s="10">
        <v>0</v>
      </c>
      <c r="X48" s="10" t="e">
        <f t="shared" ref="X48:AC60" si="11">100*(E48/D48-1)</f>
        <v>#DIV/0!</v>
      </c>
      <c r="Y48" s="10" t="e">
        <f t="shared" si="11"/>
        <v>#DIV/0!</v>
      </c>
      <c r="Z48" s="10" t="e">
        <f t="shared" si="11"/>
        <v>#DIV/0!</v>
      </c>
      <c r="AA48" s="10" t="e">
        <f t="shared" si="11"/>
        <v>#DIV/0!</v>
      </c>
      <c r="AB48" s="10" t="e">
        <f t="shared" si="11"/>
        <v>#DIV/0!</v>
      </c>
      <c r="AC48" s="10" t="e">
        <f t="shared" si="11"/>
        <v>#DIV/0!</v>
      </c>
    </row>
    <row r="49" spans="1:29" x14ac:dyDescent="0.2">
      <c r="A49" s="2" t="s">
        <v>65</v>
      </c>
      <c r="B49" s="21"/>
      <c r="C49" s="19"/>
      <c r="V49" t="str">
        <f t="shared" si="10"/>
        <v>Grand Total</v>
      </c>
      <c r="W49" s="10">
        <v>0</v>
      </c>
      <c r="X49" s="10" t="e">
        <f t="shared" si="11"/>
        <v>#DIV/0!</v>
      </c>
      <c r="Y49" s="10" t="e">
        <f t="shared" si="11"/>
        <v>#DIV/0!</v>
      </c>
      <c r="Z49" s="10" t="e">
        <f t="shared" si="11"/>
        <v>#DIV/0!</v>
      </c>
      <c r="AA49" s="10" t="e">
        <f t="shared" si="11"/>
        <v>#DIV/0!</v>
      </c>
      <c r="AB49" s="10" t="e">
        <f t="shared" si="11"/>
        <v>#DIV/0!</v>
      </c>
      <c r="AC49" s="10" t="e">
        <f t="shared" si="11"/>
        <v>#DIV/0!</v>
      </c>
    </row>
    <row r="50" spans="1:29" x14ac:dyDescent="0.2">
      <c r="V50">
        <f t="shared" si="10"/>
        <v>0</v>
      </c>
      <c r="W50" s="10">
        <v>0</v>
      </c>
      <c r="X50" s="10" t="e">
        <f t="shared" si="11"/>
        <v>#DIV/0!</v>
      </c>
      <c r="Y50" s="10" t="e">
        <f t="shared" si="11"/>
        <v>#DIV/0!</v>
      </c>
      <c r="Z50" s="10" t="e">
        <f t="shared" si="11"/>
        <v>#DIV/0!</v>
      </c>
      <c r="AA50" s="10" t="e">
        <f t="shared" si="11"/>
        <v>#DIV/0!</v>
      </c>
      <c r="AB50" s="10" t="e">
        <f t="shared" si="11"/>
        <v>#DIV/0!</v>
      </c>
      <c r="AC50" s="10" t="e">
        <f t="shared" si="11"/>
        <v>#DIV/0!</v>
      </c>
    </row>
    <row r="51" spans="1:29" x14ac:dyDescent="0.2">
      <c r="V51">
        <f t="shared" si="10"/>
        <v>0</v>
      </c>
      <c r="W51" s="10">
        <v>0</v>
      </c>
      <c r="X51" s="10" t="e">
        <f t="shared" si="11"/>
        <v>#DIV/0!</v>
      </c>
      <c r="Y51" s="10" t="e">
        <f t="shared" si="11"/>
        <v>#DIV/0!</v>
      </c>
      <c r="Z51" s="10" t="e">
        <f t="shared" si="11"/>
        <v>#DIV/0!</v>
      </c>
      <c r="AA51" s="10" t="e">
        <f t="shared" si="11"/>
        <v>#DIV/0!</v>
      </c>
      <c r="AB51" s="10" t="e">
        <f t="shared" si="11"/>
        <v>#DIV/0!</v>
      </c>
      <c r="AC51" s="10" t="e">
        <f t="shared" si="11"/>
        <v>#DIV/0!</v>
      </c>
    </row>
    <row r="52" spans="1:29" x14ac:dyDescent="0.2">
      <c r="V52">
        <f t="shared" si="10"/>
        <v>0</v>
      </c>
      <c r="W52" s="10">
        <v>0</v>
      </c>
      <c r="X52" s="10" t="e">
        <f t="shared" si="11"/>
        <v>#DIV/0!</v>
      </c>
      <c r="Y52" s="10" t="e">
        <f t="shared" si="11"/>
        <v>#DIV/0!</v>
      </c>
      <c r="Z52" s="10" t="e">
        <f t="shared" si="11"/>
        <v>#DIV/0!</v>
      </c>
      <c r="AA52" s="10" t="e">
        <f t="shared" si="11"/>
        <v>#DIV/0!</v>
      </c>
      <c r="AB52" s="10" t="e">
        <f t="shared" si="11"/>
        <v>#DIV/0!</v>
      </c>
      <c r="AC52" s="10" t="e">
        <f t="shared" si="11"/>
        <v>#DIV/0!</v>
      </c>
    </row>
    <row r="53" spans="1:29" x14ac:dyDescent="0.2">
      <c r="V53">
        <f t="shared" si="10"/>
        <v>0</v>
      </c>
      <c r="W53" s="10">
        <v>0</v>
      </c>
      <c r="X53" s="10" t="e">
        <f t="shared" si="11"/>
        <v>#DIV/0!</v>
      </c>
      <c r="Y53" s="10" t="e">
        <f t="shared" si="11"/>
        <v>#DIV/0!</v>
      </c>
      <c r="Z53" s="10" t="e">
        <f t="shared" si="11"/>
        <v>#DIV/0!</v>
      </c>
      <c r="AA53" s="10" t="e">
        <f t="shared" si="11"/>
        <v>#DIV/0!</v>
      </c>
      <c r="AB53" s="10" t="e">
        <f t="shared" si="11"/>
        <v>#DIV/0!</v>
      </c>
      <c r="AC53" s="10" t="e">
        <f t="shared" si="11"/>
        <v>#DIV/0!</v>
      </c>
    </row>
    <row r="54" spans="1:29" x14ac:dyDescent="0.2">
      <c r="V54">
        <f t="shared" si="10"/>
        <v>0</v>
      </c>
      <c r="W54" s="10">
        <v>0</v>
      </c>
      <c r="X54" s="10" t="e">
        <f t="shared" si="11"/>
        <v>#DIV/0!</v>
      </c>
      <c r="Y54" s="10" t="e">
        <f t="shared" si="11"/>
        <v>#DIV/0!</v>
      </c>
      <c r="Z54" s="10" t="e">
        <f t="shared" si="11"/>
        <v>#DIV/0!</v>
      </c>
      <c r="AA54" s="10" t="e">
        <f t="shared" si="11"/>
        <v>#DIV/0!</v>
      </c>
      <c r="AB54" s="10" t="e">
        <f t="shared" si="11"/>
        <v>#DIV/0!</v>
      </c>
      <c r="AC54" s="10" t="e">
        <f t="shared" si="11"/>
        <v>#DIV/0!</v>
      </c>
    </row>
    <row r="55" spans="1:29" x14ac:dyDescent="0.2">
      <c r="V55">
        <f t="shared" si="10"/>
        <v>0</v>
      </c>
      <c r="W55" s="10">
        <v>0</v>
      </c>
      <c r="X55" s="10" t="e">
        <f t="shared" si="11"/>
        <v>#DIV/0!</v>
      </c>
      <c r="Y55" s="10" t="e">
        <f t="shared" si="11"/>
        <v>#DIV/0!</v>
      </c>
      <c r="Z55" s="10" t="e">
        <f t="shared" si="11"/>
        <v>#DIV/0!</v>
      </c>
      <c r="AA55" s="10" t="e">
        <f t="shared" si="11"/>
        <v>#DIV/0!</v>
      </c>
      <c r="AB55" s="10" t="e">
        <f t="shared" si="11"/>
        <v>#DIV/0!</v>
      </c>
      <c r="AC55" s="10" t="e">
        <f t="shared" si="11"/>
        <v>#DIV/0!</v>
      </c>
    </row>
    <row r="56" spans="1:29" x14ac:dyDescent="0.2">
      <c r="V56">
        <f t="shared" si="10"/>
        <v>0</v>
      </c>
      <c r="W56" s="10">
        <v>0</v>
      </c>
      <c r="X56" s="10" t="e">
        <f t="shared" si="11"/>
        <v>#DIV/0!</v>
      </c>
      <c r="Y56" s="10" t="e">
        <f t="shared" si="11"/>
        <v>#DIV/0!</v>
      </c>
      <c r="Z56" s="10" t="e">
        <f t="shared" si="11"/>
        <v>#DIV/0!</v>
      </c>
      <c r="AA56" s="10" t="e">
        <f t="shared" si="11"/>
        <v>#DIV/0!</v>
      </c>
      <c r="AB56" s="10" t="e">
        <f t="shared" si="11"/>
        <v>#DIV/0!</v>
      </c>
      <c r="AC56" s="10" t="e">
        <f t="shared" si="11"/>
        <v>#DIV/0!</v>
      </c>
    </row>
    <row r="57" spans="1:29" x14ac:dyDescent="0.2">
      <c r="V57">
        <f t="shared" si="10"/>
        <v>0</v>
      </c>
      <c r="W57" s="10">
        <v>0</v>
      </c>
      <c r="X57" s="10" t="e">
        <f t="shared" si="11"/>
        <v>#DIV/0!</v>
      </c>
      <c r="Y57" s="10" t="e">
        <f t="shared" si="11"/>
        <v>#DIV/0!</v>
      </c>
      <c r="Z57" s="10" t="e">
        <f t="shared" si="11"/>
        <v>#DIV/0!</v>
      </c>
      <c r="AA57" s="10" t="e">
        <f t="shared" si="11"/>
        <v>#DIV/0!</v>
      </c>
      <c r="AB57" s="10" t="e">
        <f t="shared" si="11"/>
        <v>#DIV/0!</v>
      </c>
      <c r="AC57" s="10" t="e">
        <f t="shared" si="11"/>
        <v>#DIV/0!</v>
      </c>
    </row>
    <row r="58" spans="1:29" x14ac:dyDescent="0.2">
      <c r="V58">
        <f t="shared" si="10"/>
        <v>0</v>
      </c>
      <c r="W58" s="10">
        <v>0</v>
      </c>
      <c r="X58" s="10" t="e">
        <f t="shared" si="11"/>
        <v>#DIV/0!</v>
      </c>
      <c r="Y58" s="10" t="e">
        <f t="shared" si="11"/>
        <v>#DIV/0!</v>
      </c>
      <c r="Z58" s="10" t="e">
        <f t="shared" si="11"/>
        <v>#DIV/0!</v>
      </c>
      <c r="AA58" s="10" t="e">
        <f t="shared" si="11"/>
        <v>#DIV/0!</v>
      </c>
      <c r="AB58" s="10" t="e">
        <f t="shared" si="11"/>
        <v>#DIV/0!</v>
      </c>
      <c r="AC58" s="10" t="e">
        <f t="shared" si="11"/>
        <v>#DIV/0!</v>
      </c>
    </row>
    <row r="59" spans="1:29" x14ac:dyDescent="0.2">
      <c r="V59">
        <f t="shared" si="10"/>
        <v>0</v>
      </c>
      <c r="W59" s="10">
        <v>0</v>
      </c>
      <c r="X59" s="10" t="e">
        <f t="shared" si="11"/>
        <v>#DIV/0!</v>
      </c>
      <c r="Y59" s="10" t="e">
        <f t="shared" si="11"/>
        <v>#DIV/0!</v>
      </c>
      <c r="Z59" s="10" t="e">
        <f t="shared" si="11"/>
        <v>#DIV/0!</v>
      </c>
      <c r="AA59" s="10" t="e">
        <f t="shared" si="11"/>
        <v>#DIV/0!</v>
      </c>
      <c r="AB59" s="10" t="e">
        <f t="shared" si="11"/>
        <v>#DIV/0!</v>
      </c>
      <c r="AC59" s="10" t="e">
        <f t="shared" si="11"/>
        <v>#DIV/0!</v>
      </c>
    </row>
    <row r="60" spans="1:29" x14ac:dyDescent="0.2">
      <c r="V60">
        <f t="shared" si="10"/>
        <v>0</v>
      </c>
      <c r="W60" s="10">
        <v>0</v>
      </c>
      <c r="X60" s="10" t="e">
        <f>100*(E60/D60-1)</f>
        <v>#DIV/0!</v>
      </c>
      <c r="Y60" s="10" t="e">
        <f t="shared" si="11"/>
        <v>#DIV/0!</v>
      </c>
      <c r="Z60" s="10" t="e">
        <f t="shared" si="11"/>
        <v>#DIV/0!</v>
      </c>
      <c r="AA60" s="10" t="e">
        <f t="shared" si="11"/>
        <v>#DIV/0!</v>
      </c>
      <c r="AB60" s="10" t="e">
        <f t="shared" si="11"/>
        <v>#DIV/0!</v>
      </c>
      <c r="AC60" s="10" t="e">
        <f t="shared" si="11"/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AN60"/>
  <sheetViews>
    <sheetView zoomScale="75" workbookViewId="0">
      <selection activeCell="D14" sqref="D14"/>
    </sheetView>
  </sheetViews>
  <sheetFormatPr baseColWidth="10" defaultRowHeight="16" x14ac:dyDescent="0.2"/>
  <cols>
    <col min="1" max="1" width="13.5" bestFit="1" customWidth="1"/>
    <col min="2" max="2" width="16.33203125" bestFit="1" customWidth="1"/>
    <col min="3" max="3" width="11" bestFit="1" customWidth="1"/>
    <col min="4" max="4" width="6.33203125" bestFit="1" customWidth="1"/>
    <col min="5" max="5" width="11" bestFit="1" customWidth="1"/>
    <col min="6" max="11" width="6.1640625" bestFit="1" customWidth="1"/>
    <col min="12" max="12" width="10.6640625" bestFit="1" customWidth="1"/>
    <col min="13" max="19" width="12.1640625" customWidth="1"/>
    <col min="20" max="20" width="12.1640625" bestFit="1" customWidth="1"/>
    <col min="21" max="21" width="10.6640625" bestFit="1" customWidth="1"/>
  </cols>
  <sheetData>
    <row r="2" spans="1:40" x14ac:dyDescent="0.2">
      <c r="A2" s="1" t="s">
        <v>112</v>
      </c>
      <c r="B2" s="2">
        <v>2030</v>
      </c>
    </row>
    <row r="3" spans="1:40" x14ac:dyDescent="0.2">
      <c r="A3" s="1" t="s">
        <v>116</v>
      </c>
      <c r="B3" t="s">
        <v>20</v>
      </c>
    </row>
    <row r="5" spans="1:40" x14ac:dyDescent="0.2">
      <c r="A5" s="1" t="s">
        <v>67</v>
      </c>
      <c r="B5" s="1" t="s">
        <v>64</v>
      </c>
      <c r="V5" t="str">
        <f t="shared" ref="V5:AN5" si="0">A5</f>
        <v>Sum of value</v>
      </c>
      <c r="W5" t="str">
        <f t="shared" si="0"/>
        <v>Column Labels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</row>
    <row r="6" spans="1:40" x14ac:dyDescent="0.2">
      <c r="A6" s="1" t="s">
        <v>66</v>
      </c>
      <c r="B6" t="s">
        <v>113</v>
      </c>
      <c r="C6" t="s">
        <v>65</v>
      </c>
      <c r="V6" t="str">
        <f t="shared" ref="V6:V31" si="1">A6</f>
        <v>Row Labels</v>
      </c>
      <c r="W6">
        <v>0</v>
      </c>
      <c r="X6" t="e">
        <f t="shared" ref="X6:AM7" si="2">100*(C6/B6-1)</f>
        <v>#VALUE!</v>
      </c>
      <c r="Y6" t="e">
        <f t="shared" si="2"/>
        <v>#VALUE!</v>
      </c>
      <c r="Z6" t="e">
        <f t="shared" si="2"/>
        <v>#DIV/0!</v>
      </c>
      <c r="AA6" t="e">
        <f t="shared" si="2"/>
        <v>#DIV/0!</v>
      </c>
      <c r="AB6" t="e">
        <f t="shared" si="2"/>
        <v>#DIV/0!</v>
      </c>
      <c r="AC6" t="e">
        <f t="shared" si="2"/>
        <v>#DIV/0!</v>
      </c>
      <c r="AD6" t="e">
        <f t="shared" si="2"/>
        <v>#DIV/0!</v>
      </c>
      <c r="AE6" t="e">
        <f t="shared" si="2"/>
        <v>#DIV/0!</v>
      </c>
      <c r="AF6" t="e">
        <f t="shared" si="2"/>
        <v>#DIV/0!</v>
      </c>
      <c r="AG6" t="e">
        <f t="shared" si="2"/>
        <v>#DIV/0!</v>
      </c>
      <c r="AH6" t="e">
        <f t="shared" si="2"/>
        <v>#DIV/0!</v>
      </c>
      <c r="AI6" t="e">
        <f t="shared" si="2"/>
        <v>#DIV/0!</v>
      </c>
      <c r="AJ6" t="e">
        <f t="shared" si="2"/>
        <v>#DIV/0!</v>
      </c>
      <c r="AK6" t="e">
        <f t="shared" si="2"/>
        <v>#DIV/0!</v>
      </c>
      <c r="AL6" t="e">
        <f t="shared" si="2"/>
        <v>#DIV/0!</v>
      </c>
      <c r="AM6" t="e">
        <f t="shared" si="2"/>
        <v>#DIV/0!</v>
      </c>
      <c r="AN6" t="e">
        <f t="shared" ref="Y6:AN21" si="3">100*(S6/R6-1)</f>
        <v>#DIV/0!</v>
      </c>
    </row>
    <row r="7" spans="1:40" x14ac:dyDescent="0.2">
      <c r="A7" s="2" t="s">
        <v>550</v>
      </c>
      <c r="B7" s="3"/>
      <c r="C7" s="3"/>
      <c r="V7" t="str">
        <f t="shared" si="1"/>
        <v>HHRural</v>
      </c>
      <c r="W7">
        <v>0</v>
      </c>
      <c r="X7" t="e">
        <f t="shared" si="2"/>
        <v>#DIV/0!</v>
      </c>
      <c r="Y7" t="e">
        <f t="shared" si="2"/>
        <v>#DIV/0!</v>
      </c>
      <c r="Z7" t="e">
        <f t="shared" si="2"/>
        <v>#DIV/0!</v>
      </c>
      <c r="AA7" t="e">
        <f t="shared" si="2"/>
        <v>#DIV/0!</v>
      </c>
      <c r="AB7" t="e">
        <f t="shared" si="2"/>
        <v>#DIV/0!</v>
      </c>
      <c r="AC7" t="e">
        <f t="shared" si="2"/>
        <v>#DIV/0!</v>
      </c>
      <c r="AD7" t="e">
        <f t="shared" si="2"/>
        <v>#DIV/0!</v>
      </c>
      <c r="AE7" t="e">
        <f t="shared" si="2"/>
        <v>#DIV/0!</v>
      </c>
      <c r="AF7" t="e">
        <f t="shared" si="2"/>
        <v>#DIV/0!</v>
      </c>
      <c r="AG7" t="e">
        <f t="shared" si="2"/>
        <v>#DIV/0!</v>
      </c>
      <c r="AH7" t="e">
        <f t="shared" si="2"/>
        <v>#DIV/0!</v>
      </c>
      <c r="AI7" t="e">
        <f t="shared" si="2"/>
        <v>#DIV/0!</v>
      </c>
      <c r="AJ7" t="e">
        <f t="shared" si="2"/>
        <v>#DIV/0!</v>
      </c>
      <c r="AK7" t="e">
        <f t="shared" si="2"/>
        <v>#DIV/0!</v>
      </c>
      <c r="AL7" t="e">
        <f t="shared" si="2"/>
        <v>#DIV/0!</v>
      </c>
      <c r="AM7" t="e">
        <f t="shared" si="2"/>
        <v>#DIV/0!</v>
      </c>
      <c r="AN7" t="e">
        <f t="shared" si="3"/>
        <v>#DIV/0!</v>
      </c>
    </row>
    <row r="8" spans="1:40" x14ac:dyDescent="0.2">
      <c r="A8" s="18" t="s">
        <v>117</v>
      </c>
      <c r="B8" s="3"/>
      <c r="C8" s="3"/>
      <c r="V8" t="str">
        <f t="shared" si="1"/>
        <v>ch4</v>
      </c>
      <c r="W8">
        <v>0</v>
      </c>
      <c r="X8" t="e">
        <f t="shared" ref="X8:X31" si="4">100*(C8/B8-1)</f>
        <v>#DIV/0!</v>
      </c>
      <c r="Y8" t="e">
        <f t="shared" si="3"/>
        <v>#DIV/0!</v>
      </c>
      <c r="Z8" t="e">
        <f t="shared" si="3"/>
        <v>#DIV/0!</v>
      </c>
      <c r="AA8" t="e">
        <f t="shared" si="3"/>
        <v>#DIV/0!</v>
      </c>
      <c r="AB8" t="e">
        <f t="shared" si="3"/>
        <v>#DIV/0!</v>
      </c>
      <c r="AC8" t="e">
        <f t="shared" si="3"/>
        <v>#DIV/0!</v>
      </c>
      <c r="AD8" t="e">
        <f t="shared" si="3"/>
        <v>#DIV/0!</v>
      </c>
      <c r="AE8" t="e">
        <f t="shared" si="3"/>
        <v>#DIV/0!</v>
      </c>
      <c r="AF8" t="e">
        <f t="shared" si="3"/>
        <v>#DIV/0!</v>
      </c>
      <c r="AG8" t="e">
        <f t="shared" si="3"/>
        <v>#DIV/0!</v>
      </c>
      <c r="AH8" t="e">
        <f t="shared" si="3"/>
        <v>#DIV/0!</v>
      </c>
      <c r="AI8" t="e">
        <f t="shared" si="3"/>
        <v>#DIV/0!</v>
      </c>
      <c r="AJ8" t="e">
        <f t="shared" si="3"/>
        <v>#DIV/0!</v>
      </c>
      <c r="AK8" t="e">
        <f t="shared" si="3"/>
        <v>#DIV/0!</v>
      </c>
      <c r="AL8" t="e">
        <f t="shared" si="3"/>
        <v>#DIV/0!</v>
      </c>
      <c r="AM8" t="e">
        <f t="shared" si="3"/>
        <v>#DIV/0!</v>
      </c>
      <c r="AN8" t="e">
        <f t="shared" si="3"/>
        <v>#DIV/0!</v>
      </c>
    </row>
    <row r="9" spans="1:40" x14ac:dyDescent="0.2">
      <c r="A9" s="18" t="s">
        <v>118</v>
      </c>
      <c r="B9" s="3"/>
      <c r="C9" s="3"/>
      <c r="V9" t="str">
        <f t="shared" si="1"/>
        <v>co</v>
      </c>
      <c r="W9">
        <v>0</v>
      </c>
      <c r="X9" t="e">
        <f t="shared" si="4"/>
        <v>#DIV/0!</v>
      </c>
      <c r="Y9" t="e">
        <f t="shared" si="3"/>
        <v>#DIV/0!</v>
      </c>
      <c r="Z9" t="e">
        <f t="shared" si="3"/>
        <v>#DIV/0!</v>
      </c>
      <c r="AA9" t="e">
        <f t="shared" si="3"/>
        <v>#DIV/0!</v>
      </c>
      <c r="AB9" t="e">
        <f t="shared" si="3"/>
        <v>#DIV/0!</v>
      </c>
      <c r="AC9" t="e">
        <f t="shared" si="3"/>
        <v>#DIV/0!</v>
      </c>
      <c r="AD9" t="e">
        <f t="shared" si="3"/>
        <v>#DIV/0!</v>
      </c>
      <c r="AE9" t="e">
        <f t="shared" si="3"/>
        <v>#DIV/0!</v>
      </c>
      <c r="AF9" t="e">
        <f t="shared" si="3"/>
        <v>#DIV/0!</v>
      </c>
      <c r="AG9" t="e">
        <f t="shared" si="3"/>
        <v>#DIV/0!</v>
      </c>
      <c r="AH9" t="e">
        <f t="shared" si="3"/>
        <v>#DIV/0!</v>
      </c>
      <c r="AI9" t="e">
        <f t="shared" si="3"/>
        <v>#DIV/0!</v>
      </c>
      <c r="AJ9" t="e">
        <f t="shared" si="3"/>
        <v>#DIV/0!</v>
      </c>
      <c r="AK9" t="e">
        <f t="shared" si="3"/>
        <v>#DIV/0!</v>
      </c>
      <c r="AL9" t="e">
        <f t="shared" si="3"/>
        <v>#DIV/0!</v>
      </c>
      <c r="AM9" t="e">
        <f t="shared" si="3"/>
        <v>#DIV/0!</v>
      </c>
      <c r="AN9" t="e">
        <f t="shared" si="3"/>
        <v>#DIV/0!</v>
      </c>
    </row>
    <row r="10" spans="1:40" x14ac:dyDescent="0.2">
      <c r="A10" s="18" t="s">
        <v>119</v>
      </c>
      <c r="B10" s="3"/>
      <c r="C10" s="3"/>
      <c r="V10" t="str">
        <f t="shared" si="1"/>
        <v>co2</v>
      </c>
      <c r="W10">
        <v>0</v>
      </c>
      <c r="X10" t="e">
        <f t="shared" si="4"/>
        <v>#DIV/0!</v>
      </c>
      <c r="Y10" t="e">
        <f t="shared" si="3"/>
        <v>#DIV/0!</v>
      </c>
      <c r="Z10" t="e">
        <f t="shared" si="3"/>
        <v>#DIV/0!</v>
      </c>
      <c r="AA10" t="e">
        <f t="shared" si="3"/>
        <v>#DIV/0!</v>
      </c>
      <c r="AB10" t="e">
        <f t="shared" si="3"/>
        <v>#DIV/0!</v>
      </c>
      <c r="AC10" t="e">
        <f t="shared" si="3"/>
        <v>#DIV/0!</v>
      </c>
      <c r="AD10" t="e">
        <f t="shared" si="3"/>
        <v>#DIV/0!</v>
      </c>
      <c r="AE10" t="e">
        <f t="shared" si="3"/>
        <v>#DIV/0!</v>
      </c>
      <c r="AF10" t="e">
        <f t="shared" si="3"/>
        <v>#DIV/0!</v>
      </c>
      <c r="AG10" t="e">
        <f t="shared" si="3"/>
        <v>#DIV/0!</v>
      </c>
      <c r="AH10" t="e">
        <f t="shared" si="3"/>
        <v>#DIV/0!</v>
      </c>
      <c r="AI10" t="e">
        <f t="shared" si="3"/>
        <v>#DIV/0!</v>
      </c>
      <c r="AJ10" t="e">
        <f t="shared" si="3"/>
        <v>#DIV/0!</v>
      </c>
      <c r="AK10" t="e">
        <f t="shared" si="3"/>
        <v>#DIV/0!</v>
      </c>
      <c r="AL10" t="e">
        <f t="shared" si="3"/>
        <v>#DIV/0!</v>
      </c>
      <c r="AM10" t="e">
        <f t="shared" si="3"/>
        <v>#DIV/0!</v>
      </c>
      <c r="AN10" t="e">
        <f t="shared" si="3"/>
        <v>#DIV/0!</v>
      </c>
    </row>
    <row r="11" spans="1:40" x14ac:dyDescent="0.2">
      <c r="A11" s="18" t="s">
        <v>120</v>
      </c>
      <c r="B11" s="3"/>
      <c r="C11" s="3"/>
      <c r="V11" t="str">
        <f t="shared" si="1"/>
        <v>n2o</v>
      </c>
      <c r="W11">
        <v>0</v>
      </c>
      <c r="X11" t="e">
        <f t="shared" si="4"/>
        <v>#DIV/0!</v>
      </c>
      <c r="Y11" t="e">
        <f t="shared" si="3"/>
        <v>#DIV/0!</v>
      </c>
      <c r="Z11" t="e">
        <f t="shared" si="3"/>
        <v>#DIV/0!</v>
      </c>
      <c r="AA11" t="e">
        <f t="shared" si="3"/>
        <v>#DIV/0!</v>
      </c>
      <c r="AB11" t="e">
        <f t="shared" si="3"/>
        <v>#DIV/0!</v>
      </c>
      <c r="AC11" t="e">
        <f t="shared" si="3"/>
        <v>#DIV/0!</v>
      </c>
      <c r="AD11" t="e">
        <f t="shared" si="3"/>
        <v>#DIV/0!</v>
      </c>
      <c r="AE11" t="e">
        <f t="shared" si="3"/>
        <v>#DIV/0!</v>
      </c>
      <c r="AF11" t="e">
        <f t="shared" si="3"/>
        <v>#DIV/0!</v>
      </c>
      <c r="AG11" t="e">
        <f t="shared" si="3"/>
        <v>#DIV/0!</v>
      </c>
      <c r="AH11" t="e">
        <f t="shared" si="3"/>
        <v>#DIV/0!</v>
      </c>
      <c r="AI11" t="e">
        <f t="shared" si="3"/>
        <v>#DIV/0!</v>
      </c>
      <c r="AJ11" t="e">
        <f t="shared" si="3"/>
        <v>#DIV/0!</v>
      </c>
      <c r="AK11" t="e">
        <f t="shared" si="3"/>
        <v>#DIV/0!</v>
      </c>
      <c r="AL11" t="e">
        <f t="shared" si="3"/>
        <v>#DIV/0!</v>
      </c>
      <c r="AM11" t="e">
        <f t="shared" si="3"/>
        <v>#DIV/0!</v>
      </c>
      <c r="AN11" t="e">
        <f t="shared" si="3"/>
        <v>#DIV/0!</v>
      </c>
    </row>
    <row r="12" spans="1:40" x14ac:dyDescent="0.2">
      <c r="A12" s="18" t="s">
        <v>121</v>
      </c>
      <c r="B12" s="3"/>
      <c r="C12" s="3"/>
      <c r="V12" t="str">
        <f t="shared" si="1"/>
        <v>nox</v>
      </c>
      <c r="W12">
        <v>0</v>
      </c>
      <c r="X12" t="e">
        <f t="shared" si="4"/>
        <v>#DIV/0!</v>
      </c>
      <c r="Y12" t="e">
        <f t="shared" si="3"/>
        <v>#DIV/0!</v>
      </c>
      <c r="Z12" t="e">
        <f t="shared" si="3"/>
        <v>#DIV/0!</v>
      </c>
      <c r="AA12" t="e">
        <f t="shared" si="3"/>
        <v>#DIV/0!</v>
      </c>
      <c r="AB12" t="e">
        <f t="shared" si="3"/>
        <v>#DIV/0!</v>
      </c>
      <c r="AC12" t="e">
        <f t="shared" si="3"/>
        <v>#DIV/0!</v>
      </c>
      <c r="AD12" t="e">
        <f t="shared" si="3"/>
        <v>#DIV/0!</v>
      </c>
      <c r="AE12" t="e">
        <f t="shared" si="3"/>
        <v>#DIV/0!</v>
      </c>
      <c r="AF12" t="e">
        <f t="shared" si="3"/>
        <v>#DIV/0!</v>
      </c>
      <c r="AG12" t="e">
        <f t="shared" si="3"/>
        <v>#DIV/0!</v>
      </c>
      <c r="AH12" t="e">
        <f t="shared" si="3"/>
        <v>#DIV/0!</v>
      </c>
      <c r="AI12" t="e">
        <f t="shared" si="3"/>
        <v>#DIV/0!</v>
      </c>
      <c r="AJ12" t="e">
        <f t="shared" si="3"/>
        <v>#DIV/0!</v>
      </c>
      <c r="AK12" t="e">
        <f t="shared" si="3"/>
        <v>#DIV/0!</v>
      </c>
      <c r="AL12" t="e">
        <f t="shared" si="3"/>
        <v>#DIV/0!</v>
      </c>
      <c r="AM12" t="e">
        <f t="shared" si="3"/>
        <v>#DIV/0!</v>
      </c>
      <c r="AN12" t="e">
        <f t="shared" si="3"/>
        <v>#DIV/0!</v>
      </c>
    </row>
    <row r="13" spans="1:40" x14ac:dyDescent="0.2">
      <c r="A13" s="18" t="s">
        <v>61</v>
      </c>
      <c r="B13" s="3"/>
      <c r="C13" s="3"/>
      <c r="V13" t="str">
        <f t="shared" si="1"/>
        <v>pm</v>
      </c>
      <c r="W13">
        <v>0</v>
      </c>
      <c r="X13" t="e">
        <f t="shared" si="4"/>
        <v>#DIV/0!</v>
      </c>
      <c r="Y13" t="e">
        <f t="shared" si="3"/>
        <v>#DIV/0!</v>
      </c>
      <c r="Z13" t="e">
        <f t="shared" si="3"/>
        <v>#DIV/0!</v>
      </c>
      <c r="AA13" t="e">
        <f t="shared" si="3"/>
        <v>#DIV/0!</v>
      </c>
      <c r="AB13" t="e">
        <f t="shared" si="3"/>
        <v>#DIV/0!</v>
      </c>
      <c r="AC13" t="e">
        <f t="shared" si="3"/>
        <v>#DIV/0!</v>
      </c>
      <c r="AD13" t="e">
        <f t="shared" si="3"/>
        <v>#DIV/0!</v>
      </c>
      <c r="AE13" t="e">
        <f t="shared" si="3"/>
        <v>#DIV/0!</v>
      </c>
      <c r="AF13" t="e">
        <f t="shared" si="3"/>
        <v>#DIV/0!</v>
      </c>
      <c r="AG13" t="e">
        <f t="shared" si="3"/>
        <v>#DIV/0!</v>
      </c>
      <c r="AH13" t="e">
        <f t="shared" si="3"/>
        <v>#DIV/0!</v>
      </c>
      <c r="AI13" t="e">
        <f t="shared" si="3"/>
        <v>#DIV/0!</v>
      </c>
      <c r="AJ13" t="e">
        <f t="shared" si="3"/>
        <v>#DIV/0!</v>
      </c>
      <c r="AK13" t="e">
        <f t="shared" si="3"/>
        <v>#DIV/0!</v>
      </c>
      <c r="AL13" t="e">
        <f t="shared" si="3"/>
        <v>#DIV/0!</v>
      </c>
      <c r="AM13" t="e">
        <f t="shared" si="3"/>
        <v>#DIV/0!</v>
      </c>
      <c r="AN13" t="e">
        <f t="shared" si="3"/>
        <v>#DIV/0!</v>
      </c>
    </row>
    <row r="14" spans="1:40" x14ac:dyDescent="0.2">
      <c r="A14" s="18" t="s">
        <v>122</v>
      </c>
      <c r="B14" s="3"/>
      <c r="C14" s="3"/>
      <c r="V14" t="str">
        <f t="shared" si="1"/>
        <v>pm10</v>
      </c>
      <c r="W14">
        <v>0</v>
      </c>
      <c r="X14" t="e">
        <f t="shared" si="4"/>
        <v>#DIV/0!</v>
      </c>
      <c r="Y14" t="e">
        <f t="shared" si="3"/>
        <v>#DIV/0!</v>
      </c>
      <c r="Z14" t="e">
        <f t="shared" si="3"/>
        <v>#DIV/0!</v>
      </c>
      <c r="AA14" t="e">
        <f t="shared" si="3"/>
        <v>#DIV/0!</v>
      </c>
      <c r="AB14" t="e">
        <f t="shared" si="3"/>
        <v>#DIV/0!</v>
      </c>
      <c r="AC14" t="e">
        <f t="shared" si="3"/>
        <v>#DIV/0!</v>
      </c>
      <c r="AD14" t="e">
        <f t="shared" si="3"/>
        <v>#DIV/0!</v>
      </c>
      <c r="AE14" t="e">
        <f t="shared" si="3"/>
        <v>#DIV/0!</v>
      </c>
      <c r="AF14" t="e">
        <f t="shared" si="3"/>
        <v>#DIV/0!</v>
      </c>
      <c r="AG14" t="e">
        <f t="shared" si="3"/>
        <v>#DIV/0!</v>
      </c>
      <c r="AH14" t="e">
        <f t="shared" si="3"/>
        <v>#DIV/0!</v>
      </c>
      <c r="AI14" t="e">
        <f t="shared" si="3"/>
        <v>#DIV/0!</v>
      </c>
      <c r="AJ14" t="e">
        <f t="shared" si="3"/>
        <v>#DIV/0!</v>
      </c>
      <c r="AK14" t="e">
        <f t="shared" si="3"/>
        <v>#DIV/0!</v>
      </c>
      <c r="AL14" t="e">
        <f t="shared" si="3"/>
        <v>#DIV/0!</v>
      </c>
      <c r="AM14" t="e">
        <f t="shared" si="3"/>
        <v>#DIV/0!</v>
      </c>
      <c r="AN14" t="e">
        <f t="shared" si="3"/>
        <v>#DIV/0!</v>
      </c>
    </row>
    <row r="15" spans="1:40" x14ac:dyDescent="0.2">
      <c r="A15" s="18" t="s">
        <v>123</v>
      </c>
      <c r="B15" s="3"/>
      <c r="C15" s="3"/>
      <c r="V15" t="str">
        <f t="shared" si="1"/>
        <v>pm25</v>
      </c>
      <c r="W15">
        <v>0</v>
      </c>
      <c r="X15" t="e">
        <f t="shared" si="4"/>
        <v>#DIV/0!</v>
      </c>
      <c r="Y15" t="e">
        <f t="shared" si="3"/>
        <v>#DIV/0!</v>
      </c>
      <c r="Z15" t="e">
        <f t="shared" si="3"/>
        <v>#DIV/0!</v>
      </c>
      <c r="AA15" t="e">
        <f t="shared" si="3"/>
        <v>#DIV/0!</v>
      </c>
      <c r="AB15" t="e">
        <f t="shared" si="3"/>
        <v>#DIV/0!</v>
      </c>
      <c r="AC15" t="e">
        <f t="shared" si="3"/>
        <v>#DIV/0!</v>
      </c>
      <c r="AD15" t="e">
        <f t="shared" si="3"/>
        <v>#DIV/0!</v>
      </c>
      <c r="AE15" t="e">
        <f t="shared" si="3"/>
        <v>#DIV/0!</v>
      </c>
      <c r="AF15" t="e">
        <f t="shared" si="3"/>
        <v>#DIV/0!</v>
      </c>
      <c r="AG15" t="e">
        <f t="shared" si="3"/>
        <v>#DIV/0!</v>
      </c>
      <c r="AH15" t="e">
        <f t="shared" si="3"/>
        <v>#DIV/0!</v>
      </c>
      <c r="AI15" t="e">
        <f t="shared" si="3"/>
        <v>#DIV/0!</v>
      </c>
      <c r="AJ15" t="e">
        <f t="shared" si="3"/>
        <v>#DIV/0!</v>
      </c>
      <c r="AK15" t="e">
        <f t="shared" si="3"/>
        <v>#DIV/0!</v>
      </c>
      <c r="AL15" t="e">
        <f t="shared" si="3"/>
        <v>#DIV/0!</v>
      </c>
      <c r="AM15" t="e">
        <f t="shared" si="3"/>
        <v>#DIV/0!</v>
      </c>
      <c r="AN15" t="e">
        <f t="shared" si="3"/>
        <v>#DIV/0!</v>
      </c>
    </row>
    <row r="16" spans="1:40" x14ac:dyDescent="0.2">
      <c r="A16" s="18" t="s">
        <v>124</v>
      </c>
      <c r="B16" s="3"/>
      <c r="C16" s="3"/>
      <c r="V16" t="str">
        <f t="shared" si="1"/>
        <v>sox</v>
      </c>
      <c r="W16">
        <v>0</v>
      </c>
      <c r="X16" t="e">
        <f t="shared" si="4"/>
        <v>#DIV/0!</v>
      </c>
      <c r="Y16" t="e">
        <f t="shared" si="3"/>
        <v>#DIV/0!</v>
      </c>
      <c r="Z16" t="e">
        <f t="shared" si="3"/>
        <v>#DIV/0!</v>
      </c>
      <c r="AA16" t="e">
        <f t="shared" si="3"/>
        <v>#DIV/0!</v>
      </c>
      <c r="AB16" t="e">
        <f t="shared" si="3"/>
        <v>#DIV/0!</v>
      </c>
      <c r="AC16" t="e">
        <f t="shared" si="3"/>
        <v>#DIV/0!</v>
      </c>
      <c r="AD16" t="e">
        <f t="shared" si="3"/>
        <v>#DIV/0!</v>
      </c>
      <c r="AE16" t="e">
        <f t="shared" si="3"/>
        <v>#DIV/0!</v>
      </c>
      <c r="AF16" t="e">
        <f t="shared" si="3"/>
        <v>#DIV/0!</v>
      </c>
      <c r="AG16" t="e">
        <f t="shared" si="3"/>
        <v>#DIV/0!</v>
      </c>
      <c r="AH16" t="e">
        <f t="shared" si="3"/>
        <v>#DIV/0!</v>
      </c>
      <c r="AI16" t="e">
        <f t="shared" si="3"/>
        <v>#DIV/0!</v>
      </c>
      <c r="AJ16" t="e">
        <f t="shared" si="3"/>
        <v>#DIV/0!</v>
      </c>
      <c r="AK16" t="e">
        <f t="shared" si="3"/>
        <v>#DIV/0!</v>
      </c>
      <c r="AL16" t="e">
        <f t="shared" si="3"/>
        <v>#DIV/0!</v>
      </c>
      <c r="AM16" t="e">
        <f t="shared" si="3"/>
        <v>#DIV/0!</v>
      </c>
      <c r="AN16" t="e">
        <f t="shared" si="3"/>
        <v>#DIV/0!</v>
      </c>
    </row>
    <row r="17" spans="1:40" x14ac:dyDescent="0.2">
      <c r="A17" s="18" t="s">
        <v>125</v>
      </c>
      <c r="B17" s="3"/>
      <c r="C17" s="3"/>
      <c r="V17" t="str">
        <f t="shared" si="1"/>
        <v>voc</v>
      </c>
      <c r="W17">
        <v>0</v>
      </c>
      <c r="X17" t="e">
        <f t="shared" si="4"/>
        <v>#DIV/0!</v>
      </c>
      <c r="Y17" t="e">
        <f t="shared" si="3"/>
        <v>#DIV/0!</v>
      </c>
      <c r="Z17" t="e">
        <f t="shared" si="3"/>
        <v>#DIV/0!</v>
      </c>
      <c r="AA17" t="e">
        <f t="shared" si="3"/>
        <v>#DIV/0!</v>
      </c>
      <c r="AB17" t="e">
        <f t="shared" si="3"/>
        <v>#DIV/0!</v>
      </c>
      <c r="AC17" t="e">
        <f t="shared" si="3"/>
        <v>#DIV/0!</v>
      </c>
      <c r="AD17" t="e">
        <f t="shared" si="3"/>
        <v>#DIV/0!</v>
      </c>
      <c r="AE17" t="e">
        <f t="shared" si="3"/>
        <v>#DIV/0!</v>
      </c>
      <c r="AF17" t="e">
        <f t="shared" si="3"/>
        <v>#DIV/0!</v>
      </c>
      <c r="AG17" t="e">
        <f t="shared" si="3"/>
        <v>#DIV/0!</v>
      </c>
      <c r="AH17" t="e">
        <f t="shared" si="3"/>
        <v>#DIV/0!</v>
      </c>
      <c r="AI17" t="e">
        <f t="shared" si="3"/>
        <v>#DIV/0!</v>
      </c>
      <c r="AJ17" t="e">
        <f t="shared" si="3"/>
        <v>#DIV/0!</v>
      </c>
      <c r="AK17" t="e">
        <f t="shared" si="3"/>
        <v>#DIV/0!</v>
      </c>
      <c r="AL17" t="e">
        <f t="shared" si="3"/>
        <v>#DIV/0!</v>
      </c>
      <c r="AM17" t="e">
        <f t="shared" si="3"/>
        <v>#DIV/0!</v>
      </c>
      <c r="AN17" t="e">
        <f t="shared" si="3"/>
        <v>#DIV/0!</v>
      </c>
    </row>
    <row r="18" spans="1:40" x14ac:dyDescent="0.2">
      <c r="A18" s="2" t="s">
        <v>551</v>
      </c>
      <c r="B18" s="3"/>
      <c r="C18" s="3"/>
      <c r="V18" t="str">
        <f t="shared" si="1"/>
        <v>HHUrban</v>
      </c>
      <c r="W18">
        <v>0</v>
      </c>
      <c r="X18" t="e">
        <f t="shared" si="4"/>
        <v>#DIV/0!</v>
      </c>
      <c r="Y18" t="e">
        <f t="shared" si="3"/>
        <v>#DIV/0!</v>
      </c>
      <c r="Z18" t="e">
        <f t="shared" si="3"/>
        <v>#DIV/0!</v>
      </c>
      <c r="AA18" t="e">
        <f t="shared" si="3"/>
        <v>#DIV/0!</v>
      </c>
      <c r="AB18" t="e">
        <f t="shared" si="3"/>
        <v>#DIV/0!</v>
      </c>
      <c r="AC18" t="e">
        <f t="shared" si="3"/>
        <v>#DIV/0!</v>
      </c>
      <c r="AD18" t="e">
        <f t="shared" si="3"/>
        <v>#DIV/0!</v>
      </c>
      <c r="AE18" t="e">
        <f t="shared" si="3"/>
        <v>#DIV/0!</v>
      </c>
      <c r="AF18" t="e">
        <f t="shared" si="3"/>
        <v>#DIV/0!</v>
      </c>
      <c r="AG18" t="e">
        <f t="shared" si="3"/>
        <v>#DIV/0!</v>
      </c>
      <c r="AH18" t="e">
        <f t="shared" si="3"/>
        <v>#DIV/0!</v>
      </c>
      <c r="AI18" t="e">
        <f t="shared" si="3"/>
        <v>#DIV/0!</v>
      </c>
      <c r="AJ18" t="e">
        <f t="shared" si="3"/>
        <v>#DIV/0!</v>
      </c>
      <c r="AK18" t="e">
        <f t="shared" si="3"/>
        <v>#DIV/0!</v>
      </c>
      <c r="AL18" t="e">
        <f t="shared" si="3"/>
        <v>#DIV/0!</v>
      </c>
      <c r="AM18" t="e">
        <f t="shared" si="3"/>
        <v>#DIV/0!</v>
      </c>
      <c r="AN18" t="e">
        <f t="shared" si="3"/>
        <v>#DIV/0!</v>
      </c>
    </row>
    <row r="19" spans="1:40" x14ac:dyDescent="0.2">
      <c r="A19" s="18" t="s">
        <v>117</v>
      </c>
      <c r="B19" s="3"/>
      <c r="C19" s="3"/>
      <c r="V19" t="str">
        <f t="shared" si="1"/>
        <v>ch4</v>
      </c>
      <c r="W19">
        <v>0</v>
      </c>
      <c r="X19" t="e">
        <f t="shared" si="4"/>
        <v>#DIV/0!</v>
      </c>
      <c r="Y19" t="e">
        <f t="shared" si="3"/>
        <v>#DIV/0!</v>
      </c>
      <c r="Z19" t="e">
        <f t="shared" si="3"/>
        <v>#DIV/0!</v>
      </c>
      <c r="AA19" t="e">
        <f t="shared" si="3"/>
        <v>#DIV/0!</v>
      </c>
      <c r="AB19" t="e">
        <f t="shared" si="3"/>
        <v>#DIV/0!</v>
      </c>
      <c r="AC19" t="e">
        <f t="shared" si="3"/>
        <v>#DIV/0!</v>
      </c>
      <c r="AD19" t="e">
        <f t="shared" si="3"/>
        <v>#DIV/0!</v>
      </c>
      <c r="AE19" t="e">
        <f t="shared" si="3"/>
        <v>#DIV/0!</v>
      </c>
      <c r="AF19" t="e">
        <f t="shared" si="3"/>
        <v>#DIV/0!</v>
      </c>
      <c r="AG19" t="e">
        <f t="shared" si="3"/>
        <v>#DIV/0!</v>
      </c>
      <c r="AH19" t="e">
        <f t="shared" si="3"/>
        <v>#DIV/0!</v>
      </c>
      <c r="AI19" t="e">
        <f t="shared" si="3"/>
        <v>#DIV/0!</v>
      </c>
      <c r="AJ19" t="e">
        <f t="shared" si="3"/>
        <v>#DIV/0!</v>
      </c>
      <c r="AK19" t="e">
        <f t="shared" si="3"/>
        <v>#DIV/0!</v>
      </c>
      <c r="AL19" t="e">
        <f t="shared" si="3"/>
        <v>#DIV/0!</v>
      </c>
      <c r="AM19" t="e">
        <f t="shared" si="3"/>
        <v>#DIV/0!</v>
      </c>
      <c r="AN19" t="e">
        <f t="shared" si="3"/>
        <v>#DIV/0!</v>
      </c>
    </row>
    <row r="20" spans="1:40" x14ac:dyDescent="0.2">
      <c r="A20" s="18" t="s">
        <v>118</v>
      </c>
      <c r="B20" s="3"/>
      <c r="C20" s="3"/>
      <c r="V20" t="str">
        <f t="shared" si="1"/>
        <v>co</v>
      </c>
      <c r="W20">
        <v>0</v>
      </c>
      <c r="X20" t="e">
        <f t="shared" si="4"/>
        <v>#DIV/0!</v>
      </c>
      <c r="Y20" t="e">
        <f t="shared" si="3"/>
        <v>#DIV/0!</v>
      </c>
      <c r="Z20" t="e">
        <f t="shared" si="3"/>
        <v>#DIV/0!</v>
      </c>
      <c r="AA20" t="e">
        <f t="shared" si="3"/>
        <v>#DIV/0!</v>
      </c>
      <c r="AB20" t="e">
        <f t="shared" si="3"/>
        <v>#DIV/0!</v>
      </c>
      <c r="AC20" t="e">
        <f t="shared" si="3"/>
        <v>#DIV/0!</v>
      </c>
      <c r="AD20" t="e">
        <f t="shared" si="3"/>
        <v>#DIV/0!</v>
      </c>
      <c r="AE20" t="e">
        <f t="shared" si="3"/>
        <v>#DIV/0!</v>
      </c>
      <c r="AF20" t="e">
        <f t="shared" si="3"/>
        <v>#DIV/0!</v>
      </c>
      <c r="AG20" t="e">
        <f t="shared" si="3"/>
        <v>#DIV/0!</v>
      </c>
      <c r="AH20" t="e">
        <f t="shared" si="3"/>
        <v>#DIV/0!</v>
      </c>
      <c r="AI20" t="e">
        <f t="shared" si="3"/>
        <v>#DIV/0!</v>
      </c>
      <c r="AJ20" t="e">
        <f t="shared" si="3"/>
        <v>#DIV/0!</v>
      </c>
      <c r="AK20" t="e">
        <f t="shared" si="3"/>
        <v>#DIV/0!</v>
      </c>
      <c r="AL20" t="e">
        <f t="shared" si="3"/>
        <v>#DIV/0!</v>
      </c>
      <c r="AM20" t="e">
        <f t="shared" si="3"/>
        <v>#DIV/0!</v>
      </c>
      <c r="AN20" t="e">
        <f t="shared" si="3"/>
        <v>#DIV/0!</v>
      </c>
    </row>
    <row r="21" spans="1:40" x14ac:dyDescent="0.2">
      <c r="A21" s="18" t="s">
        <v>119</v>
      </c>
      <c r="B21" s="3"/>
      <c r="C21" s="3"/>
      <c r="V21" t="str">
        <f t="shared" si="1"/>
        <v>co2</v>
      </c>
      <c r="W21">
        <v>0</v>
      </c>
      <c r="X21" t="e">
        <f t="shared" si="4"/>
        <v>#DIV/0!</v>
      </c>
      <c r="Y21" t="e">
        <f t="shared" si="3"/>
        <v>#DIV/0!</v>
      </c>
      <c r="Z21" t="e">
        <f t="shared" si="3"/>
        <v>#DIV/0!</v>
      </c>
      <c r="AA21" t="e">
        <f t="shared" si="3"/>
        <v>#DIV/0!</v>
      </c>
      <c r="AB21" t="e">
        <f t="shared" si="3"/>
        <v>#DIV/0!</v>
      </c>
      <c r="AC21" t="e">
        <f t="shared" si="3"/>
        <v>#DIV/0!</v>
      </c>
      <c r="AD21" t="e">
        <f t="shared" si="3"/>
        <v>#DIV/0!</v>
      </c>
      <c r="AE21" t="e">
        <f t="shared" si="3"/>
        <v>#DIV/0!</v>
      </c>
      <c r="AF21" t="e">
        <f t="shared" si="3"/>
        <v>#DIV/0!</v>
      </c>
      <c r="AG21" t="e">
        <f t="shared" si="3"/>
        <v>#DIV/0!</v>
      </c>
      <c r="AH21" t="e">
        <f t="shared" si="3"/>
        <v>#DIV/0!</v>
      </c>
      <c r="AI21" t="e">
        <f t="shared" si="3"/>
        <v>#DIV/0!</v>
      </c>
      <c r="AJ21" t="e">
        <f t="shared" si="3"/>
        <v>#DIV/0!</v>
      </c>
      <c r="AK21" t="e">
        <f t="shared" si="3"/>
        <v>#DIV/0!</v>
      </c>
      <c r="AL21" t="e">
        <f t="shared" si="3"/>
        <v>#DIV/0!</v>
      </c>
      <c r="AM21" t="e">
        <f t="shared" si="3"/>
        <v>#DIV/0!</v>
      </c>
      <c r="AN21" t="e">
        <f t="shared" si="3"/>
        <v>#DIV/0!</v>
      </c>
    </row>
    <row r="22" spans="1:40" x14ac:dyDescent="0.2">
      <c r="A22" s="18" t="s">
        <v>120</v>
      </c>
      <c r="B22" s="3"/>
      <c r="C22" s="3"/>
      <c r="V22" t="str">
        <f t="shared" si="1"/>
        <v>n2o</v>
      </c>
      <c r="W22">
        <v>0</v>
      </c>
      <c r="X22" t="e">
        <f t="shared" si="4"/>
        <v>#DIV/0!</v>
      </c>
      <c r="Y22" t="e">
        <f t="shared" ref="Y22:AM22" si="5">100*(D22/C22-1)</f>
        <v>#DIV/0!</v>
      </c>
      <c r="Z22" t="e">
        <f t="shared" si="5"/>
        <v>#DIV/0!</v>
      </c>
      <c r="AA22" t="e">
        <f t="shared" si="5"/>
        <v>#DIV/0!</v>
      </c>
      <c r="AB22" t="e">
        <f t="shared" si="5"/>
        <v>#DIV/0!</v>
      </c>
      <c r="AC22" t="e">
        <f t="shared" si="5"/>
        <v>#DIV/0!</v>
      </c>
      <c r="AD22" t="e">
        <f t="shared" si="5"/>
        <v>#DIV/0!</v>
      </c>
      <c r="AE22" t="e">
        <f t="shared" si="5"/>
        <v>#DIV/0!</v>
      </c>
      <c r="AF22" t="e">
        <f t="shared" si="5"/>
        <v>#DIV/0!</v>
      </c>
      <c r="AG22" t="e">
        <f t="shared" si="5"/>
        <v>#DIV/0!</v>
      </c>
      <c r="AH22" t="e">
        <f t="shared" si="5"/>
        <v>#DIV/0!</v>
      </c>
      <c r="AI22" t="e">
        <f t="shared" si="5"/>
        <v>#DIV/0!</v>
      </c>
      <c r="AJ22" t="e">
        <f t="shared" si="5"/>
        <v>#DIV/0!</v>
      </c>
      <c r="AK22" t="e">
        <f t="shared" si="5"/>
        <v>#DIV/0!</v>
      </c>
      <c r="AL22" t="e">
        <f t="shared" si="5"/>
        <v>#DIV/0!</v>
      </c>
      <c r="AM22" t="e">
        <f t="shared" si="5"/>
        <v>#DIV/0!</v>
      </c>
      <c r="AN22" t="e">
        <f t="shared" ref="Y22:AN31" si="6">100*(S22/R22-1)</f>
        <v>#DIV/0!</v>
      </c>
    </row>
    <row r="23" spans="1:40" x14ac:dyDescent="0.2">
      <c r="A23" s="18" t="s">
        <v>121</v>
      </c>
      <c r="B23" s="3"/>
      <c r="C23" s="3"/>
      <c r="V23" t="str">
        <f t="shared" si="1"/>
        <v>nox</v>
      </c>
      <c r="W23">
        <v>0</v>
      </c>
      <c r="X23" t="e">
        <f t="shared" si="4"/>
        <v>#DIV/0!</v>
      </c>
      <c r="Y23" t="e">
        <f t="shared" si="6"/>
        <v>#DIV/0!</v>
      </c>
      <c r="Z23" t="e">
        <f t="shared" si="6"/>
        <v>#DIV/0!</v>
      </c>
      <c r="AA23" t="e">
        <f t="shared" si="6"/>
        <v>#DIV/0!</v>
      </c>
      <c r="AB23" t="e">
        <f t="shared" si="6"/>
        <v>#DIV/0!</v>
      </c>
      <c r="AC23" t="e">
        <f t="shared" si="6"/>
        <v>#DIV/0!</v>
      </c>
      <c r="AD23" t="e">
        <f t="shared" si="6"/>
        <v>#DIV/0!</v>
      </c>
      <c r="AE23" t="e">
        <f t="shared" si="6"/>
        <v>#DIV/0!</v>
      </c>
      <c r="AF23" t="e">
        <f t="shared" si="6"/>
        <v>#DIV/0!</v>
      </c>
      <c r="AG23" t="e">
        <f t="shared" si="6"/>
        <v>#DIV/0!</v>
      </c>
      <c r="AH23" t="e">
        <f t="shared" si="6"/>
        <v>#DIV/0!</v>
      </c>
      <c r="AI23" t="e">
        <f t="shared" si="6"/>
        <v>#DIV/0!</v>
      </c>
      <c r="AJ23" t="e">
        <f t="shared" si="6"/>
        <v>#DIV/0!</v>
      </c>
      <c r="AK23" t="e">
        <f t="shared" si="6"/>
        <v>#DIV/0!</v>
      </c>
      <c r="AL23" t="e">
        <f t="shared" si="6"/>
        <v>#DIV/0!</v>
      </c>
      <c r="AM23" t="e">
        <f>100*(R23/Q23-1)</f>
        <v>#DIV/0!</v>
      </c>
      <c r="AN23" t="e">
        <f t="shared" si="6"/>
        <v>#DIV/0!</v>
      </c>
    </row>
    <row r="24" spans="1:40" x14ac:dyDescent="0.2">
      <c r="A24" s="18" t="s">
        <v>61</v>
      </c>
      <c r="B24" s="3"/>
      <c r="C24" s="3"/>
      <c r="V24" t="str">
        <f t="shared" si="1"/>
        <v>pm</v>
      </c>
      <c r="W24">
        <v>0</v>
      </c>
      <c r="X24" t="e">
        <f t="shared" si="4"/>
        <v>#DIV/0!</v>
      </c>
      <c r="Y24" t="e">
        <f t="shared" si="6"/>
        <v>#DIV/0!</v>
      </c>
      <c r="Z24" t="e">
        <f t="shared" si="6"/>
        <v>#DIV/0!</v>
      </c>
      <c r="AA24" t="e">
        <f t="shared" si="6"/>
        <v>#DIV/0!</v>
      </c>
      <c r="AB24" t="e">
        <f t="shared" si="6"/>
        <v>#DIV/0!</v>
      </c>
      <c r="AC24" t="e">
        <f t="shared" si="6"/>
        <v>#DIV/0!</v>
      </c>
      <c r="AD24" t="e">
        <f t="shared" si="6"/>
        <v>#DIV/0!</v>
      </c>
      <c r="AE24" t="e">
        <f t="shared" si="6"/>
        <v>#DIV/0!</v>
      </c>
      <c r="AF24" t="e">
        <f t="shared" si="6"/>
        <v>#DIV/0!</v>
      </c>
      <c r="AG24" t="e">
        <f t="shared" si="6"/>
        <v>#DIV/0!</v>
      </c>
      <c r="AH24" t="e">
        <f t="shared" si="6"/>
        <v>#DIV/0!</v>
      </c>
      <c r="AI24" t="e">
        <f t="shared" si="6"/>
        <v>#DIV/0!</v>
      </c>
      <c r="AJ24" t="e">
        <f t="shared" si="6"/>
        <v>#DIV/0!</v>
      </c>
      <c r="AK24" t="e">
        <f t="shared" si="6"/>
        <v>#DIV/0!</v>
      </c>
      <c r="AL24" t="e">
        <f t="shared" si="6"/>
        <v>#DIV/0!</v>
      </c>
      <c r="AM24" t="e">
        <f t="shared" si="6"/>
        <v>#DIV/0!</v>
      </c>
      <c r="AN24" t="e">
        <f t="shared" si="6"/>
        <v>#DIV/0!</v>
      </c>
    </row>
    <row r="25" spans="1:40" x14ac:dyDescent="0.2">
      <c r="A25" s="18" t="s">
        <v>122</v>
      </c>
      <c r="B25" s="3"/>
      <c r="C25" s="3"/>
      <c r="V25" t="str">
        <f t="shared" si="1"/>
        <v>pm10</v>
      </c>
      <c r="W25">
        <v>0</v>
      </c>
      <c r="X25" t="e">
        <f t="shared" si="4"/>
        <v>#DIV/0!</v>
      </c>
      <c r="Y25" t="e">
        <f t="shared" si="6"/>
        <v>#DIV/0!</v>
      </c>
      <c r="Z25" t="e">
        <f t="shared" si="6"/>
        <v>#DIV/0!</v>
      </c>
      <c r="AA25" t="e">
        <f t="shared" si="6"/>
        <v>#DIV/0!</v>
      </c>
      <c r="AB25" t="e">
        <f t="shared" si="6"/>
        <v>#DIV/0!</v>
      </c>
      <c r="AC25" t="e">
        <f t="shared" si="6"/>
        <v>#DIV/0!</v>
      </c>
      <c r="AD25" t="e">
        <f t="shared" si="6"/>
        <v>#DIV/0!</v>
      </c>
      <c r="AE25" t="e">
        <f t="shared" si="6"/>
        <v>#DIV/0!</v>
      </c>
      <c r="AF25" t="e">
        <f t="shared" si="6"/>
        <v>#DIV/0!</v>
      </c>
      <c r="AG25" t="e">
        <f t="shared" si="6"/>
        <v>#DIV/0!</v>
      </c>
      <c r="AH25" t="e">
        <f t="shared" si="6"/>
        <v>#DIV/0!</v>
      </c>
      <c r="AI25" t="e">
        <f t="shared" si="6"/>
        <v>#DIV/0!</v>
      </c>
      <c r="AJ25" t="e">
        <f t="shared" si="6"/>
        <v>#DIV/0!</v>
      </c>
      <c r="AK25" t="e">
        <f t="shared" si="6"/>
        <v>#DIV/0!</v>
      </c>
      <c r="AL25" t="e">
        <f t="shared" si="6"/>
        <v>#DIV/0!</v>
      </c>
      <c r="AM25" t="e">
        <f t="shared" si="6"/>
        <v>#DIV/0!</v>
      </c>
      <c r="AN25" t="e">
        <f t="shared" si="6"/>
        <v>#DIV/0!</v>
      </c>
    </row>
    <row r="26" spans="1:40" x14ac:dyDescent="0.2">
      <c r="A26" s="18" t="s">
        <v>123</v>
      </c>
      <c r="B26" s="3"/>
      <c r="C26" s="3"/>
      <c r="V26" t="str">
        <f t="shared" si="1"/>
        <v>pm25</v>
      </c>
      <c r="W26">
        <v>0</v>
      </c>
      <c r="X26" t="e">
        <f t="shared" si="4"/>
        <v>#DIV/0!</v>
      </c>
      <c r="Y26" t="e">
        <f t="shared" si="6"/>
        <v>#DIV/0!</v>
      </c>
      <c r="Z26" t="e">
        <f t="shared" si="6"/>
        <v>#DIV/0!</v>
      </c>
      <c r="AA26" t="e">
        <f t="shared" si="6"/>
        <v>#DIV/0!</v>
      </c>
      <c r="AB26" t="e">
        <f t="shared" si="6"/>
        <v>#DIV/0!</v>
      </c>
      <c r="AC26" t="e">
        <f t="shared" si="6"/>
        <v>#DIV/0!</v>
      </c>
      <c r="AD26" t="e">
        <f t="shared" si="6"/>
        <v>#DIV/0!</v>
      </c>
      <c r="AE26" t="e">
        <f t="shared" si="6"/>
        <v>#DIV/0!</v>
      </c>
      <c r="AF26" t="e">
        <f t="shared" si="6"/>
        <v>#DIV/0!</v>
      </c>
      <c r="AG26" t="e">
        <f t="shared" si="6"/>
        <v>#DIV/0!</v>
      </c>
      <c r="AH26" t="e">
        <f t="shared" si="6"/>
        <v>#DIV/0!</v>
      </c>
      <c r="AI26" t="e">
        <f t="shared" si="6"/>
        <v>#DIV/0!</v>
      </c>
      <c r="AJ26" t="e">
        <f t="shared" si="6"/>
        <v>#DIV/0!</v>
      </c>
      <c r="AK26" t="e">
        <f t="shared" si="6"/>
        <v>#DIV/0!</v>
      </c>
      <c r="AL26" t="e">
        <f t="shared" si="6"/>
        <v>#DIV/0!</v>
      </c>
      <c r="AM26" t="e">
        <f t="shared" si="6"/>
        <v>#DIV/0!</v>
      </c>
      <c r="AN26" t="e">
        <f t="shared" si="6"/>
        <v>#DIV/0!</v>
      </c>
    </row>
    <row r="27" spans="1:40" x14ac:dyDescent="0.2">
      <c r="A27" s="18" t="s">
        <v>124</v>
      </c>
      <c r="B27" s="3"/>
      <c r="C27" s="3"/>
      <c r="V27" t="str">
        <f t="shared" si="1"/>
        <v>sox</v>
      </c>
      <c r="W27">
        <v>0</v>
      </c>
      <c r="X27" t="e">
        <f t="shared" si="4"/>
        <v>#DIV/0!</v>
      </c>
      <c r="Y27" t="e">
        <f t="shared" si="6"/>
        <v>#DIV/0!</v>
      </c>
      <c r="Z27" t="e">
        <f t="shared" si="6"/>
        <v>#DIV/0!</v>
      </c>
      <c r="AA27" t="e">
        <f t="shared" si="6"/>
        <v>#DIV/0!</v>
      </c>
      <c r="AB27" t="e">
        <f t="shared" si="6"/>
        <v>#DIV/0!</v>
      </c>
      <c r="AC27" t="e">
        <f t="shared" si="6"/>
        <v>#DIV/0!</v>
      </c>
      <c r="AD27" t="e">
        <f t="shared" si="6"/>
        <v>#DIV/0!</v>
      </c>
      <c r="AE27" t="e">
        <f t="shared" si="6"/>
        <v>#DIV/0!</v>
      </c>
      <c r="AF27" t="e">
        <f t="shared" si="6"/>
        <v>#DIV/0!</v>
      </c>
      <c r="AG27" t="e">
        <f t="shared" si="6"/>
        <v>#DIV/0!</v>
      </c>
      <c r="AH27" t="e">
        <f t="shared" si="6"/>
        <v>#DIV/0!</v>
      </c>
      <c r="AI27" t="e">
        <f t="shared" si="6"/>
        <v>#DIV/0!</v>
      </c>
      <c r="AJ27" t="e">
        <f t="shared" si="6"/>
        <v>#DIV/0!</v>
      </c>
      <c r="AK27" t="e">
        <f t="shared" si="6"/>
        <v>#DIV/0!</v>
      </c>
      <c r="AL27" t="e">
        <f t="shared" si="6"/>
        <v>#DIV/0!</v>
      </c>
      <c r="AM27" t="e">
        <f t="shared" si="6"/>
        <v>#DIV/0!</v>
      </c>
      <c r="AN27" t="e">
        <f t="shared" si="6"/>
        <v>#DIV/0!</v>
      </c>
    </row>
    <row r="28" spans="1:40" x14ac:dyDescent="0.2">
      <c r="A28" s="18" t="s">
        <v>125</v>
      </c>
      <c r="B28" s="3"/>
      <c r="C28" s="3"/>
      <c r="V28" t="str">
        <f t="shared" si="1"/>
        <v>voc</v>
      </c>
      <c r="W28">
        <v>0</v>
      </c>
      <c r="X28" t="e">
        <f t="shared" si="4"/>
        <v>#DIV/0!</v>
      </c>
      <c r="Y28" t="e">
        <f t="shared" si="6"/>
        <v>#DIV/0!</v>
      </c>
      <c r="Z28" t="e">
        <f t="shared" si="6"/>
        <v>#DIV/0!</v>
      </c>
      <c r="AA28" t="e">
        <f t="shared" si="6"/>
        <v>#DIV/0!</v>
      </c>
      <c r="AB28" t="e">
        <f t="shared" si="6"/>
        <v>#DIV/0!</v>
      </c>
      <c r="AC28" t="e">
        <f t="shared" si="6"/>
        <v>#DIV/0!</v>
      </c>
      <c r="AD28" t="e">
        <f t="shared" si="6"/>
        <v>#DIV/0!</v>
      </c>
      <c r="AE28" t="e">
        <f t="shared" si="6"/>
        <v>#DIV/0!</v>
      </c>
      <c r="AF28" t="e">
        <f t="shared" si="6"/>
        <v>#DIV/0!</v>
      </c>
      <c r="AG28" t="e">
        <f t="shared" si="6"/>
        <v>#DIV/0!</v>
      </c>
      <c r="AH28" t="e">
        <f t="shared" si="6"/>
        <v>#DIV/0!</v>
      </c>
      <c r="AI28" t="e">
        <f t="shared" si="6"/>
        <v>#DIV/0!</v>
      </c>
      <c r="AJ28" t="e">
        <f t="shared" si="6"/>
        <v>#DIV/0!</v>
      </c>
      <c r="AK28" t="e">
        <f t="shared" si="6"/>
        <v>#DIV/0!</v>
      </c>
      <c r="AL28" t="e">
        <f t="shared" si="6"/>
        <v>#DIV/0!</v>
      </c>
      <c r="AM28" t="e">
        <f t="shared" si="6"/>
        <v>#DIV/0!</v>
      </c>
      <c r="AN28" t="e">
        <f t="shared" si="6"/>
        <v>#DIV/0!</v>
      </c>
    </row>
    <row r="29" spans="1:40" x14ac:dyDescent="0.2">
      <c r="A29" s="2" t="s">
        <v>65</v>
      </c>
      <c r="B29" s="3"/>
      <c r="C29" s="3"/>
      <c r="V29" t="str">
        <f t="shared" si="1"/>
        <v>Grand Total</v>
      </c>
      <c r="W29">
        <v>0</v>
      </c>
      <c r="X29" t="e">
        <f t="shared" si="4"/>
        <v>#DIV/0!</v>
      </c>
      <c r="Y29" t="e">
        <f t="shared" si="6"/>
        <v>#DIV/0!</v>
      </c>
      <c r="Z29" t="e">
        <f t="shared" si="6"/>
        <v>#DIV/0!</v>
      </c>
      <c r="AA29" t="e">
        <f t="shared" si="6"/>
        <v>#DIV/0!</v>
      </c>
      <c r="AB29" t="e">
        <f t="shared" si="6"/>
        <v>#DIV/0!</v>
      </c>
      <c r="AC29" t="e">
        <f t="shared" si="6"/>
        <v>#DIV/0!</v>
      </c>
      <c r="AD29" t="e">
        <f t="shared" si="6"/>
        <v>#DIV/0!</v>
      </c>
      <c r="AE29" t="e">
        <f t="shared" si="6"/>
        <v>#DIV/0!</v>
      </c>
      <c r="AF29" t="e">
        <f t="shared" si="6"/>
        <v>#DIV/0!</v>
      </c>
      <c r="AG29" t="e">
        <f t="shared" si="6"/>
        <v>#DIV/0!</v>
      </c>
      <c r="AH29" t="e">
        <f t="shared" si="6"/>
        <v>#DIV/0!</v>
      </c>
      <c r="AI29" t="e">
        <f t="shared" si="6"/>
        <v>#DIV/0!</v>
      </c>
      <c r="AJ29" t="e">
        <f t="shared" si="6"/>
        <v>#DIV/0!</v>
      </c>
      <c r="AK29" t="e">
        <f t="shared" si="6"/>
        <v>#DIV/0!</v>
      </c>
      <c r="AL29" t="e">
        <f t="shared" si="6"/>
        <v>#DIV/0!</v>
      </c>
      <c r="AM29" t="e">
        <f t="shared" si="6"/>
        <v>#DIV/0!</v>
      </c>
      <c r="AN29" t="e">
        <f t="shared" si="6"/>
        <v>#DIV/0!</v>
      </c>
    </row>
    <row r="30" spans="1:40" x14ac:dyDescent="0.2">
      <c r="V30">
        <f t="shared" si="1"/>
        <v>0</v>
      </c>
      <c r="W30">
        <v>0</v>
      </c>
      <c r="X30" t="e">
        <f t="shared" si="4"/>
        <v>#DIV/0!</v>
      </c>
      <c r="Y30" t="e">
        <f t="shared" si="6"/>
        <v>#DIV/0!</v>
      </c>
      <c r="Z30" t="e">
        <f t="shared" si="6"/>
        <v>#DIV/0!</v>
      </c>
      <c r="AA30" t="e">
        <f t="shared" si="6"/>
        <v>#DIV/0!</v>
      </c>
      <c r="AB30" t="e">
        <f t="shared" si="6"/>
        <v>#DIV/0!</v>
      </c>
      <c r="AC30" t="e">
        <f t="shared" si="6"/>
        <v>#DIV/0!</v>
      </c>
      <c r="AD30" t="e">
        <f t="shared" si="6"/>
        <v>#DIV/0!</v>
      </c>
      <c r="AE30" t="e">
        <f t="shared" si="6"/>
        <v>#DIV/0!</v>
      </c>
      <c r="AF30" t="e">
        <f t="shared" si="6"/>
        <v>#DIV/0!</v>
      </c>
      <c r="AG30" t="e">
        <f t="shared" si="6"/>
        <v>#DIV/0!</v>
      </c>
      <c r="AH30" t="e">
        <f t="shared" si="6"/>
        <v>#DIV/0!</v>
      </c>
      <c r="AI30" t="e">
        <f t="shared" si="6"/>
        <v>#DIV/0!</v>
      </c>
      <c r="AJ30" t="e">
        <f t="shared" si="6"/>
        <v>#DIV/0!</v>
      </c>
      <c r="AK30" t="e">
        <f t="shared" si="6"/>
        <v>#DIV/0!</v>
      </c>
      <c r="AL30" t="e">
        <f t="shared" si="6"/>
        <v>#DIV/0!</v>
      </c>
      <c r="AM30" t="e">
        <f t="shared" si="6"/>
        <v>#DIV/0!</v>
      </c>
      <c r="AN30" t="e">
        <f t="shared" si="6"/>
        <v>#DIV/0!</v>
      </c>
    </row>
    <row r="31" spans="1:40" x14ac:dyDescent="0.2">
      <c r="V31">
        <f t="shared" si="1"/>
        <v>0</v>
      </c>
      <c r="W31">
        <v>0</v>
      </c>
      <c r="X31" t="e">
        <f t="shared" si="4"/>
        <v>#DIV/0!</v>
      </c>
      <c r="Y31" t="e">
        <f t="shared" si="6"/>
        <v>#DIV/0!</v>
      </c>
      <c r="Z31" t="e">
        <f t="shared" si="6"/>
        <v>#DIV/0!</v>
      </c>
      <c r="AA31" t="e">
        <f t="shared" si="6"/>
        <v>#DIV/0!</v>
      </c>
      <c r="AB31" t="e">
        <f t="shared" si="6"/>
        <v>#DIV/0!</v>
      </c>
      <c r="AC31" t="e">
        <f t="shared" si="6"/>
        <v>#DIV/0!</v>
      </c>
      <c r="AD31" t="e">
        <f t="shared" si="6"/>
        <v>#DIV/0!</v>
      </c>
      <c r="AE31" t="e">
        <f t="shared" si="6"/>
        <v>#DIV/0!</v>
      </c>
      <c r="AF31" t="e">
        <f t="shared" si="6"/>
        <v>#DIV/0!</v>
      </c>
      <c r="AG31" t="e">
        <f t="shared" si="6"/>
        <v>#DIV/0!</v>
      </c>
      <c r="AH31" t="e">
        <f t="shared" si="6"/>
        <v>#DIV/0!</v>
      </c>
      <c r="AI31" t="e">
        <f t="shared" si="6"/>
        <v>#DIV/0!</v>
      </c>
      <c r="AJ31" t="e">
        <f t="shared" si="6"/>
        <v>#DIV/0!</v>
      </c>
      <c r="AK31" t="e">
        <f t="shared" si="6"/>
        <v>#DIV/0!</v>
      </c>
      <c r="AL31" t="e">
        <f t="shared" si="6"/>
        <v>#DIV/0!</v>
      </c>
      <c r="AM31" t="e">
        <f t="shared" si="6"/>
        <v>#DIV/0!</v>
      </c>
      <c r="AN31" t="e">
        <f t="shared" si="6"/>
        <v>#DIV/0!</v>
      </c>
    </row>
    <row r="34" spans="22:29" x14ac:dyDescent="0.2">
      <c r="W34" s="13">
        <f>D34</f>
        <v>0</v>
      </c>
      <c r="X34" s="13">
        <f t="shared" ref="X34:AC34" si="7">E34</f>
        <v>0</v>
      </c>
      <c r="Y34" s="13">
        <f t="shared" si="7"/>
        <v>0</v>
      </c>
      <c r="Z34" s="13">
        <f t="shared" si="7"/>
        <v>0</v>
      </c>
      <c r="AA34" s="13">
        <f t="shared" si="7"/>
        <v>0</v>
      </c>
      <c r="AB34" s="13">
        <f t="shared" si="7"/>
        <v>0</v>
      </c>
      <c r="AC34" s="13">
        <f t="shared" si="7"/>
        <v>0</v>
      </c>
    </row>
    <row r="35" spans="22:29" x14ac:dyDescent="0.2">
      <c r="V35">
        <f>A35</f>
        <v>0</v>
      </c>
      <c r="W35" s="10">
        <v>0</v>
      </c>
      <c r="X35" s="10" t="e">
        <f t="shared" ref="X35:X46" si="8">100*(E35/D35-1)</f>
        <v>#DIV/0!</v>
      </c>
      <c r="Y35" s="10" t="e">
        <f t="shared" ref="Y35:AC46" si="9">100*(F35/E35-1)</f>
        <v>#DIV/0!</v>
      </c>
      <c r="Z35" s="10" t="e">
        <f t="shared" si="9"/>
        <v>#DIV/0!</v>
      </c>
      <c r="AA35" s="10" t="e">
        <f t="shared" si="9"/>
        <v>#DIV/0!</v>
      </c>
      <c r="AB35" s="10" t="e">
        <f t="shared" si="9"/>
        <v>#DIV/0!</v>
      </c>
      <c r="AC35" s="10" t="e">
        <f t="shared" si="9"/>
        <v>#DIV/0!</v>
      </c>
    </row>
    <row r="36" spans="22:29" x14ac:dyDescent="0.2">
      <c r="V36">
        <f t="shared" ref="V36:V60" si="10">A36</f>
        <v>0</v>
      </c>
      <c r="W36" s="10">
        <v>0</v>
      </c>
      <c r="X36" s="10" t="e">
        <f t="shared" si="8"/>
        <v>#DIV/0!</v>
      </c>
      <c r="Y36" s="10" t="e">
        <f t="shared" si="9"/>
        <v>#DIV/0!</v>
      </c>
      <c r="Z36" s="10" t="e">
        <f t="shared" si="9"/>
        <v>#DIV/0!</v>
      </c>
      <c r="AA36" s="10" t="e">
        <f t="shared" si="9"/>
        <v>#DIV/0!</v>
      </c>
      <c r="AB36" s="10" t="e">
        <f t="shared" si="9"/>
        <v>#DIV/0!</v>
      </c>
      <c r="AC36" s="10" t="e">
        <f t="shared" si="9"/>
        <v>#DIV/0!</v>
      </c>
    </row>
    <row r="37" spans="22:29" x14ac:dyDescent="0.2">
      <c r="V37">
        <f t="shared" si="10"/>
        <v>0</v>
      </c>
      <c r="W37" s="10">
        <v>0</v>
      </c>
      <c r="X37" s="10" t="e">
        <f t="shared" si="8"/>
        <v>#DIV/0!</v>
      </c>
      <c r="Y37" s="10" t="e">
        <f t="shared" si="9"/>
        <v>#DIV/0!</v>
      </c>
      <c r="Z37" s="10" t="e">
        <f t="shared" si="9"/>
        <v>#DIV/0!</v>
      </c>
      <c r="AA37" s="10" t="e">
        <f t="shared" si="9"/>
        <v>#DIV/0!</v>
      </c>
      <c r="AB37" s="10" t="e">
        <f t="shared" si="9"/>
        <v>#DIV/0!</v>
      </c>
      <c r="AC37" s="10" t="e">
        <f t="shared" si="9"/>
        <v>#DIV/0!</v>
      </c>
    </row>
    <row r="38" spans="22:29" x14ac:dyDescent="0.2">
      <c r="V38">
        <f t="shared" si="10"/>
        <v>0</v>
      </c>
      <c r="W38" s="10">
        <v>0</v>
      </c>
      <c r="X38" s="10" t="e">
        <f t="shared" si="8"/>
        <v>#DIV/0!</v>
      </c>
      <c r="Y38" s="10" t="e">
        <f t="shared" si="9"/>
        <v>#DIV/0!</v>
      </c>
      <c r="Z38" s="10" t="e">
        <f t="shared" si="9"/>
        <v>#DIV/0!</v>
      </c>
      <c r="AA38" s="10" t="e">
        <f t="shared" si="9"/>
        <v>#DIV/0!</v>
      </c>
      <c r="AB38" s="10" t="e">
        <f t="shared" si="9"/>
        <v>#DIV/0!</v>
      </c>
      <c r="AC38" s="10" t="e">
        <f t="shared" si="9"/>
        <v>#DIV/0!</v>
      </c>
    </row>
    <row r="39" spans="22:29" x14ac:dyDescent="0.2">
      <c r="V39">
        <f t="shared" si="10"/>
        <v>0</v>
      </c>
      <c r="W39" s="10">
        <v>0</v>
      </c>
      <c r="X39" s="10" t="e">
        <f t="shared" si="8"/>
        <v>#DIV/0!</v>
      </c>
      <c r="Y39" s="10" t="e">
        <f t="shared" si="9"/>
        <v>#DIV/0!</v>
      </c>
      <c r="Z39" s="10" t="e">
        <f t="shared" si="9"/>
        <v>#DIV/0!</v>
      </c>
      <c r="AA39" s="10" t="e">
        <f t="shared" si="9"/>
        <v>#DIV/0!</v>
      </c>
      <c r="AB39" s="10" t="e">
        <f t="shared" si="9"/>
        <v>#DIV/0!</v>
      </c>
      <c r="AC39" s="10" t="e">
        <f t="shared" si="9"/>
        <v>#DIV/0!</v>
      </c>
    </row>
    <row r="40" spans="22:29" x14ac:dyDescent="0.2">
      <c r="V40">
        <f t="shared" si="10"/>
        <v>0</v>
      </c>
      <c r="W40" s="10">
        <v>0</v>
      </c>
      <c r="X40" s="10" t="e">
        <f t="shared" si="8"/>
        <v>#DIV/0!</v>
      </c>
      <c r="Y40" s="10" t="e">
        <f t="shared" si="9"/>
        <v>#DIV/0!</v>
      </c>
      <c r="Z40" s="10" t="e">
        <f t="shared" si="9"/>
        <v>#DIV/0!</v>
      </c>
      <c r="AA40" s="10" t="e">
        <f t="shared" si="9"/>
        <v>#DIV/0!</v>
      </c>
      <c r="AB40" s="10" t="e">
        <f t="shared" si="9"/>
        <v>#DIV/0!</v>
      </c>
      <c r="AC40" s="10" t="e">
        <f t="shared" si="9"/>
        <v>#DIV/0!</v>
      </c>
    </row>
    <row r="41" spans="22:29" x14ac:dyDescent="0.2">
      <c r="V41">
        <f t="shared" si="10"/>
        <v>0</v>
      </c>
      <c r="W41" s="10">
        <v>0</v>
      </c>
      <c r="X41" s="10" t="e">
        <f t="shared" si="8"/>
        <v>#DIV/0!</v>
      </c>
      <c r="Y41" s="10" t="e">
        <f t="shared" si="9"/>
        <v>#DIV/0!</v>
      </c>
      <c r="Z41" s="10" t="e">
        <f t="shared" si="9"/>
        <v>#DIV/0!</v>
      </c>
      <c r="AA41" s="10" t="e">
        <f t="shared" si="9"/>
        <v>#DIV/0!</v>
      </c>
      <c r="AB41" s="10" t="e">
        <f t="shared" si="9"/>
        <v>#DIV/0!</v>
      </c>
      <c r="AC41" s="10" t="e">
        <f t="shared" si="9"/>
        <v>#DIV/0!</v>
      </c>
    </row>
    <row r="42" spans="22:29" x14ac:dyDescent="0.2">
      <c r="V42">
        <f t="shared" si="10"/>
        <v>0</v>
      </c>
      <c r="W42" s="10">
        <v>0</v>
      </c>
      <c r="X42" s="10" t="e">
        <f t="shared" si="8"/>
        <v>#DIV/0!</v>
      </c>
      <c r="Y42" s="10" t="e">
        <f t="shared" si="9"/>
        <v>#DIV/0!</v>
      </c>
      <c r="Z42" s="10" t="e">
        <f t="shared" si="9"/>
        <v>#DIV/0!</v>
      </c>
      <c r="AA42" s="10" t="e">
        <f t="shared" si="9"/>
        <v>#DIV/0!</v>
      </c>
      <c r="AB42" s="10" t="e">
        <f t="shared" si="9"/>
        <v>#DIV/0!</v>
      </c>
      <c r="AC42" s="10" t="e">
        <f t="shared" si="9"/>
        <v>#DIV/0!</v>
      </c>
    </row>
    <row r="43" spans="22:29" x14ac:dyDescent="0.2">
      <c r="V43">
        <f t="shared" si="10"/>
        <v>0</v>
      </c>
      <c r="W43" s="10">
        <v>0</v>
      </c>
      <c r="X43" s="10" t="e">
        <f t="shared" si="8"/>
        <v>#DIV/0!</v>
      </c>
      <c r="Y43" s="10" t="e">
        <f t="shared" si="9"/>
        <v>#DIV/0!</v>
      </c>
      <c r="Z43" s="10" t="e">
        <f t="shared" si="9"/>
        <v>#DIV/0!</v>
      </c>
      <c r="AA43" s="10" t="e">
        <f t="shared" si="9"/>
        <v>#DIV/0!</v>
      </c>
      <c r="AB43" s="10" t="e">
        <f t="shared" si="9"/>
        <v>#DIV/0!</v>
      </c>
      <c r="AC43" s="10" t="e">
        <f t="shared" si="9"/>
        <v>#DIV/0!</v>
      </c>
    </row>
    <row r="44" spans="22:29" x14ac:dyDescent="0.2">
      <c r="V44">
        <f t="shared" si="10"/>
        <v>0</v>
      </c>
      <c r="W44" s="10">
        <v>0</v>
      </c>
      <c r="X44" s="10" t="e">
        <f t="shared" si="8"/>
        <v>#DIV/0!</v>
      </c>
      <c r="Y44" s="10" t="e">
        <f t="shared" si="9"/>
        <v>#DIV/0!</v>
      </c>
      <c r="Z44" s="10" t="e">
        <f t="shared" si="9"/>
        <v>#DIV/0!</v>
      </c>
      <c r="AA44" s="10" t="e">
        <f t="shared" si="9"/>
        <v>#DIV/0!</v>
      </c>
      <c r="AB44" s="10" t="e">
        <f t="shared" si="9"/>
        <v>#DIV/0!</v>
      </c>
      <c r="AC44" s="10" t="e">
        <f t="shared" si="9"/>
        <v>#DIV/0!</v>
      </c>
    </row>
    <row r="45" spans="22:29" x14ac:dyDescent="0.2">
      <c r="V45">
        <f t="shared" si="10"/>
        <v>0</v>
      </c>
      <c r="W45" s="10">
        <v>0</v>
      </c>
      <c r="X45" s="10" t="e">
        <f t="shared" si="8"/>
        <v>#DIV/0!</v>
      </c>
      <c r="Y45" s="10" t="e">
        <f t="shared" si="9"/>
        <v>#DIV/0!</v>
      </c>
      <c r="Z45" s="10" t="e">
        <f t="shared" si="9"/>
        <v>#DIV/0!</v>
      </c>
      <c r="AA45" s="10" t="e">
        <f t="shared" si="9"/>
        <v>#DIV/0!</v>
      </c>
      <c r="AB45" s="10" t="e">
        <f t="shared" si="9"/>
        <v>#DIV/0!</v>
      </c>
      <c r="AC45" s="10" t="e">
        <f t="shared" si="9"/>
        <v>#DIV/0!</v>
      </c>
    </row>
    <row r="46" spans="22:29" x14ac:dyDescent="0.2">
      <c r="V46">
        <f t="shared" si="10"/>
        <v>0</v>
      </c>
      <c r="W46" s="10">
        <v>0</v>
      </c>
      <c r="X46" s="10" t="e">
        <f t="shared" si="8"/>
        <v>#DIV/0!</v>
      </c>
      <c r="Y46" s="10" t="e">
        <f t="shared" si="9"/>
        <v>#DIV/0!</v>
      </c>
      <c r="Z46" s="10" t="e">
        <f t="shared" si="9"/>
        <v>#DIV/0!</v>
      </c>
      <c r="AA46" s="10" t="e">
        <f t="shared" si="9"/>
        <v>#DIV/0!</v>
      </c>
      <c r="AB46" s="10" t="e">
        <f t="shared" si="9"/>
        <v>#DIV/0!</v>
      </c>
      <c r="AC46" s="10" t="e">
        <f t="shared" si="9"/>
        <v>#DIV/0!</v>
      </c>
    </row>
    <row r="47" spans="22:29" x14ac:dyDescent="0.2">
      <c r="V47">
        <f t="shared" si="10"/>
        <v>0</v>
      </c>
      <c r="W47" s="10">
        <v>0</v>
      </c>
      <c r="X47" s="16" t="e">
        <f t="array" ref="X47">SUM(C35:C46*X35:X46)/E47</f>
        <v>#DIV/0!</v>
      </c>
      <c r="Y47" s="16" t="e">
        <f t="array" ref="Y47">SUM(D35:D46*Y35:Y46)/F47</f>
        <v>#DIV/0!</v>
      </c>
      <c r="Z47" s="16" t="e">
        <f t="array" ref="Z47">SUM(E35:E46*Z35:Z46)/G47</f>
        <v>#DIV/0!</v>
      </c>
      <c r="AA47" s="16" t="e">
        <f t="array" ref="AA47">SUM(F35:F46*AA35:AA46)/H47</f>
        <v>#DIV/0!</v>
      </c>
      <c r="AB47" s="16" t="e">
        <f t="array" ref="AB47">SUM(G35:G46*AB35:AB46)/I47</f>
        <v>#DIV/0!</v>
      </c>
      <c r="AC47" s="16" t="e">
        <f t="array" ref="AC47">SUM(H35:H46*AC35:AC46)/J47</f>
        <v>#DIV/0!</v>
      </c>
    </row>
    <row r="48" spans="22:29" x14ac:dyDescent="0.2">
      <c r="V48">
        <f t="shared" si="10"/>
        <v>0</v>
      </c>
      <c r="W48" s="10">
        <v>0</v>
      </c>
      <c r="X48" s="10" t="e">
        <f t="shared" ref="X48:AC60" si="11">100*(E48/D48-1)</f>
        <v>#DIV/0!</v>
      </c>
      <c r="Y48" s="10" t="e">
        <f t="shared" si="11"/>
        <v>#DIV/0!</v>
      </c>
      <c r="Z48" s="10" t="e">
        <f t="shared" si="11"/>
        <v>#DIV/0!</v>
      </c>
      <c r="AA48" s="10" t="e">
        <f t="shared" si="11"/>
        <v>#DIV/0!</v>
      </c>
      <c r="AB48" s="10" t="e">
        <f t="shared" si="11"/>
        <v>#DIV/0!</v>
      </c>
      <c r="AC48" s="10" t="e">
        <f t="shared" si="11"/>
        <v>#DIV/0!</v>
      </c>
    </row>
    <row r="49" spans="22:29" x14ac:dyDescent="0.2">
      <c r="V49">
        <f t="shared" si="10"/>
        <v>0</v>
      </c>
      <c r="W49" s="10">
        <v>0</v>
      </c>
      <c r="X49" s="10" t="e">
        <f t="shared" si="11"/>
        <v>#DIV/0!</v>
      </c>
      <c r="Y49" s="10" t="e">
        <f t="shared" si="11"/>
        <v>#DIV/0!</v>
      </c>
      <c r="Z49" s="10" t="e">
        <f t="shared" si="11"/>
        <v>#DIV/0!</v>
      </c>
      <c r="AA49" s="10" t="e">
        <f t="shared" si="11"/>
        <v>#DIV/0!</v>
      </c>
      <c r="AB49" s="10" t="e">
        <f t="shared" si="11"/>
        <v>#DIV/0!</v>
      </c>
      <c r="AC49" s="10" t="e">
        <f t="shared" si="11"/>
        <v>#DIV/0!</v>
      </c>
    </row>
    <row r="50" spans="22:29" x14ac:dyDescent="0.2">
      <c r="V50">
        <f t="shared" si="10"/>
        <v>0</v>
      </c>
      <c r="W50" s="10">
        <v>0</v>
      </c>
      <c r="X50" s="10" t="e">
        <f t="shared" si="11"/>
        <v>#DIV/0!</v>
      </c>
      <c r="Y50" s="10" t="e">
        <f t="shared" si="11"/>
        <v>#DIV/0!</v>
      </c>
      <c r="Z50" s="10" t="e">
        <f t="shared" si="11"/>
        <v>#DIV/0!</v>
      </c>
      <c r="AA50" s="10" t="e">
        <f t="shared" si="11"/>
        <v>#DIV/0!</v>
      </c>
      <c r="AB50" s="10" t="e">
        <f t="shared" si="11"/>
        <v>#DIV/0!</v>
      </c>
      <c r="AC50" s="10" t="e">
        <f t="shared" si="11"/>
        <v>#DIV/0!</v>
      </c>
    </row>
    <row r="51" spans="22:29" x14ac:dyDescent="0.2">
      <c r="V51">
        <f t="shared" si="10"/>
        <v>0</v>
      </c>
      <c r="W51" s="10">
        <v>0</v>
      </c>
      <c r="X51" s="10" t="e">
        <f t="shared" si="11"/>
        <v>#DIV/0!</v>
      </c>
      <c r="Y51" s="10" t="e">
        <f t="shared" si="11"/>
        <v>#DIV/0!</v>
      </c>
      <c r="Z51" s="10" t="e">
        <f t="shared" si="11"/>
        <v>#DIV/0!</v>
      </c>
      <c r="AA51" s="10" t="e">
        <f t="shared" si="11"/>
        <v>#DIV/0!</v>
      </c>
      <c r="AB51" s="10" t="e">
        <f t="shared" si="11"/>
        <v>#DIV/0!</v>
      </c>
      <c r="AC51" s="10" t="e">
        <f t="shared" si="11"/>
        <v>#DIV/0!</v>
      </c>
    </row>
    <row r="52" spans="22:29" x14ac:dyDescent="0.2">
      <c r="V52">
        <f t="shared" si="10"/>
        <v>0</v>
      </c>
      <c r="W52" s="10">
        <v>0</v>
      </c>
      <c r="X52" s="10" t="e">
        <f t="shared" si="11"/>
        <v>#DIV/0!</v>
      </c>
      <c r="Y52" s="10" t="e">
        <f t="shared" si="11"/>
        <v>#DIV/0!</v>
      </c>
      <c r="Z52" s="10" t="e">
        <f t="shared" si="11"/>
        <v>#DIV/0!</v>
      </c>
      <c r="AA52" s="10" t="e">
        <f t="shared" si="11"/>
        <v>#DIV/0!</v>
      </c>
      <c r="AB52" s="10" t="e">
        <f t="shared" si="11"/>
        <v>#DIV/0!</v>
      </c>
      <c r="AC52" s="10" t="e">
        <f t="shared" si="11"/>
        <v>#DIV/0!</v>
      </c>
    </row>
    <row r="53" spans="22:29" x14ac:dyDescent="0.2">
      <c r="V53">
        <f t="shared" si="10"/>
        <v>0</v>
      </c>
      <c r="W53" s="10">
        <v>0</v>
      </c>
      <c r="X53" s="10" t="e">
        <f t="shared" si="11"/>
        <v>#DIV/0!</v>
      </c>
      <c r="Y53" s="10" t="e">
        <f t="shared" si="11"/>
        <v>#DIV/0!</v>
      </c>
      <c r="Z53" s="10" t="e">
        <f t="shared" si="11"/>
        <v>#DIV/0!</v>
      </c>
      <c r="AA53" s="10" t="e">
        <f t="shared" si="11"/>
        <v>#DIV/0!</v>
      </c>
      <c r="AB53" s="10" t="e">
        <f t="shared" si="11"/>
        <v>#DIV/0!</v>
      </c>
      <c r="AC53" s="10" t="e">
        <f t="shared" si="11"/>
        <v>#DIV/0!</v>
      </c>
    </row>
    <row r="54" spans="22:29" x14ac:dyDescent="0.2">
      <c r="V54">
        <f t="shared" si="10"/>
        <v>0</v>
      </c>
      <c r="W54" s="10">
        <v>0</v>
      </c>
      <c r="X54" s="10" t="e">
        <f t="shared" si="11"/>
        <v>#DIV/0!</v>
      </c>
      <c r="Y54" s="10" t="e">
        <f t="shared" si="11"/>
        <v>#DIV/0!</v>
      </c>
      <c r="Z54" s="10" t="e">
        <f t="shared" si="11"/>
        <v>#DIV/0!</v>
      </c>
      <c r="AA54" s="10" t="e">
        <f t="shared" si="11"/>
        <v>#DIV/0!</v>
      </c>
      <c r="AB54" s="10" t="e">
        <f t="shared" si="11"/>
        <v>#DIV/0!</v>
      </c>
      <c r="AC54" s="10" t="e">
        <f t="shared" si="11"/>
        <v>#DIV/0!</v>
      </c>
    </row>
    <row r="55" spans="22:29" x14ac:dyDescent="0.2">
      <c r="V55">
        <f t="shared" si="10"/>
        <v>0</v>
      </c>
      <c r="W55" s="10">
        <v>0</v>
      </c>
      <c r="X55" s="10" t="e">
        <f t="shared" si="11"/>
        <v>#DIV/0!</v>
      </c>
      <c r="Y55" s="10" t="e">
        <f t="shared" si="11"/>
        <v>#DIV/0!</v>
      </c>
      <c r="Z55" s="10" t="e">
        <f t="shared" si="11"/>
        <v>#DIV/0!</v>
      </c>
      <c r="AA55" s="10" t="e">
        <f t="shared" si="11"/>
        <v>#DIV/0!</v>
      </c>
      <c r="AB55" s="10" t="e">
        <f t="shared" si="11"/>
        <v>#DIV/0!</v>
      </c>
      <c r="AC55" s="10" t="e">
        <f t="shared" si="11"/>
        <v>#DIV/0!</v>
      </c>
    </row>
    <row r="56" spans="22:29" x14ac:dyDescent="0.2">
      <c r="V56">
        <f t="shared" si="10"/>
        <v>0</v>
      </c>
      <c r="W56" s="10">
        <v>0</v>
      </c>
      <c r="X56" s="10" t="e">
        <f t="shared" si="11"/>
        <v>#DIV/0!</v>
      </c>
      <c r="Y56" s="10" t="e">
        <f t="shared" si="11"/>
        <v>#DIV/0!</v>
      </c>
      <c r="Z56" s="10" t="e">
        <f t="shared" si="11"/>
        <v>#DIV/0!</v>
      </c>
      <c r="AA56" s="10" t="e">
        <f t="shared" si="11"/>
        <v>#DIV/0!</v>
      </c>
      <c r="AB56" s="10" t="e">
        <f t="shared" si="11"/>
        <v>#DIV/0!</v>
      </c>
      <c r="AC56" s="10" t="e">
        <f t="shared" si="11"/>
        <v>#DIV/0!</v>
      </c>
    </row>
    <row r="57" spans="22:29" x14ac:dyDescent="0.2">
      <c r="V57">
        <f t="shared" si="10"/>
        <v>0</v>
      </c>
      <c r="W57" s="10">
        <v>0</v>
      </c>
      <c r="X57" s="10" t="e">
        <f t="shared" si="11"/>
        <v>#DIV/0!</v>
      </c>
      <c r="Y57" s="10" t="e">
        <f t="shared" si="11"/>
        <v>#DIV/0!</v>
      </c>
      <c r="Z57" s="10" t="e">
        <f t="shared" si="11"/>
        <v>#DIV/0!</v>
      </c>
      <c r="AA57" s="10" t="e">
        <f t="shared" si="11"/>
        <v>#DIV/0!</v>
      </c>
      <c r="AB57" s="10" t="e">
        <f t="shared" si="11"/>
        <v>#DIV/0!</v>
      </c>
      <c r="AC57" s="10" t="e">
        <f t="shared" si="11"/>
        <v>#DIV/0!</v>
      </c>
    </row>
    <row r="58" spans="22:29" x14ac:dyDescent="0.2">
      <c r="V58">
        <f t="shared" si="10"/>
        <v>0</v>
      </c>
      <c r="W58" s="10">
        <v>0</v>
      </c>
      <c r="X58" s="10" t="e">
        <f t="shared" si="11"/>
        <v>#DIV/0!</v>
      </c>
      <c r="Y58" s="10" t="e">
        <f t="shared" si="11"/>
        <v>#DIV/0!</v>
      </c>
      <c r="Z58" s="10" t="e">
        <f t="shared" si="11"/>
        <v>#DIV/0!</v>
      </c>
      <c r="AA58" s="10" t="e">
        <f t="shared" si="11"/>
        <v>#DIV/0!</v>
      </c>
      <c r="AB58" s="10" t="e">
        <f t="shared" si="11"/>
        <v>#DIV/0!</v>
      </c>
      <c r="AC58" s="10" t="e">
        <f t="shared" si="11"/>
        <v>#DIV/0!</v>
      </c>
    </row>
    <row r="59" spans="22:29" x14ac:dyDescent="0.2">
      <c r="V59">
        <f t="shared" si="10"/>
        <v>0</v>
      </c>
      <c r="W59" s="10">
        <v>0</v>
      </c>
      <c r="X59" s="10" t="e">
        <f t="shared" si="11"/>
        <v>#DIV/0!</v>
      </c>
      <c r="Y59" s="10" t="e">
        <f t="shared" si="11"/>
        <v>#DIV/0!</v>
      </c>
      <c r="Z59" s="10" t="e">
        <f t="shared" si="11"/>
        <v>#DIV/0!</v>
      </c>
      <c r="AA59" s="10" t="e">
        <f t="shared" si="11"/>
        <v>#DIV/0!</v>
      </c>
      <c r="AB59" s="10" t="e">
        <f t="shared" si="11"/>
        <v>#DIV/0!</v>
      </c>
      <c r="AC59" s="10" t="e">
        <f t="shared" si="11"/>
        <v>#DIV/0!</v>
      </c>
    </row>
    <row r="60" spans="22:29" x14ac:dyDescent="0.2">
      <c r="V60">
        <f t="shared" si="10"/>
        <v>0</v>
      </c>
      <c r="W60" s="10">
        <v>0</v>
      </c>
      <c r="X60" s="10" t="e">
        <f>100*(E60/D60-1)</f>
        <v>#DIV/0!</v>
      </c>
      <c r="Y60" s="10" t="e">
        <f t="shared" si="11"/>
        <v>#DIV/0!</v>
      </c>
      <c r="Z60" s="10" t="e">
        <f t="shared" si="11"/>
        <v>#DIV/0!</v>
      </c>
      <c r="AA60" s="10" t="e">
        <f t="shared" si="11"/>
        <v>#DIV/0!</v>
      </c>
      <c r="AB60" s="10" t="e">
        <f t="shared" si="11"/>
        <v>#DIV/0!</v>
      </c>
      <c r="AC60" s="10" t="e">
        <f t="shared" si="11"/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AC60"/>
  <sheetViews>
    <sheetView workbookViewId="0">
      <selection activeCell="B11" sqref="B11"/>
    </sheetView>
  </sheetViews>
  <sheetFormatPr baseColWidth="10" defaultRowHeight="16" x14ac:dyDescent="0.2"/>
  <cols>
    <col min="1" max="1" width="12.83203125" customWidth="1"/>
    <col min="2" max="2" width="15.5" customWidth="1"/>
    <col min="3" max="3" width="10.6640625" customWidth="1"/>
    <col min="4" max="4" width="6.1640625" customWidth="1"/>
    <col min="5" max="5" width="10.6640625" customWidth="1"/>
    <col min="6" max="11" width="6" customWidth="1"/>
    <col min="12" max="12" width="10.6640625" customWidth="1"/>
    <col min="13" max="19" width="12.1640625" customWidth="1"/>
    <col min="20" max="20" width="12.33203125" bestFit="1" customWidth="1"/>
    <col min="21" max="24" width="11.33203125" bestFit="1" customWidth="1"/>
  </cols>
  <sheetData>
    <row r="2" spans="1:24" x14ac:dyDescent="0.2">
      <c r="A2" s="1" t="s">
        <v>112</v>
      </c>
      <c r="B2" s="2">
        <v>2030</v>
      </c>
    </row>
    <row r="3" spans="1:24" x14ac:dyDescent="0.2">
      <c r="A3" s="1" t="s">
        <v>116</v>
      </c>
      <c r="B3" t="s">
        <v>10</v>
      </c>
    </row>
    <row r="5" spans="1:24" x14ac:dyDescent="0.2">
      <c r="A5" s="1" t="s">
        <v>67</v>
      </c>
      <c r="B5" s="1" t="s">
        <v>64</v>
      </c>
      <c r="O5" t="s">
        <v>134</v>
      </c>
    </row>
    <row r="6" spans="1:24" x14ac:dyDescent="0.2">
      <c r="A6" s="1" t="s">
        <v>66</v>
      </c>
      <c r="B6" t="s">
        <v>113</v>
      </c>
      <c r="C6" t="s">
        <v>65</v>
      </c>
      <c r="P6" t="str">
        <f>C6</f>
        <v>Grand Total</v>
      </c>
      <c r="Q6">
        <f t="shared" ref="Q6:X6" si="0">D6</f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</row>
    <row r="7" spans="1:24" x14ac:dyDescent="0.2">
      <c r="A7" s="2" t="s">
        <v>550</v>
      </c>
      <c r="B7" s="3"/>
      <c r="C7" s="3"/>
      <c r="O7" t="str">
        <f t="shared" ref="O7:O17" si="1">A7</f>
        <v>HHRural</v>
      </c>
      <c r="P7" s="17">
        <f>1000*C7*HHLvl!$B7</f>
        <v>0</v>
      </c>
      <c r="Q7" s="17">
        <f>1000*D7*HHLvl!$B7</f>
        <v>0</v>
      </c>
      <c r="R7" s="17">
        <f>1000*E7*HHLvl!$B7</f>
        <v>0</v>
      </c>
      <c r="S7" s="17">
        <f>1000*F7*HHLvl!$B7</f>
        <v>0</v>
      </c>
      <c r="T7" s="17">
        <f>1000*G7*HHLvl!$B7</f>
        <v>0</v>
      </c>
      <c r="U7" s="17">
        <f>1000*H7*HHLvl!$B7</f>
        <v>0</v>
      </c>
      <c r="V7" s="17">
        <f>1000*I7*HHLvl!$B7</f>
        <v>0</v>
      </c>
      <c r="W7" s="17">
        <f>1000*J7*HHLvl!$B7</f>
        <v>0</v>
      </c>
      <c r="X7" s="17">
        <f>1000*K7*HHLvl!$B7</f>
        <v>0</v>
      </c>
    </row>
    <row r="8" spans="1:24" x14ac:dyDescent="0.2">
      <c r="A8" s="2" t="s">
        <v>551</v>
      </c>
      <c r="B8" s="3"/>
      <c r="C8" s="3"/>
      <c r="O8" t="str">
        <f t="shared" si="1"/>
        <v>HHUrban</v>
      </c>
      <c r="P8" s="17">
        <f>1000*C8*HHLvl!$B8</f>
        <v>0</v>
      </c>
      <c r="Q8" s="17">
        <f>1000*D8*HHLvl!$B8</f>
        <v>0</v>
      </c>
      <c r="R8" s="17">
        <f>1000*E8*HHLvl!$B8</f>
        <v>0</v>
      </c>
      <c r="S8" s="17">
        <f>1000*F8*HHLvl!$B8</f>
        <v>0</v>
      </c>
      <c r="T8" s="17">
        <f>1000*G8*HHLvl!$B8</f>
        <v>0</v>
      </c>
      <c r="U8" s="17">
        <f>1000*H8*HHLvl!$B8</f>
        <v>0</v>
      </c>
      <c r="V8" s="17">
        <f>1000*I8*HHLvl!$B8</f>
        <v>0</v>
      </c>
      <c r="W8" s="17">
        <f>1000*J8*HHLvl!$B8</f>
        <v>0</v>
      </c>
      <c r="X8" s="17">
        <f>1000*K8*HHLvl!$B8</f>
        <v>0</v>
      </c>
    </row>
    <row r="9" spans="1:24" x14ac:dyDescent="0.2">
      <c r="A9" s="2" t="s">
        <v>65</v>
      </c>
      <c r="B9" s="3"/>
      <c r="C9" s="3"/>
      <c r="O9" t="str">
        <f t="shared" si="1"/>
        <v>Grand Total</v>
      </c>
      <c r="P9" s="17">
        <f>1000*C9*HHLvl!$B9</f>
        <v>0</v>
      </c>
      <c r="Q9" s="17">
        <f>1000*D9*HHLvl!$B9</f>
        <v>0</v>
      </c>
      <c r="R9" s="17">
        <f>1000*E9*HHLvl!$B9</f>
        <v>0</v>
      </c>
      <c r="S9" s="17">
        <f>1000*F9*HHLvl!$B9</f>
        <v>0</v>
      </c>
      <c r="T9" s="17">
        <f>1000*G9*HHLvl!$B9</f>
        <v>0</v>
      </c>
      <c r="U9" s="17">
        <f>1000*H9*HHLvl!$B9</f>
        <v>0</v>
      </c>
      <c r="V9" s="17">
        <f>1000*I9*HHLvl!$B9</f>
        <v>0</v>
      </c>
      <c r="W9" s="17">
        <f>1000*J9*HHLvl!$B9</f>
        <v>0</v>
      </c>
      <c r="X9" s="17">
        <f>1000*K9*HHLvl!$B9</f>
        <v>0</v>
      </c>
    </row>
    <row r="10" spans="1:24" x14ac:dyDescent="0.2">
      <c r="O10">
        <f t="shared" si="1"/>
        <v>0</v>
      </c>
      <c r="P10" s="17">
        <f>1000*C10*HHLvl!$B10</f>
        <v>0</v>
      </c>
      <c r="Q10" s="17">
        <f>1000*D10*HHLvl!$B10</f>
        <v>0</v>
      </c>
      <c r="R10" s="17">
        <f>1000*E10*HHLvl!$B10</f>
        <v>0</v>
      </c>
      <c r="S10" s="17">
        <f>1000*F10*HHLvl!$B10</f>
        <v>0</v>
      </c>
      <c r="T10" s="17">
        <f>1000*G10*HHLvl!$B10</f>
        <v>0</v>
      </c>
      <c r="U10" s="17">
        <f>1000*H10*HHLvl!$B10</f>
        <v>0</v>
      </c>
      <c r="V10" s="17">
        <f>1000*I10*HHLvl!$B10</f>
        <v>0</v>
      </c>
      <c r="W10" s="17">
        <f>1000*J10*HHLvl!$B10</f>
        <v>0</v>
      </c>
      <c r="X10" s="17">
        <f>1000*K10*HHLvl!$B10</f>
        <v>0</v>
      </c>
    </row>
    <row r="11" spans="1:24" x14ac:dyDescent="0.2">
      <c r="O11">
        <f t="shared" si="1"/>
        <v>0</v>
      </c>
      <c r="P11" s="17">
        <f>1000*C11*HHLvl!$B11</f>
        <v>0</v>
      </c>
      <c r="Q11" s="17">
        <f>1000*D11*HHLvl!$B11</f>
        <v>0</v>
      </c>
      <c r="R11" s="17">
        <f>1000*E11*HHLvl!$B11</f>
        <v>0</v>
      </c>
      <c r="S11" s="17">
        <f>1000*F11*HHLvl!$B11</f>
        <v>0</v>
      </c>
      <c r="T11" s="17">
        <f>1000*G11*HHLvl!$B11</f>
        <v>0</v>
      </c>
      <c r="U11" s="17">
        <f>1000*H11*HHLvl!$B11</f>
        <v>0</v>
      </c>
      <c r="V11" s="17">
        <f>1000*I11*HHLvl!$B11</f>
        <v>0</v>
      </c>
      <c r="W11" s="17">
        <f>1000*J11*HHLvl!$B11</f>
        <v>0</v>
      </c>
      <c r="X11" s="17">
        <f>1000*K11*HHLvl!$B11</f>
        <v>0</v>
      </c>
    </row>
    <row r="12" spans="1:24" x14ac:dyDescent="0.2">
      <c r="O12">
        <f t="shared" si="1"/>
        <v>0</v>
      </c>
      <c r="P12" s="17">
        <f>1000*C12*HHLvl!$B12</f>
        <v>0</v>
      </c>
      <c r="Q12" s="17">
        <f>1000*D12*HHLvl!$B12</f>
        <v>0</v>
      </c>
      <c r="R12" s="17">
        <f>1000*E12*HHLvl!$B12</f>
        <v>0</v>
      </c>
      <c r="S12" s="17">
        <f>1000*F12*HHLvl!$B12</f>
        <v>0</v>
      </c>
      <c r="T12" s="17">
        <f>1000*G12*HHLvl!$B12</f>
        <v>0</v>
      </c>
      <c r="U12" s="17">
        <f>1000*H12*HHLvl!$B12</f>
        <v>0</v>
      </c>
      <c r="V12" s="17">
        <f>1000*I12*HHLvl!$B12</f>
        <v>0</v>
      </c>
      <c r="W12" s="17">
        <f>1000*J12*HHLvl!$B12</f>
        <v>0</v>
      </c>
      <c r="X12" s="17">
        <f>1000*K12*HHLvl!$B12</f>
        <v>0</v>
      </c>
    </row>
    <row r="13" spans="1:24" x14ac:dyDescent="0.2">
      <c r="O13">
        <f t="shared" si="1"/>
        <v>0</v>
      </c>
      <c r="P13" s="17">
        <f>1000*C13*HHLvl!$B13</f>
        <v>0</v>
      </c>
      <c r="Q13" s="17">
        <f>1000*D13*HHLvl!$B13</f>
        <v>0</v>
      </c>
      <c r="R13" s="17">
        <f>1000*E13*HHLvl!$B13</f>
        <v>0</v>
      </c>
      <c r="S13" s="17">
        <f>1000*F13*HHLvl!$B13</f>
        <v>0</v>
      </c>
      <c r="T13" s="17">
        <f>1000*G13*HHLvl!$B13</f>
        <v>0</v>
      </c>
      <c r="U13" s="17">
        <f>1000*H13*HHLvl!$B13</f>
        <v>0</v>
      </c>
      <c r="V13" s="17">
        <f>1000*I13*HHLvl!$B13</f>
        <v>0</v>
      </c>
      <c r="W13" s="17">
        <f>1000*J13*HHLvl!$B13</f>
        <v>0</v>
      </c>
      <c r="X13" s="17">
        <f>1000*K13*HHLvl!$B13</f>
        <v>0</v>
      </c>
    </row>
    <row r="14" spans="1:24" x14ac:dyDescent="0.2">
      <c r="O14">
        <f t="shared" si="1"/>
        <v>0</v>
      </c>
      <c r="P14" s="17">
        <f>1000*C14*HHLvl!$B14</f>
        <v>0</v>
      </c>
      <c r="Q14" s="17">
        <f>1000*D14*HHLvl!$B14</f>
        <v>0</v>
      </c>
      <c r="R14" s="17">
        <f>1000*E14*HHLvl!$B14</f>
        <v>0</v>
      </c>
      <c r="S14" s="17">
        <f>1000*F14*HHLvl!$B14</f>
        <v>0</v>
      </c>
      <c r="T14" s="17">
        <f>1000*G14*HHLvl!$B14</f>
        <v>0</v>
      </c>
      <c r="U14" s="17">
        <f>1000*H14*HHLvl!$B14</f>
        <v>0</v>
      </c>
      <c r="V14" s="17">
        <f>1000*I14*HHLvl!$B14</f>
        <v>0</v>
      </c>
      <c r="W14" s="17">
        <f>1000*J14*HHLvl!$B14</f>
        <v>0</v>
      </c>
      <c r="X14" s="17">
        <f>1000*K14*HHLvl!$B14</f>
        <v>0</v>
      </c>
    </row>
    <row r="15" spans="1:24" x14ac:dyDescent="0.2">
      <c r="O15">
        <f t="shared" si="1"/>
        <v>0</v>
      </c>
      <c r="P15" s="17">
        <f>1000*C15*HHLvl!$B15</f>
        <v>0</v>
      </c>
      <c r="Q15" s="17">
        <f>1000*D15*HHLvl!$B15</f>
        <v>0</v>
      </c>
      <c r="R15" s="17">
        <f>1000*E15*HHLvl!$B15</f>
        <v>0</v>
      </c>
      <c r="S15" s="17">
        <f>1000*F15*HHLvl!$B15</f>
        <v>0</v>
      </c>
      <c r="T15" s="17">
        <f>1000*G15*HHLvl!$B15</f>
        <v>0</v>
      </c>
      <c r="U15" s="17">
        <f>1000*H15*HHLvl!$B15</f>
        <v>0</v>
      </c>
      <c r="V15" s="17">
        <f>1000*I15*HHLvl!$B15</f>
        <v>0</v>
      </c>
      <c r="W15" s="17">
        <f>1000*J15*HHLvl!$B15</f>
        <v>0</v>
      </c>
      <c r="X15" s="17">
        <f>1000*K15*HHLvl!$B15</f>
        <v>0</v>
      </c>
    </row>
    <row r="16" spans="1:24" x14ac:dyDescent="0.2">
      <c r="O16">
        <f t="shared" si="1"/>
        <v>0</v>
      </c>
      <c r="P16" s="17">
        <f>1000*C16*HHLvl!$B16</f>
        <v>0</v>
      </c>
      <c r="Q16" s="17">
        <f>1000*D16*HHLvl!$B16</f>
        <v>0</v>
      </c>
      <c r="R16" s="17">
        <f>1000*E16*HHLvl!$B16</f>
        <v>0</v>
      </c>
      <c r="S16" s="17">
        <f>1000*F16*HHLvl!$B16</f>
        <v>0</v>
      </c>
      <c r="T16" s="17">
        <f>1000*G16*HHLvl!$B16</f>
        <v>0</v>
      </c>
      <c r="U16" s="17">
        <f>1000*H16*HHLvl!$B16</f>
        <v>0</v>
      </c>
      <c r="V16" s="17">
        <f>1000*I16*HHLvl!$B16</f>
        <v>0</v>
      </c>
      <c r="W16" s="17">
        <f>1000*J16*HHLvl!$B16</f>
        <v>0</v>
      </c>
      <c r="X16" s="17">
        <f>1000*K16*HHLvl!$B16</f>
        <v>0</v>
      </c>
    </row>
    <row r="17" spans="15:24" x14ac:dyDescent="0.2">
      <c r="O17">
        <f t="shared" si="1"/>
        <v>0</v>
      </c>
      <c r="P17" s="17">
        <f>1000*C17*HHLvl!$B17</f>
        <v>0</v>
      </c>
      <c r="Q17" s="17">
        <f>1000*D17*HHLvl!$B17</f>
        <v>0</v>
      </c>
      <c r="R17" s="17">
        <f>1000*E17*HHLvl!$B17</f>
        <v>0</v>
      </c>
      <c r="S17" s="17">
        <f>1000*F17*HHLvl!$B17</f>
        <v>0</v>
      </c>
      <c r="T17" s="17">
        <f>1000*G17*HHLvl!$B17</f>
        <v>0</v>
      </c>
      <c r="U17" s="17">
        <f>1000*H17*HHLvl!$B17</f>
        <v>0</v>
      </c>
      <c r="V17" s="17">
        <f>1000*I17*HHLvl!$B17</f>
        <v>0</v>
      </c>
      <c r="W17" s="17">
        <f>1000*J17*HHLvl!$B17</f>
        <v>0</v>
      </c>
      <c r="X17" s="17">
        <f>1000*K17*HHLvl!$B17</f>
        <v>0</v>
      </c>
    </row>
    <row r="20" spans="15:24" x14ac:dyDescent="0.2">
      <c r="O20" t="s">
        <v>136</v>
      </c>
    </row>
    <row r="21" spans="15:24" x14ac:dyDescent="0.2">
      <c r="P21" t="str">
        <f t="shared" ref="P21:X21" si="2">P6</f>
        <v>Grand Total</v>
      </c>
      <c r="Q21">
        <f t="shared" si="2"/>
        <v>0</v>
      </c>
      <c r="R21">
        <f t="shared" si="2"/>
        <v>0</v>
      </c>
      <c r="S21">
        <f t="shared" si="2"/>
        <v>0</v>
      </c>
      <c r="T21">
        <f t="shared" si="2"/>
        <v>0</v>
      </c>
      <c r="U21">
        <f t="shared" si="2"/>
        <v>0</v>
      </c>
      <c r="V21">
        <f t="shared" si="2"/>
        <v>0</v>
      </c>
      <c r="W21">
        <f t="shared" si="2"/>
        <v>0</v>
      </c>
      <c r="X21">
        <f t="shared" si="2"/>
        <v>0</v>
      </c>
    </row>
    <row r="22" spans="15:24" x14ac:dyDescent="0.2">
      <c r="O22" t="str">
        <f t="shared" ref="O22:O31" si="3">O7</f>
        <v>HHRural</v>
      </c>
      <c r="P22" s="10">
        <f>10000*C7</f>
        <v>0</v>
      </c>
      <c r="Q22" s="10">
        <f t="shared" ref="Q22:X22" si="4">10000*D7</f>
        <v>0</v>
      </c>
      <c r="R22" s="10">
        <f t="shared" si="4"/>
        <v>0</v>
      </c>
      <c r="S22" s="10">
        <f t="shared" si="4"/>
        <v>0</v>
      </c>
      <c r="T22" s="10">
        <f t="shared" si="4"/>
        <v>0</v>
      </c>
      <c r="U22" s="10">
        <f t="shared" si="4"/>
        <v>0</v>
      </c>
      <c r="V22" s="10">
        <f t="shared" si="4"/>
        <v>0</v>
      </c>
      <c r="W22" s="10">
        <f t="shared" si="4"/>
        <v>0</v>
      </c>
      <c r="X22" s="10">
        <f t="shared" si="4"/>
        <v>0</v>
      </c>
    </row>
    <row r="23" spans="15:24" x14ac:dyDescent="0.2">
      <c r="O23" t="str">
        <f t="shared" si="3"/>
        <v>HHUrban</v>
      </c>
      <c r="P23" s="10">
        <f t="shared" ref="P23:P32" si="5">10000*C8</f>
        <v>0</v>
      </c>
      <c r="Q23" s="10">
        <f t="shared" ref="Q23:Q32" si="6">10000*D8</f>
        <v>0</v>
      </c>
      <c r="R23" s="10">
        <f t="shared" ref="R23:R32" si="7">10000*E8</f>
        <v>0</v>
      </c>
      <c r="S23" s="10">
        <f t="shared" ref="S23:S32" si="8">10000*F8</f>
        <v>0</v>
      </c>
      <c r="T23" s="10">
        <f t="shared" ref="T23:T32" si="9">10000*G8</f>
        <v>0</v>
      </c>
      <c r="U23" s="10">
        <f t="shared" ref="U23:U32" si="10">10000*H8</f>
        <v>0</v>
      </c>
      <c r="V23" s="10">
        <f t="shared" ref="V23:V32" si="11">10000*I8</f>
        <v>0</v>
      </c>
      <c r="W23" s="10">
        <f t="shared" ref="W23:W32" si="12">10000*J8</f>
        <v>0</v>
      </c>
      <c r="X23" s="10">
        <f t="shared" ref="X23:X32" si="13">10000*K8</f>
        <v>0</v>
      </c>
    </row>
    <row r="24" spans="15:24" x14ac:dyDescent="0.2">
      <c r="O24" t="str">
        <f t="shared" si="3"/>
        <v>Grand Total</v>
      </c>
      <c r="P24" s="10">
        <f t="shared" si="5"/>
        <v>0</v>
      </c>
      <c r="Q24" s="10">
        <f t="shared" si="6"/>
        <v>0</v>
      </c>
      <c r="R24" s="10">
        <f t="shared" si="7"/>
        <v>0</v>
      </c>
      <c r="S24" s="10">
        <f t="shared" si="8"/>
        <v>0</v>
      </c>
      <c r="T24" s="10">
        <f t="shared" si="9"/>
        <v>0</v>
      </c>
      <c r="U24" s="10">
        <f t="shared" si="10"/>
        <v>0</v>
      </c>
      <c r="V24" s="10">
        <f t="shared" si="11"/>
        <v>0</v>
      </c>
      <c r="W24" s="10">
        <f t="shared" si="12"/>
        <v>0</v>
      </c>
      <c r="X24" s="10">
        <f t="shared" si="13"/>
        <v>0</v>
      </c>
    </row>
    <row r="25" spans="15:24" x14ac:dyDescent="0.2">
      <c r="O25">
        <f t="shared" si="3"/>
        <v>0</v>
      </c>
      <c r="P25" s="10">
        <f t="shared" si="5"/>
        <v>0</v>
      </c>
      <c r="Q25" s="10">
        <f t="shared" si="6"/>
        <v>0</v>
      </c>
      <c r="R25" s="10">
        <f t="shared" si="7"/>
        <v>0</v>
      </c>
      <c r="S25" s="10">
        <f t="shared" si="8"/>
        <v>0</v>
      </c>
      <c r="T25" s="10">
        <f t="shared" si="9"/>
        <v>0</v>
      </c>
      <c r="U25" s="10">
        <f t="shared" si="10"/>
        <v>0</v>
      </c>
      <c r="V25" s="10">
        <f t="shared" si="11"/>
        <v>0</v>
      </c>
      <c r="W25" s="10">
        <f t="shared" si="12"/>
        <v>0</v>
      </c>
      <c r="X25" s="10">
        <f t="shared" si="13"/>
        <v>0</v>
      </c>
    </row>
    <row r="26" spans="15:24" x14ac:dyDescent="0.2">
      <c r="O26">
        <f t="shared" si="3"/>
        <v>0</v>
      </c>
      <c r="P26" s="10">
        <f t="shared" si="5"/>
        <v>0</v>
      </c>
      <c r="Q26" s="10">
        <f t="shared" si="6"/>
        <v>0</v>
      </c>
      <c r="R26" s="10">
        <f t="shared" si="7"/>
        <v>0</v>
      </c>
      <c r="S26" s="10">
        <f t="shared" si="8"/>
        <v>0</v>
      </c>
      <c r="T26" s="10">
        <f t="shared" si="9"/>
        <v>0</v>
      </c>
      <c r="U26" s="10">
        <f t="shared" si="10"/>
        <v>0</v>
      </c>
      <c r="V26" s="10">
        <f t="shared" si="11"/>
        <v>0</v>
      </c>
      <c r="W26" s="10">
        <f t="shared" si="12"/>
        <v>0</v>
      </c>
      <c r="X26" s="10">
        <f t="shared" si="13"/>
        <v>0</v>
      </c>
    </row>
    <row r="27" spans="15:24" x14ac:dyDescent="0.2">
      <c r="O27">
        <f t="shared" si="3"/>
        <v>0</v>
      </c>
      <c r="P27" s="10">
        <f t="shared" si="5"/>
        <v>0</v>
      </c>
      <c r="Q27" s="10">
        <f t="shared" si="6"/>
        <v>0</v>
      </c>
      <c r="R27" s="10">
        <f t="shared" si="7"/>
        <v>0</v>
      </c>
      <c r="S27" s="10">
        <f t="shared" si="8"/>
        <v>0</v>
      </c>
      <c r="T27" s="10">
        <f t="shared" si="9"/>
        <v>0</v>
      </c>
      <c r="U27" s="10">
        <f t="shared" si="10"/>
        <v>0</v>
      </c>
      <c r="V27" s="10">
        <f t="shared" si="11"/>
        <v>0</v>
      </c>
      <c r="W27" s="10">
        <f t="shared" si="12"/>
        <v>0</v>
      </c>
      <c r="X27" s="10">
        <f t="shared" si="13"/>
        <v>0</v>
      </c>
    </row>
    <row r="28" spans="15:24" x14ac:dyDescent="0.2">
      <c r="O28">
        <f t="shared" si="3"/>
        <v>0</v>
      </c>
      <c r="P28" s="10">
        <f t="shared" si="5"/>
        <v>0</v>
      </c>
      <c r="Q28" s="10">
        <f t="shared" si="6"/>
        <v>0</v>
      </c>
      <c r="R28" s="10">
        <f t="shared" si="7"/>
        <v>0</v>
      </c>
      <c r="S28" s="10">
        <f t="shared" si="8"/>
        <v>0</v>
      </c>
      <c r="T28" s="10">
        <f t="shared" si="9"/>
        <v>0</v>
      </c>
      <c r="U28" s="10">
        <f t="shared" si="10"/>
        <v>0</v>
      </c>
      <c r="V28" s="10">
        <f t="shared" si="11"/>
        <v>0</v>
      </c>
      <c r="W28" s="10">
        <f t="shared" si="12"/>
        <v>0</v>
      </c>
      <c r="X28" s="10">
        <f t="shared" si="13"/>
        <v>0</v>
      </c>
    </row>
    <row r="29" spans="15:24" x14ac:dyDescent="0.2">
      <c r="O29">
        <f t="shared" si="3"/>
        <v>0</v>
      </c>
      <c r="P29" s="10">
        <f t="shared" si="5"/>
        <v>0</v>
      </c>
      <c r="Q29" s="10">
        <f t="shared" si="6"/>
        <v>0</v>
      </c>
      <c r="R29" s="10">
        <f t="shared" si="7"/>
        <v>0</v>
      </c>
      <c r="S29" s="10">
        <f t="shared" si="8"/>
        <v>0</v>
      </c>
      <c r="T29" s="10">
        <f t="shared" si="9"/>
        <v>0</v>
      </c>
      <c r="U29" s="10">
        <f t="shared" si="10"/>
        <v>0</v>
      </c>
      <c r="V29" s="10">
        <f t="shared" si="11"/>
        <v>0</v>
      </c>
      <c r="W29" s="10">
        <f t="shared" si="12"/>
        <v>0</v>
      </c>
      <c r="X29" s="10">
        <f t="shared" si="13"/>
        <v>0</v>
      </c>
    </row>
    <row r="30" spans="15:24" x14ac:dyDescent="0.2">
      <c r="O30">
        <f t="shared" si="3"/>
        <v>0</v>
      </c>
      <c r="P30" s="10">
        <f t="shared" si="5"/>
        <v>0</v>
      </c>
      <c r="Q30" s="10">
        <f t="shared" si="6"/>
        <v>0</v>
      </c>
      <c r="R30" s="10">
        <f t="shared" si="7"/>
        <v>0</v>
      </c>
      <c r="S30" s="10">
        <f t="shared" si="8"/>
        <v>0</v>
      </c>
      <c r="T30" s="10">
        <f t="shared" si="9"/>
        <v>0</v>
      </c>
      <c r="U30" s="10">
        <f t="shared" si="10"/>
        <v>0</v>
      </c>
      <c r="V30" s="10">
        <f t="shared" si="11"/>
        <v>0</v>
      </c>
      <c r="W30" s="10">
        <f t="shared" si="12"/>
        <v>0</v>
      </c>
      <c r="X30" s="10">
        <f t="shared" si="13"/>
        <v>0</v>
      </c>
    </row>
    <row r="31" spans="15:24" x14ac:dyDescent="0.2">
      <c r="O31">
        <f t="shared" si="3"/>
        <v>0</v>
      </c>
      <c r="P31" s="10">
        <f t="shared" si="5"/>
        <v>0</v>
      </c>
      <c r="Q31" s="10">
        <f t="shared" si="6"/>
        <v>0</v>
      </c>
      <c r="R31" s="10">
        <f t="shared" si="7"/>
        <v>0</v>
      </c>
      <c r="S31" s="10">
        <f t="shared" si="8"/>
        <v>0</v>
      </c>
      <c r="T31" s="10">
        <f t="shared" si="9"/>
        <v>0</v>
      </c>
      <c r="U31" s="10">
        <f t="shared" si="10"/>
        <v>0</v>
      </c>
      <c r="V31" s="10">
        <f t="shared" si="11"/>
        <v>0</v>
      </c>
      <c r="W31" s="10">
        <f t="shared" si="12"/>
        <v>0</v>
      </c>
      <c r="X31" s="10">
        <f t="shared" si="13"/>
        <v>0</v>
      </c>
    </row>
    <row r="32" spans="15:24" x14ac:dyDescent="0.2">
      <c r="O32" t="s">
        <v>135</v>
      </c>
      <c r="P32" s="10">
        <f t="shared" si="5"/>
        <v>0</v>
      </c>
      <c r="Q32" s="10">
        <f t="shared" si="6"/>
        <v>0</v>
      </c>
      <c r="R32" s="10">
        <f t="shared" si="7"/>
        <v>0</v>
      </c>
      <c r="S32" s="10">
        <f t="shared" si="8"/>
        <v>0</v>
      </c>
      <c r="T32" s="10">
        <f t="shared" si="9"/>
        <v>0</v>
      </c>
      <c r="U32" s="10">
        <f t="shared" si="10"/>
        <v>0</v>
      </c>
      <c r="V32" s="10">
        <f t="shared" si="11"/>
        <v>0</v>
      </c>
      <c r="W32" s="10">
        <f t="shared" si="12"/>
        <v>0</v>
      </c>
      <c r="X32" s="10">
        <f t="shared" si="13"/>
        <v>0</v>
      </c>
    </row>
    <row r="34" spans="22:29" x14ac:dyDescent="0.2">
      <c r="W34" s="13">
        <f>D34</f>
        <v>0</v>
      </c>
      <c r="X34" s="13">
        <f t="shared" ref="X34:AC34" si="14">E34</f>
        <v>0</v>
      </c>
      <c r="Y34" s="13">
        <f t="shared" si="14"/>
        <v>0</v>
      </c>
      <c r="Z34" s="13">
        <f t="shared" si="14"/>
        <v>0</v>
      </c>
      <c r="AA34" s="13">
        <f t="shared" si="14"/>
        <v>0</v>
      </c>
      <c r="AB34" s="13">
        <f t="shared" si="14"/>
        <v>0</v>
      </c>
      <c r="AC34" s="13">
        <f t="shared" si="14"/>
        <v>0</v>
      </c>
    </row>
    <row r="35" spans="22:29" x14ac:dyDescent="0.2">
      <c r="V35">
        <f>A35</f>
        <v>0</v>
      </c>
      <c r="W35" s="10">
        <v>0</v>
      </c>
      <c r="X35" s="10" t="e">
        <f t="shared" ref="X35:X46" si="15">100*(E35/D35-1)</f>
        <v>#DIV/0!</v>
      </c>
      <c r="Y35" s="10" t="e">
        <f t="shared" ref="Y35:AC46" si="16">100*(F35/E35-1)</f>
        <v>#DIV/0!</v>
      </c>
      <c r="Z35" s="10" t="e">
        <f t="shared" si="16"/>
        <v>#DIV/0!</v>
      </c>
      <c r="AA35" s="10" t="e">
        <f t="shared" si="16"/>
        <v>#DIV/0!</v>
      </c>
      <c r="AB35" s="10" t="e">
        <f t="shared" si="16"/>
        <v>#DIV/0!</v>
      </c>
      <c r="AC35" s="10" t="e">
        <f t="shared" si="16"/>
        <v>#DIV/0!</v>
      </c>
    </row>
    <row r="36" spans="22:29" x14ac:dyDescent="0.2">
      <c r="V36">
        <f t="shared" ref="V36:V60" si="17">A36</f>
        <v>0</v>
      </c>
      <c r="W36" s="10">
        <v>0</v>
      </c>
      <c r="X36" s="10" t="e">
        <f t="shared" si="15"/>
        <v>#DIV/0!</v>
      </c>
      <c r="Y36" s="10" t="e">
        <f t="shared" si="16"/>
        <v>#DIV/0!</v>
      </c>
      <c r="Z36" s="10" t="e">
        <f t="shared" si="16"/>
        <v>#DIV/0!</v>
      </c>
      <c r="AA36" s="10" t="e">
        <f t="shared" si="16"/>
        <v>#DIV/0!</v>
      </c>
      <c r="AB36" s="10" t="e">
        <f t="shared" si="16"/>
        <v>#DIV/0!</v>
      </c>
      <c r="AC36" s="10" t="e">
        <f t="shared" si="16"/>
        <v>#DIV/0!</v>
      </c>
    </row>
    <row r="37" spans="22:29" x14ac:dyDescent="0.2">
      <c r="V37">
        <f t="shared" si="17"/>
        <v>0</v>
      </c>
      <c r="W37" s="10">
        <v>0</v>
      </c>
      <c r="X37" s="10" t="e">
        <f t="shared" si="15"/>
        <v>#DIV/0!</v>
      </c>
      <c r="Y37" s="10" t="e">
        <f t="shared" si="16"/>
        <v>#DIV/0!</v>
      </c>
      <c r="Z37" s="10" t="e">
        <f t="shared" si="16"/>
        <v>#DIV/0!</v>
      </c>
      <c r="AA37" s="10" t="e">
        <f t="shared" si="16"/>
        <v>#DIV/0!</v>
      </c>
      <c r="AB37" s="10" t="e">
        <f t="shared" si="16"/>
        <v>#DIV/0!</v>
      </c>
      <c r="AC37" s="10" t="e">
        <f t="shared" si="16"/>
        <v>#DIV/0!</v>
      </c>
    </row>
    <row r="38" spans="22:29" x14ac:dyDescent="0.2">
      <c r="V38">
        <f t="shared" si="17"/>
        <v>0</v>
      </c>
      <c r="W38" s="10">
        <v>0</v>
      </c>
      <c r="X38" s="10" t="e">
        <f t="shared" si="15"/>
        <v>#DIV/0!</v>
      </c>
      <c r="Y38" s="10" t="e">
        <f t="shared" si="16"/>
        <v>#DIV/0!</v>
      </c>
      <c r="Z38" s="10" t="e">
        <f t="shared" si="16"/>
        <v>#DIV/0!</v>
      </c>
      <c r="AA38" s="10" t="e">
        <f t="shared" si="16"/>
        <v>#DIV/0!</v>
      </c>
      <c r="AB38" s="10" t="e">
        <f t="shared" si="16"/>
        <v>#DIV/0!</v>
      </c>
      <c r="AC38" s="10" t="e">
        <f t="shared" si="16"/>
        <v>#DIV/0!</v>
      </c>
    </row>
    <row r="39" spans="22:29" x14ac:dyDescent="0.2">
      <c r="V39">
        <f t="shared" si="17"/>
        <v>0</v>
      </c>
      <c r="W39" s="10">
        <v>0</v>
      </c>
      <c r="X39" s="10" t="e">
        <f t="shared" si="15"/>
        <v>#DIV/0!</v>
      </c>
      <c r="Y39" s="10" t="e">
        <f t="shared" si="16"/>
        <v>#DIV/0!</v>
      </c>
      <c r="Z39" s="10" t="e">
        <f t="shared" si="16"/>
        <v>#DIV/0!</v>
      </c>
      <c r="AA39" s="10" t="e">
        <f t="shared" si="16"/>
        <v>#DIV/0!</v>
      </c>
      <c r="AB39" s="10" t="e">
        <f t="shared" si="16"/>
        <v>#DIV/0!</v>
      </c>
      <c r="AC39" s="10" t="e">
        <f t="shared" si="16"/>
        <v>#DIV/0!</v>
      </c>
    </row>
    <row r="40" spans="22:29" x14ac:dyDescent="0.2">
      <c r="V40">
        <f t="shared" si="17"/>
        <v>0</v>
      </c>
      <c r="W40" s="10">
        <v>0</v>
      </c>
      <c r="X40" s="10" t="e">
        <f t="shared" si="15"/>
        <v>#DIV/0!</v>
      </c>
      <c r="Y40" s="10" t="e">
        <f t="shared" si="16"/>
        <v>#DIV/0!</v>
      </c>
      <c r="Z40" s="10" t="e">
        <f t="shared" si="16"/>
        <v>#DIV/0!</v>
      </c>
      <c r="AA40" s="10" t="e">
        <f t="shared" si="16"/>
        <v>#DIV/0!</v>
      </c>
      <c r="AB40" s="10" t="e">
        <f t="shared" si="16"/>
        <v>#DIV/0!</v>
      </c>
      <c r="AC40" s="10" t="e">
        <f t="shared" si="16"/>
        <v>#DIV/0!</v>
      </c>
    </row>
    <row r="41" spans="22:29" x14ac:dyDescent="0.2">
      <c r="V41">
        <f t="shared" si="17"/>
        <v>0</v>
      </c>
      <c r="W41" s="10">
        <v>0</v>
      </c>
      <c r="X41" s="10" t="e">
        <f t="shared" si="15"/>
        <v>#DIV/0!</v>
      </c>
      <c r="Y41" s="10" t="e">
        <f t="shared" si="16"/>
        <v>#DIV/0!</v>
      </c>
      <c r="Z41" s="10" t="e">
        <f t="shared" si="16"/>
        <v>#DIV/0!</v>
      </c>
      <c r="AA41" s="10" t="e">
        <f t="shared" si="16"/>
        <v>#DIV/0!</v>
      </c>
      <c r="AB41" s="10" t="e">
        <f t="shared" si="16"/>
        <v>#DIV/0!</v>
      </c>
      <c r="AC41" s="10" t="e">
        <f t="shared" si="16"/>
        <v>#DIV/0!</v>
      </c>
    </row>
    <row r="42" spans="22:29" x14ac:dyDescent="0.2">
      <c r="V42">
        <f t="shared" si="17"/>
        <v>0</v>
      </c>
      <c r="W42" s="10">
        <v>0</v>
      </c>
      <c r="X42" s="10" t="e">
        <f t="shared" si="15"/>
        <v>#DIV/0!</v>
      </c>
      <c r="Y42" s="10" t="e">
        <f t="shared" si="16"/>
        <v>#DIV/0!</v>
      </c>
      <c r="Z42" s="10" t="e">
        <f t="shared" si="16"/>
        <v>#DIV/0!</v>
      </c>
      <c r="AA42" s="10" t="e">
        <f t="shared" si="16"/>
        <v>#DIV/0!</v>
      </c>
      <c r="AB42" s="10" t="e">
        <f t="shared" si="16"/>
        <v>#DIV/0!</v>
      </c>
      <c r="AC42" s="10" t="e">
        <f t="shared" si="16"/>
        <v>#DIV/0!</v>
      </c>
    </row>
    <row r="43" spans="22:29" x14ac:dyDescent="0.2">
      <c r="V43">
        <f t="shared" si="17"/>
        <v>0</v>
      </c>
      <c r="W43" s="10">
        <v>0</v>
      </c>
      <c r="X43" s="10" t="e">
        <f t="shared" si="15"/>
        <v>#DIV/0!</v>
      </c>
      <c r="Y43" s="10" t="e">
        <f t="shared" si="16"/>
        <v>#DIV/0!</v>
      </c>
      <c r="Z43" s="10" t="e">
        <f t="shared" si="16"/>
        <v>#DIV/0!</v>
      </c>
      <c r="AA43" s="10" t="e">
        <f t="shared" si="16"/>
        <v>#DIV/0!</v>
      </c>
      <c r="AB43" s="10" t="e">
        <f t="shared" si="16"/>
        <v>#DIV/0!</v>
      </c>
      <c r="AC43" s="10" t="e">
        <f t="shared" si="16"/>
        <v>#DIV/0!</v>
      </c>
    </row>
    <row r="44" spans="22:29" x14ac:dyDescent="0.2">
      <c r="V44">
        <f t="shared" si="17"/>
        <v>0</v>
      </c>
      <c r="W44" s="10">
        <v>0</v>
      </c>
      <c r="X44" s="10" t="e">
        <f t="shared" si="15"/>
        <v>#DIV/0!</v>
      </c>
      <c r="Y44" s="10" t="e">
        <f t="shared" si="16"/>
        <v>#DIV/0!</v>
      </c>
      <c r="Z44" s="10" t="e">
        <f t="shared" si="16"/>
        <v>#DIV/0!</v>
      </c>
      <c r="AA44" s="10" t="e">
        <f t="shared" si="16"/>
        <v>#DIV/0!</v>
      </c>
      <c r="AB44" s="10" t="e">
        <f t="shared" si="16"/>
        <v>#DIV/0!</v>
      </c>
      <c r="AC44" s="10" t="e">
        <f t="shared" si="16"/>
        <v>#DIV/0!</v>
      </c>
    </row>
    <row r="45" spans="22:29" x14ac:dyDescent="0.2">
      <c r="V45">
        <f t="shared" si="17"/>
        <v>0</v>
      </c>
      <c r="W45" s="10">
        <v>0</v>
      </c>
      <c r="X45" s="10" t="e">
        <f t="shared" si="15"/>
        <v>#DIV/0!</v>
      </c>
      <c r="Y45" s="10" t="e">
        <f t="shared" si="16"/>
        <v>#DIV/0!</v>
      </c>
      <c r="Z45" s="10" t="e">
        <f t="shared" si="16"/>
        <v>#DIV/0!</v>
      </c>
      <c r="AA45" s="10" t="e">
        <f t="shared" si="16"/>
        <v>#DIV/0!</v>
      </c>
      <c r="AB45" s="10" t="e">
        <f t="shared" si="16"/>
        <v>#DIV/0!</v>
      </c>
      <c r="AC45" s="10" t="e">
        <f t="shared" si="16"/>
        <v>#DIV/0!</v>
      </c>
    </row>
    <row r="46" spans="22:29" x14ac:dyDescent="0.2">
      <c r="V46">
        <f t="shared" si="17"/>
        <v>0</v>
      </c>
      <c r="W46" s="10">
        <v>0</v>
      </c>
      <c r="X46" s="10" t="e">
        <f t="shared" si="15"/>
        <v>#DIV/0!</v>
      </c>
      <c r="Y46" s="10" t="e">
        <f t="shared" si="16"/>
        <v>#DIV/0!</v>
      </c>
      <c r="Z46" s="10" t="e">
        <f t="shared" si="16"/>
        <v>#DIV/0!</v>
      </c>
      <c r="AA46" s="10" t="e">
        <f t="shared" si="16"/>
        <v>#DIV/0!</v>
      </c>
      <c r="AB46" s="10" t="e">
        <f t="shared" si="16"/>
        <v>#DIV/0!</v>
      </c>
      <c r="AC46" s="10" t="e">
        <f t="shared" si="16"/>
        <v>#DIV/0!</v>
      </c>
    </row>
    <row r="47" spans="22:29" x14ac:dyDescent="0.2">
      <c r="V47">
        <f t="shared" si="17"/>
        <v>0</v>
      </c>
      <c r="W47" s="10">
        <v>0</v>
      </c>
      <c r="X47" s="16" t="e">
        <f t="array" ref="X47">SUM(C35:C46*X35:X46)/E47</f>
        <v>#DIV/0!</v>
      </c>
      <c r="Y47" s="16" t="e">
        <f t="array" ref="Y47">SUM(D35:D46*Y35:Y46)/F47</f>
        <v>#DIV/0!</v>
      </c>
      <c r="Z47" s="16" t="e">
        <f t="array" ref="Z47">SUM(E35:E46*Z35:Z46)/G47</f>
        <v>#DIV/0!</v>
      </c>
      <c r="AA47" s="16" t="e">
        <f t="array" ref="AA47">SUM(F35:F46*AA35:AA46)/H47</f>
        <v>#DIV/0!</v>
      </c>
      <c r="AB47" s="16" t="e">
        <f t="array" ref="AB47">SUM(G35:G46*AB35:AB46)/I47</f>
        <v>#DIV/0!</v>
      </c>
      <c r="AC47" s="16" t="e">
        <f t="array" ref="AC47">SUM(H35:H46*AC35:AC46)/J47</f>
        <v>#DIV/0!</v>
      </c>
    </row>
    <row r="48" spans="22:29" x14ac:dyDescent="0.2">
      <c r="V48">
        <f t="shared" si="17"/>
        <v>0</v>
      </c>
      <c r="W48" s="10">
        <v>0</v>
      </c>
      <c r="X48" s="10" t="e">
        <f t="shared" ref="X48:AC60" si="18">100*(E48/D48-1)</f>
        <v>#DIV/0!</v>
      </c>
      <c r="Y48" s="10" t="e">
        <f t="shared" si="18"/>
        <v>#DIV/0!</v>
      </c>
      <c r="Z48" s="10" t="e">
        <f t="shared" si="18"/>
        <v>#DIV/0!</v>
      </c>
      <c r="AA48" s="10" t="e">
        <f t="shared" si="18"/>
        <v>#DIV/0!</v>
      </c>
      <c r="AB48" s="10" t="e">
        <f t="shared" si="18"/>
        <v>#DIV/0!</v>
      </c>
      <c r="AC48" s="10" t="e">
        <f t="shared" si="18"/>
        <v>#DIV/0!</v>
      </c>
    </row>
    <row r="49" spans="22:29" x14ac:dyDescent="0.2">
      <c r="V49">
        <f t="shared" si="17"/>
        <v>0</v>
      </c>
      <c r="W49" s="10">
        <v>0</v>
      </c>
      <c r="X49" s="10" t="e">
        <f t="shared" si="18"/>
        <v>#DIV/0!</v>
      </c>
      <c r="Y49" s="10" t="e">
        <f t="shared" si="18"/>
        <v>#DIV/0!</v>
      </c>
      <c r="Z49" s="10" t="e">
        <f t="shared" si="18"/>
        <v>#DIV/0!</v>
      </c>
      <c r="AA49" s="10" t="e">
        <f t="shared" si="18"/>
        <v>#DIV/0!</v>
      </c>
      <c r="AB49" s="10" t="e">
        <f t="shared" si="18"/>
        <v>#DIV/0!</v>
      </c>
      <c r="AC49" s="10" t="e">
        <f t="shared" si="18"/>
        <v>#DIV/0!</v>
      </c>
    </row>
    <row r="50" spans="22:29" x14ac:dyDescent="0.2">
      <c r="V50">
        <f t="shared" si="17"/>
        <v>0</v>
      </c>
      <c r="W50" s="10">
        <v>0</v>
      </c>
      <c r="X50" s="10" t="e">
        <f t="shared" si="18"/>
        <v>#DIV/0!</v>
      </c>
      <c r="Y50" s="10" t="e">
        <f t="shared" si="18"/>
        <v>#DIV/0!</v>
      </c>
      <c r="Z50" s="10" t="e">
        <f t="shared" si="18"/>
        <v>#DIV/0!</v>
      </c>
      <c r="AA50" s="10" t="e">
        <f t="shared" si="18"/>
        <v>#DIV/0!</v>
      </c>
      <c r="AB50" s="10" t="e">
        <f t="shared" si="18"/>
        <v>#DIV/0!</v>
      </c>
      <c r="AC50" s="10" t="e">
        <f t="shared" si="18"/>
        <v>#DIV/0!</v>
      </c>
    </row>
    <row r="51" spans="22:29" x14ac:dyDescent="0.2">
      <c r="V51">
        <f t="shared" si="17"/>
        <v>0</v>
      </c>
      <c r="W51" s="10">
        <v>0</v>
      </c>
      <c r="X51" s="10" t="e">
        <f t="shared" si="18"/>
        <v>#DIV/0!</v>
      </c>
      <c r="Y51" s="10" t="e">
        <f t="shared" si="18"/>
        <v>#DIV/0!</v>
      </c>
      <c r="Z51" s="10" t="e">
        <f t="shared" si="18"/>
        <v>#DIV/0!</v>
      </c>
      <c r="AA51" s="10" t="e">
        <f t="shared" si="18"/>
        <v>#DIV/0!</v>
      </c>
      <c r="AB51" s="10" t="e">
        <f t="shared" si="18"/>
        <v>#DIV/0!</v>
      </c>
      <c r="AC51" s="10" t="e">
        <f t="shared" si="18"/>
        <v>#DIV/0!</v>
      </c>
    </row>
    <row r="52" spans="22:29" x14ac:dyDescent="0.2">
      <c r="V52">
        <f t="shared" si="17"/>
        <v>0</v>
      </c>
      <c r="W52" s="10">
        <v>0</v>
      </c>
      <c r="X52" s="10" t="e">
        <f t="shared" si="18"/>
        <v>#DIV/0!</v>
      </c>
      <c r="Y52" s="10" t="e">
        <f t="shared" si="18"/>
        <v>#DIV/0!</v>
      </c>
      <c r="Z52" s="10" t="e">
        <f t="shared" si="18"/>
        <v>#DIV/0!</v>
      </c>
      <c r="AA52" s="10" t="e">
        <f t="shared" si="18"/>
        <v>#DIV/0!</v>
      </c>
      <c r="AB52" s="10" t="e">
        <f t="shared" si="18"/>
        <v>#DIV/0!</v>
      </c>
      <c r="AC52" s="10" t="e">
        <f t="shared" si="18"/>
        <v>#DIV/0!</v>
      </c>
    </row>
    <row r="53" spans="22:29" x14ac:dyDescent="0.2">
      <c r="V53">
        <f t="shared" si="17"/>
        <v>0</v>
      </c>
      <c r="W53" s="10">
        <v>0</v>
      </c>
      <c r="X53" s="10" t="e">
        <f t="shared" si="18"/>
        <v>#DIV/0!</v>
      </c>
      <c r="Y53" s="10" t="e">
        <f t="shared" si="18"/>
        <v>#DIV/0!</v>
      </c>
      <c r="Z53" s="10" t="e">
        <f t="shared" si="18"/>
        <v>#DIV/0!</v>
      </c>
      <c r="AA53" s="10" t="e">
        <f t="shared" si="18"/>
        <v>#DIV/0!</v>
      </c>
      <c r="AB53" s="10" t="e">
        <f t="shared" si="18"/>
        <v>#DIV/0!</v>
      </c>
      <c r="AC53" s="10" t="e">
        <f t="shared" si="18"/>
        <v>#DIV/0!</v>
      </c>
    </row>
    <row r="54" spans="22:29" x14ac:dyDescent="0.2">
      <c r="V54">
        <f t="shared" si="17"/>
        <v>0</v>
      </c>
      <c r="W54" s="10">
        <v>0</v>
      </c>
      <c r="X54" s="10" t="e">
        <f t="shared" si="18"/>
        <v>#DIV/0!</v>
      </c>
      <c r="Y54" s="10" t="e">
        <f t="shared" si="18"/>
        <v>#DIV/0!</v>
      </c>
      <c r="Z54" s="10" t="e">
        <f t="shared" si="18"/>
        <v>#DIV/0!</v>
      </c>
      <c r="AA54" s="10" t="e">
        <f t="shared" si="18"/>
        <v>#DIV/0!</v>
      </c>
      <c r="AB54" s="10" t="e">
        <f t="shared" si="18"/>
        <v>#DIV/0!</v>
      </c>
      <c r="AC54" s="10" t="e">
        <f t="shared" si="18"/>
        <v>#DIV/0!</v>
      </c>
    </row>
    <row r="55" spans="22:29" x14ac:dyDescent="0.2">
      <c r="V55">
        <f t="shared" si="17"/>
        <v>0</v>
      </c>
      <c r="W55" s="10">
        <v>0</v>
      </c>
      <c r="X55" s="10" t="e">
        <f t="shared" si="18"/>
        <v>#DIV/0!</v>
      </c>
      <c r="Y55" s="10" t="e">
        <f t="shared" si="18"/>
        <v>#DIV/0!</v>
      </c>
      <c r="Z55" s="10" t="e">
        <f t="shared" si="18"/>
        <v>#DIV/0!</v>
      </c>
      <c r="AA55" s="10" t="e">
        <f t="shared" si="18"/>
        <v>#DIV/0!</v>
      </c>
      <c r="AB55" s="10" t="e">
        <f t="shared" si="18"/>
        <v>#DIV/0!</v>
      </c>
      <c r="AC55" s="10" t="e">
        <f t="shared" si="18"/>
        <v>#DIV/0!</v>
      </c>
    </row>
    <row r="56" spans="22:29" x14ac:dyDescent="0.2">
      <c r="V56">
        <f t="shared" si="17"/>
        <v>0</v>
      </c>
      <c r="W56" s="10">
        <v>0</v>
      </c>
      <c r="X56" s="10" t="e">
        <f t="shared" si="18"/>
        <v>#DIV/0!</v>
      </c>
      <c r="Y56" s="10" t="e">
        <f t="shared" si="18"/>
        <v>#DIV/0!</v>
      </c>
      <c r="Z56" s="10" t="e">
        <f t="shared" si="18"/>
        <v>#DIV/0!</v>
      </c>
      <c r="AA56" s="10" t="e">
        <f t="shared" si="18"/>
        <v>#DIV/0!</v>
      </c>
      <c r="AB56" s="10" t="e">
        <f t="shared" si="18"/>
        <v>#DIV/0!</v>
      </c>
      <c r="AC56" s="10" t="e">
        <f t="shared" si="18"/>
        <v>#DIV/0!</v>
      </c>
    </row>
    <row r="57" spans="22:29" x14ac:dyDescent="0.2">
      <c r="V57">
        <f t="shared" si="17"/>
        <v>0</v>
      </c>
      <c r="W57" s="10">
        <v>0</v>
      </c>
      <c r="X57" s="10" t="e">
        <f t="shared" si="18"/>
        <v>#DIV/0!</v>
      </c>
      <c r="Y57" s="10" t="e">
        <f t="shared" si="18"/>
        <v>#DIV/0!</v>
      </c>
      <c r="Z57" s="10" t="e">
        <f t="shared" si="18"/>
        <v>#DIV/0!</v>
      </c>
      <c r="AA57" s="10" t="e">
        <f t="shared" si="18"/>
        <v>#DIV/0!</v>
      </c>
      <c r="AB57" s="10" t="e">
        <f t="shared" si="18"/>
        <v>#DIV/0!</v>
      </c>
      <c r="AC57" s="10" t="e">
        <f t="shared" si="18"/>
        <v>#DIV/0!</v>
      </c>
    </row>
    <row r="58" spans="22:29" x14ac:dyDescent="0.2">
      <c r="V58">
        <f t="shared" si="17"/>
        <v>0</v>
      </c>
      <c r="W58" s="10">
        <v>0</v>
      </c>
      <c r="X58" s="10" t="e">
        <f t="shared" si="18"/>
        <v>#DIV/0!</v>
      </c>
      <c r="Y58" s="10" t="e">
        <f t="shared" si="18"/>
        <v>#DIV/0!</v>
      </c>
      <c r="Z58" s="10" t="e">
        <f t="shared" si="18"/>
        <v>#DIV/0!</v>
      </c>
      <c r="AA58" s="10" t="e">
        <f t="shared" si="18"/>
        <v>#DIV/0!</v>
      </c>
      <c r="AB58" s="10" t="e">
        <f t="shared" si="18"/>
        <v>#DIV/0!</v>
      </c>
      <c r="AC58" s="10" t="e">
        <f t="shared" si="18"/>
        <v>#DIV/0!</v>
      </c>
    </row>
    <row r="59" spans="22:29" x14ac:dyDescent="0.2">
      <c r="V59">
        <f t="shared" si="17"/>
        <v>0</v>
      </c>
      <c r="W59" s="10">
        <v>0</v>
      </c>
      <c r="X59" s="10" t="e">
        <f t="shared" si="18"/>
        <v>#DIV/0!</v>
      </c>
      <c r="Y59" s="10" t="e">
        <f t="shared" si="18"/>
        <v>#DIV/0!</v>
      </c>
      <c r="Z59" s="10" t="e">
        <f t="shared" si="18"/>
        <v>#DIV/0!</v>
      </c>
      <c r="AA59" s="10" t="e">
        <f t="shared" si="18"/>
        <v>#DIV/0!</v>
      </c>
      <c r="AB59" s="10" t="e">
        <f t="shared" si="18"/>
        <v>#DIV/0!</v>
      </c>
      <c r="AC59" s="10" t="e">
        <f t="shared" si="18"/>
        <v>#DIV/0!</v>
      </c>
    </row>
    <row r="60" spans="22:29" x14ac:dyDescent="0.2">
      <c r="V60">
        <f t="shared" si="17"/>
        <v>0</v>
      </c>
      <c r="W60" s="10">
        <v>0</v>
      </c>
      <c r="X60" s="10" t="e">
        <f>100*(E60/D60-1)</f>
        <v>#DIV/0!</v>
      </c>
      <c r="Y60" s="10" t="e">
        <f t="shared" si="18"/>
        <v>#DIV/0!</v>
      </c>
      <c r="Z60" s="10" t="e">
        <f t="shared" si="18"/>
        <v>#DIV/0!</v>
      </c>
      <c r="AA60" s="10" t="e">
        <f t="shared" si="18"/>
        <v>#DIV/0!</v>
      </c>
      <c r="AB60" s="10" t="e">
        <f t="shared" si="18"/>
        <v>#DIV/0!</v>
      </c>
      <c r="AC60" s="10" t="e">
        <f t="shared" si="18"/>
        <v>#DIV/0!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9"/>
  <sheetViews>
    <sheetView workbookViewId="0">
      <selection activeCell="B10" sqref="B10"/>
    </sheetView>
  </sheetViews>
  <sheetFormatPr baseColWidth="10" defaultRowHeight="16" x14ac:dyDescent="0.2"/>
  <cols>
    <col min="1" max="1" width="12.83203125" customWidth="1"/>
    <col min="2" max="2" width="15.5" customWidth="1"/>
    <col min="3" max="12" width="12.1640625" customWidth="1"/>
  </cols>
  <sheetData>
    <row r="2" spans="1:3" x14ac:dyDescent="0.2">
      <c r="A2" s="1" t="s">
        <v>112</v>
      </c>
      <c r="B2" s="2">
        <v>2030</v>
      </c>
    </row>
    <row r="3" spans="1:3" x14ac:dyDescent="0.2">
      <c r="A3" s="1" t="s">
        <v>116</v>
      </c>
      <c r="B3" t="s">
        <v>10</v>
      </c>
    </row>
    <row r="5" spans="1:3" x14ac:dyDescent="0.2">
      <c r="A5" s="1" t="s">
        <v>67</v>
      </c>
      <c r="B5" s="1" t="s">
        <v>64</v>
      </c>
    </row>
    <row r="6" spans="1:3" x14ac:dyDescent="0.2">
      <c r="A6" s="1" t="s">
        <v>66</v>
      </c>
      <c r="B6" t="s">
        <v>113</v>
      </c>
      <c r="C6" t="s">
        <v>65</v>
      </c>
    </row>
    <row r="7" spans="1:3" x14ac:dyDescent="0.2">
      <c r="A7" s="2" t="s">
        <v>550</v>
      </c>
      <c r="B7" s="4">
        <v>625.35467716499988</v>
      </c>
      <c r="C7" s="4">
        <v>625.35467716499988</v>
      </c>
    </row>
    <row r="8" spans="1:3" x14ac:dyDescent="0.2">
      <c r="A8" s="2" t="s">
        <v>551</v>
      </c>
      <c r="B8" s="4">
        <v>1176.8938188329998</v>
      </c>
      <c r="C8" s="4">
        <v>1176.8938188329998</v>
      </c>
    </row>
    <row r="9" spans="1:3" x14ac:dyDescent="0.2">
      <c r="A9" s="2" t="s">
        <v>65</v>
      </c>
      <c r="B9" s="4">
        <v>1802.2484959979997</v>
      </c>
      <c r="C9" s="4">
        <v>1802.2484959979997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T43"/>
  <sheetViews>
    <sheetView workbookViewId="0">
      <selection activeCell="F29" sqref="F29"/>
    </sheetView>
  </sheetViews>
  <sheetFormatPr baseColWidth="10" defaultRowHeight="16" x14ac:dyDescent="0.2"/>
  <cols>
    <col min="1" max="1" width="5.6640625" customWidth="1"/>
    <col min="2" max="2" width="37.33203125" customWidth="1"/>
    <col min="3" max="10" width="13.83203125" bestFit="1" customWidth="1"/>
    <col min="11" max="20" width="11.83203125" customWidth="1"/>
  </cols>
  <sheetData>
    <row r="2" spans="1:20" x14ac:dyDescent="0.2">
      <c r="A2">
        <v>3</v>
      </c>
      <c r="B2" t="str">
        <f>INDEX(B7:B15,A2)</f>
        <v>California Total Wage and Salary (billions)</v>
      </c>
      <c r="C2">
        <f>C6</f>
        <v>2013</v>
      </c>
      <c r="D2">
        <f t="shared" ref="D2:T2" si="0">D6</f>
        <v>2014</v>
      </c>
      <c r="E2">
        <f t="shared" si="0"/>
        <v>2015</v>
      </c>
      <c r="F2">
        <f t="shared" si="0"/>
        <v>2016</v>
      </c>
      <c r="G2">
        <f t="shared" si="0"/>
        <v>2017</v>
      </c>
      <c r="H2">
        <f t="shared" si="0"/>
        <v>2018</v>
      </c>
      <c r="I2">
        <f t="shared" si="0"/>
        <v>2019</v>
      </c>
      <c r="J2">
        <f t="shared" si="0"/>
        <v>2020</v>
      </c>
      <c r="K2">
        <f t="shared" si="0"/>
        <v>2021</v>
      </c>
      <c r="L2">
        <f t="shared" si="0"/>
        <v>2022</v>
      </c>
      <c r="M2">
        <f t="shared" si="0"/>
        <v>2023</v>
      </c>
      <c r="N2">
        <f t="shared" si="0"/>
        <v>2024</v>
      </c>
      <c r="O2">
        <f t="shared" si="0"/>
        <v>2025</v>
      </c>
      <c r="P2">
        <f t="shared" si="0"/>
        <v>2026</v>
      </c>
      <c r="Q2">
        <f t="shared" si="0"/>
        <v>2027</v>
      </c>
      <c r="R2">
        <f t="shared" si="0"/>
        <v>2028</v>
      </c>
      <c r="S2">
        <f t="shared" si="0"/>
        <v>2029</v>
      </c>
      <c r="T2">
        <f t="shared" si="0"/>
        <v>2030</v>
      </c>
    </row>
    <row r="3" spans="1:20" x14ac:dyDescent="0.2">
      <c r="B3" t="s">
        <v>80</v>
      </c>
      <c r="C3">
        <f>INDEX(C7:C16,$A$2)</f>
        <v>933.90560000000005</v>
      </c>
      <c r="D3">
        <f t="shared" ref="D3:T3" si="1">INDEX(D7:D16,$A$2)</f>
        <v>991.16273699999999</v>
      </c>
      <c r="E3">
        <f t="shared" si="1"/>
        <v>1049.59174325</v>
      </c>
      <c r="F3">
        <f t="shared" si="1"/>
        <v>1113.777</v>
      </c>
      <c r="G3">
        <f t="shared" si="1"/>
        <v>1173.12075</v>
      </c>
      <c r="H3">
        <f t="shared" si="1"/>
        <v>1225.56575</v>
      </c>
      <c r="I3">
        <f t="shared" si="1"/>
        <v>1280.24575</v>
      </c>
      <c r="J3">
        <f t="shared" si="1"/>
        <v>1344.9739911362892</v>
      </c>
      <c r="K3">
        <f t="shared" si="1"/>
        <v>1409.8546095270829</v>
      </c>
      <c r="L3">
        <f t="shared" si="1"/>
        <v>1476.2890346667341</v>
      </c>
      <c r="M3">
        <f t="shared" si="1"/>
        <v>1546.6493004911254</v>
      </c>
      <c r="N3">
        <f t="shared" si="1"/>
        <v>1621.4099062084292</v>
      </c>
      <c r="O3">
        <f t="shared" si="1"/>
        <v>1698.9858860131685</v>
      </c>
      <c r="P3">
        <f t="shared" si="1"/>
        <v>1780.1245544808671</v>
      </c>
      <c r="Q3">
        <f t="shared" si="1"/>
        <v>1865.3896624640779</v>
      </c>
      <c r="R3">
        <f t="shared" si="1"/>
        <v>1954.8375038450229</v>
      </c>
      <c r="S3">
        <f t="shared" si="1"/>
        <v>2048.407011894833</v>
      </c>
      <c r="T3">
        <f t="shared" si="1"/>
        <v>2146.4647704088507</v>
      </c>
    </row>
    <row r="4" spans="1:20" x14ac:dyDescent="0.2">
      <c r="B4" t="s">
        <v>79</v>
      </c>
      <c r="C4">
        <f>INDEX(C19:C28,$A$2)</f>
        <v>933.90560000000005</v>
      </c>
      <c r="D4" t="e">
        <f t="shared" ref="D4:T4" si="2">INDEX(D19:D28,$A$2)</f>
        <v>#REF!</v>
      </c>
      <c r="E4" t="e">
        <f t="shared" si="2"/>
        <v>#REF!</v>
      </c>
      <c r="F4" t="e">
        <f t="shared" si="2"/>
        <v>#REF!</v>
      </c>
      <c r="G4" t="e">
        <f t="shared" si="2"/>
        <v>#REF!</v>
      </c>
      <c r="H4" t="e">
        <f t="shared" si="2"/>
        <v>#REF!</v>
      </c>
      <c r="I4" t="e">
        <f t="shared" si="2"/>
        <v>#REF!</v>
      </c>
      <c r="J4" t="e">
        <f t="shared" si="2"/>
        <v>#REF!</v>
      </c>
      <c r="K4" t="e">
        <f t="shared" si="2"/>
        <v>#REF!</v>
      </c>
      <c r="L4" t="e">
        <f t="shared" si="2"/>
        <v>#REF!</v>
      </c>
      <c r="M4" t="e">
        <f t="shared" si="2"/>
        <v>#REF!</v>
      </c>
      <c r="N4" t="e">
        <f t="shared" si="2"/>
        <v>#REF!</v>
      </c>
      <c r="O4" t="e">
        <f t="shared" si="2"/>
        <v>#REF!</v>
      </c>
      <c r="P4" t="e">
        <f t="shared" si="2"/>
        <v>#REF!</v>
      </c>
      <c r="Q4" t="e">
        <f t="shared" si="2"/>
        <v>#REF!</v>
      </c>
      <c r="R4" t="e">
        <f t="shared" si="2"/>
        <v>#REF!</v>
      </c>
      <c r="S4" t="e">
        <f t="shared" si="2"/>
        <v>#REF!</v>
      </c>
      <c r="T4" t="e">
        <f t="shared" si="2"/>
        <v>#REF!</v>
      </c>
    </row>
    <row r="5" spans="1:20" x14ac:dyDescent="0.2">
      <c r="C5">
        <f>0.000001*C7</f>
        <v>3.8202205999999995E-5</v>
      </c>
      <c r="D5">
        <f t="shared" ref="D5:T5" si="3">0.000001*D7</f>
        <v>3.8548203999999996E-5</v>
      </c>
      <c r="E5">
        <f t="shared" si="3"/>
        <v>3.8896968999999999E-5</v>
      </c>
      <c r="F5">
        <f t="shared" si="3"/>
        <v>3.9242697999999997E-5</v>
      </c>
      <c r="G5">
        <f t="shared" si="3"/>
        <v>3.9589143999999997E-5</v>
      </c>
      <c r="H5">
        <f t="shared" si="3"/>
        <v>3.9933358999999994E-5</v>
      </c>
      <c r="I5">
        <f t="shared" si="3"/>
        <v>4.0275583999999994E-5</v>
      </c>
      <c r="J5">
        <f t="shared" si="3"/>
        <v>4.0619345999999998E-5</v>
      </c>
      <c r="K5">
        <f t="shared" si="3"/>
        <v>4.0965874999999992E-5</v>
      </c>
      <c r="L5">
        <f t="shared" si="3"/>
        <v>4.1315864999999993E-5</v>
      </c>
      <c r="M5">
        <f t="shared" si="3"/>
        <v>4.1667585999999996E-5</v>
      </c>
      <c r="N5">
        <f t="shared" si="3"/>
        <v>4.2021197000000002E-5</v>
      </c>
      <c r="O5">
        <f t="shared" si="3"/>
        <v>4.2373300999999999E-5</v>
      </c>
      <c r="P5">
        <f t="shared" si="3"/>
        <v>4.2722809999999991E-5</v>
      </c>
      <c r="Q5">
        <f t="shared" si="3"/>
        <v>4.3075669999999996E-5</v>
      </c>
      <c r="R5">
        <f t="shared" si="3"/>
        <v>4.3424439999999993E-5</v>
      </c>
      <c r="S5">
        <f t="shared" si="3"/>
        <v>4.3756526999999994E-5</v>
      </c>
      <c r="T5">
        <f t="shared" si="3"/>
        <v>4.4085599999999997E-5</v>
      </c>
    </row>
    <row r="6" spans="1:20" x14ac:dyDescent="0.2">
      <c r="B6" t="s">
        <v>80</v>
      </c>
      <c r="C6">
        <v>2013</v>
      </c>
      <c r="D6">
        <f>C6+1</f>
        <v>2014</v>
      </c>
      <c r="E6">
        <f t="shared" ref="E6:T6" si="4">D6+1</f>
        <v>2015</v>
      </c>
      <c r="F6">
        <f t="shared" si="4"/>
        <v>2016</v>
      </c>
      <c r="G6">
        <f t="shared" si="4"/>
        <v>2017</v>
      </c>
      <c r="H6">
        <f t="shared" si="4"/>
        <v>2018</v>
      </c>
      <c r="I6">
        <f t="shared" si="4"/>
        <v>2019</v>
      </c>
      <c r="J6">
        <f t="shared" si="4"/>
        <v>2020</v>
      </c>
      <c r="K6">
        <f t="shared" si="4"/>
        <v>2021</v>
      </c>
      <c r="L6">
        <f t="shared" si="4"/>
        <v>2022</v>
      </c>
      <c r="M6">
        <f t="shared" si="4"/>
        <v>2023</v>
      </c>
      <c r="N6">
        <f t="shared" si="4"/>
        <v>2024</v>
      </c>
      <c r="O6">
        <f t="shared" si="4"/>
        <v>2025</v>
      </c>
      <c r="P6">
        <f t="shared" si="4"/>
        <v>2026</v>
      </c>
      <c r="Q6">
        <f t="shared" si="4"/>
        <v>2027</v>
      </c>
      <c r="R6">
        <f t="shared" si="4"/>
        <v>2028</v>
      </c>
      <c r="S6">
        <f t="shared" si="4"/>
        <v>2029</v>
      </c>
      <c r="T6">
        <f t="shared" si="4"/>
        <v>2030</v>
      </c>
    </row>
    <row r="7" spans="1:20" x14ac:dyDescent="0.2">
      <c r="A7">
        <v>1</v>
      </c>
      <c r="B7" t="s">
        <v>109</v>
      </c>
      <c r="C7" s="8">
        <v>38.202205999999997</v>
      </c>
      <c r="D7" s="8">
        <v>38.548203999999998</v>
      </c>
      <c r="E7" s="8">
        <v>38.896968999999999</v>
      </c>
      <c r="F7" s="8">
        <v>39.242697999999997</v>
      </c>
      <c r="G7" s="8">
        <v>39.589143999999997</v>
      </c>
      <c r="H7" s="8">
        <v>39.933358999999996</v>
      </c>
      <c r="I7" s="8">
        <v>40.275583999999995</v>
      </c>
      <c r="J7" s="8">
        <v>40.619346</v>
      </c>
      <c r="K7" s="8">
        <v>40.965874999999997</v>
      </c>
      <c r="L7" s="8">
        <v>41.315864999999995</v>
      </c>
      <c r="M7" s="8">
        <v>41.667586</v>
      </c>
      <c r="N7" s="8">
        <v>42.021197000000001</v>
      </c>
      <c r="O7" s="8">
        <v>42.373300999999998</v>
      </c>
      <c r="P7" s="8">
        <v>42.722809999999996</v>
      </c>
      <c r="Q7" s="8">
        <v>43.075669999999995</v>
      </c>
      <c r="R7" s="8">
        <v>43.424439999999997</v>
      </c>
      <c r="S7" s="8">
        <v>43.756526999999998</v>
      </c>
      <c r="T7" s="8">
        <v>44.085599999999999</v>
      </c>
    </row>
    <row r="8" spans="1:20" x14ac:dyDescent="0.2">
      <c r="A8">
        <f>A7+1</f>
        <v>2</v>
      </c>
      <c r="B8" t="s">
        <v>108</v>
      </c>
      <c r="C8" s="6">
        <v>18.638458333333336</v>
      </c>
      <c r="D8" s="6">
        <v>18.800033333333332</v>
      </c>
      <c r="E8" s="6">
        <v>19.012221666666665</v>
      </c>
      <c r="F8" s="6">
        <v>19.210682500000001</v>
      </c>
      <c r="G8" s="6">
        <v>19.388457500000001</v>
      </c>
      <c r="H8" s="6">
        <v>19.553622499999999</v>
      </c>
      <c r="I8" s="6">
        <v>19.729315</v>
      </c>
      <c r="J8" s="7">
        <v>19.920364730443612</v>
      </c>
      <c r="K8" s="7">
        <v>20.107068604804084</v>
      </c>
      <c r="L8" s="7">
        <v>20.291355382257155</v>
      </c>
      <c r="M8" s="7">
        <v>20.47698090701553</v>
      </c>
      <c r="N8" s="7">
        <v>20.666812882713423</v>
      </c>
      <c r="O8" s="7">
        <v>20.859551773631519</v>
      </c>
      <c r="P8" s="7">
        <v>21.052637936711445</v>
      </c>
      <c r="Q8" s="7">
        <v>21.247036225687324</v>
      </c>
      <c r="R8" s="7">
        <v>21.44351332630891</v>
      </c>
      <c r="S8" s="7">
        <v>21.642221387378672</v>
      </c>
      <c r="T8" s="7">
        <v>21.842754270543306</v>
      </c>
    </row>
    <row r="9" spans="1:20" x14ac:dyDescent="0.2">
      <c r="A9">
        <f t="shared" ref="A9:A16" si="5">A8+1</f>
        <v>3</v>
      </c>
      <c r="B9" t="s">
        <v>111</v>
      </c>
      <c r="C9" s="6">
        <v>933.90560000000005</v>
      </c>
      <c r="D9" s="6">
        <v>991.16273699999999</v>
      </c>
      <c r="E9" s="6">
        <v>1049.59174325</v>
      </c>
      <c r="F9" s="6">
        <v>1113.777</v>
      </c>
      <c r="G9" s="6">
        <v>1173.12075</v>
      </c>
      <c r="H9" s="6">
        <v>1225.56575</v>
      </c>
      <c r="I9" s="6">
        <v>1280.24575</v>
      </c>
      <c r="J9" s="7">
        <f t="shared" ref="J9:J15" si="6">I9*SUM(F9:I9)/SUM(E9:H9)</f>
        <v>1344.9739911362892</v>
      </c>
      <c r="K9" s="7">
        <f t="shared" ref="K9:T15" si="7">J9*SUM(G9:J9)/SUM(F9:I9)</f>
        <v>1409.8546095270829</v>
      </c>
      <c r="L9" s="7">
        <f t="shared" si="7"/>
        <v>1476.2890346667341</v>
      </c>
      <c r="M9" s="7">
        <f t="shared" si="7"/>
        <v>1546.6493004911254</v>
      </c>
      <c r="N9" s="7">
        <f t="shared" si="7"/>
        <v>1621.4099062084292</v>
      </c>
      <c r="O9" s="7">
        <f t="shared" si="7"/>
        <v>1698.9858860131685</v>
      </c>
      <c r="P9" s="7">
        <f t="shared" si="7"/>
        <v>1780.1245544808671</v>
      </c>
      <c r="Q9" s="7">
        <f t="shared" si="7"/>
        <v>1865.3896624640779</v>
      </c>
      <c r="R9" s="7">
        <f t="shared" si="7"/>
        <v>1954.8375038450229</v>
      </c>
      <c r="S9" s="7">
        <f t="shared" si="7"/>
        <v>2048.407011894833</v>
      </c>
      <c r="T9" s="7">
        <f t="shared" si="7"/>
        <v>2146.4647704088507</v>
      </c>
    </row>
    <row r="10" spans="1:20" x14ac:dyDescent="0.2">
      <c r="A10">
        <f t="shared" si="5"/>
        <v>4</v>
      </c>
      <c r="B10" t="s">
        <v>73</v>
      </c>
      <c r="C10" s="6">
        <v>38.748584999999999</v>
      </c>
      <c r="D10" s="6">
        <v>41.784603000000004</v>
      </c>
      <c r="E10" s="6">
        <v>46.509463000000004</v>
      </c>
      <c r="F10" s="6">
        <v>52.693060000000003</v>
      </c>
      <c r="G10" s="6">
        <v>61.404620000000001</v>
      </c>
      <c r="H10" s="6">
        <v>71.083542500000007</v>
      </c>
      <c r="I10" s="6">
        <v>81.852347500000008</v>
      </c>
      <c r="J10" s="7">
        <f t="shared" si="6"/>
        <v>94.338382739195509</v>
      </c>
      <c r="K10" s="7">
        <f t="shared" si="7"/>
        <v>109.05096137066703</v>
      </c>
      <c r="L10" s="7">
        <f t="shared" si="7"/>
        <v>125.88359701399962</v>
      </c>
      <c r="M10" s="7">
        <f t="shared" si="7"/>
        <v>145.24351688051854</v>
      </c>
      <c r="N10" s="7">
        <f t="shared" si="7"/>
        <v>167.63853035880342</v>
      </c>
      <c r="O10" s="7">
        <f t="shared" si="7"/>
        <v>193.53421598731111</v>
      </c>
      <c r="P10" s="7">
        <f t="shared" si="7"/>
        <v>223.38070161485928</v>
      </c>
      <c r="Q10" s="7">
        <f t="shared" si="7"/>
        <v>257.82475735586326</v>
      </c>
      <c r="R10" s="7">
        <f t="shared" si="7"/>
        <v>297.59777972610863</v>
      </c>
      <c r="S10" s="7">
        <f t="shared" si="7"/>
        <v>343.51015474064855</v>
      </c>
      <c r="T10" s="7">
        <f t="shared" si="7"/>
        <v>396.49408298526015</v>
      </c>
    </row>
    <row r="11" spans="1:20" x14ac:dyDescent="0.2">
      <c r="A11">
        <f t="shared" si="5"/>
        <v>5</v>
      </c>
      <c r="B11" t="s">
        <v>74</v>
      </c>
      <c r="C11" s="6">
        <v>99.516922000000008</v>
      </c>
      <c r="D11" s="6">
        <v>105.45801299999999</v>
      </c>
      <c r="E11" s="6">
        <v>108.5993205</v>
      </c>
      <c r="F11" s="6">
        <v>116.232775</v>
      </c>
      <c r="G11" s="6">
        <v>120.7436</v>
      </c>
      <c r="H11" s="6">
        <v>125.393125</v>
      </c>
      <c r="I11" s="6">
        <v>130.063875</v>
      </c>
      <c r="J11" s="7">
        <f>I11*SUM(G11:I11)/SUM(F11:H11)</f>
        <v>135.0282179193475</v>
      </c>
      <c r="K11" s="7">
        <f t="shared" ref="K11:T11" si="8">J11*SUM(H11:J11)/SUM(G11:I11)</f>
        <v>140.1553402612796</v>
      </c>
      <c r="L11" s="7">
        <f t="shared" si="8"/>
        <v>145.45388475927447</v>
      </c>
      <c r="M11" s="7">
        <f t="shared" si="8"/>
        <v>150.97776109428352</v>
      </c>
      <c r="N11" s="7">
        <f t="shared" si="8"/>
        <v>156.70246858156372</v>
      </c>
      <c r="O11" s="7">
        <f t="shared" si="8"/>
        <v>162.6416649804284</v>
      </c>
      <c r="P11" s="7">
        <f t="shared" si="8"/>
        <v>168.81080807390521</v>
      </c>
      <c r="Q11" s="7">
        <f t="shared" si="8"/>
        <v>175.2115542548797</v>
      </c>
      <c r="R11" s="7">
        <f t="shared" si="8"/>
        <v>181.85494837435849</v>
      </c>
      <c r="S11" s="7">
        <f t="shared" si="8"/>
        <v>188.75109744233384</v>
      </c>
      <c r="T11" s="7">
        <f t="shared" si="8"/>
        <v>195.90818793664735</v>
      </c>
    </row>
    <row r="12" spans="1:20" x14ac:dyDescent="0.2">
      <c r="A12">
        <f t="shared" si="5"/>
        <v>6</v>
      </c>
      <c r="B12" t="s">
        <v>75</v>
      </c>
      <c r="C12" s="6">
        <v>637.37113352179449</v>
      </c>
      <c r="D12" s="6">
        <v>673.30425742671468</v>
      </c>
      <c r="E12" s="6">
        <v>728.80706434357671</v>
      </c>
      <c r="F12" s="6">
        <v>788.51892500000008</v>
      </c>
      <c r="G12" s="6">
        <v>853.73877500000003</v>
      </c>
      <c r="H12" s="6">
        <v>924.28827500000011</v>
      </c>
      <c r="I12" s="6">
        <v>1000.9166750000001</v>
      </c>
      <c r="J12" s="7">
        <f t="shared" si="6"/>
        <v>1083.5661039024719</v>
      </c>
      <c r="K12" s="7">
        <f t="shared" si="7"/>
        <v>1173.1824933300577</v>
      </c>
      <c r="L12" s="7">
        <f t="shared" si="7"/>
        <v>1270.2089850543703</v>
      </c>
      <c r="M12" s="7">
        <f t="shared" si="7"/>
        <v>1375.2774869075824</v>
      </c>
      <c r="N12" s="7">
        <f t="shared" si="7"/>
        <v>1488.9842657052427</v>
      </c>
      <c r="O12" s="7">
        <f t="shared" si="7"/>
        <v>1612.1242733619258</v>
      </c>
      <c r="P12" s="7">
        <f t="shared" si="7"/>
        <v>1745.4466038505568</v>
      </c>
      <c r="Q12" s="7">
        <f t="shared" si="7"/>
        <v>1889.7932797791393</v>
      </c>
      <c r="R12" s="7">
        <f t="shared" si="7"/>
        <v>2046.0701431341417</v>
      </c>
      <c r="S12" s="7">
        <f t="shared" si="7"/>
        <v>2215.2770649626641</v>
      </c>
      <c r="T12" s="7">
        <f t="shared" si="7"/>
        <v>2398.4761575874213</v>
      </c>
    </row>
    <row r="13" spans="1:20" x14ac:dyDescent="0.2">
      <c r="A13">
        <f t="shared" si="5"/>
        <v>7</v>
      </c>
      <c r="B13" t="s">
        <v>76</v>
      </c>
      <c r="C13" s="6">
        <v>1256.3229235119697</v>
      </c>
      <c r="D13" s="6">
        <v>1270.7065173016854</v>
      </c>
      <c r="E13" s="6">
        <v>1289.8425413770476</v>
      </c>
      <c r="F13" s="6">
        <v>1303.4045500000002</v>
      </c>
      <c r="G13" s="6">
        <v>1308.8724175</v>
      </c>
      <c r="H13" s="6">
        <v>1308.01052</v>
      </c>
      <c r="I13" s="6">
        <v>1307.3160800000001</v>
      </c>
      <c r="J13" s="7">
        <f t="shared" si="6"/>
        <v>1311.7005076226656</v>
      </c>
      <c r="K13" s="7">
        <f t="shared" si="7"/>
        <v>1313.7821137896899</v>
      </c>
      <c r="L13" s="7">
        <f t="shared" si="7"/>
        <v>1315.014045597889</v>
      </c>
      <c r="M13" s="7">
        <f t="shared" si="7"/>
        <v>1316.7713571390725</v>
      </c>
      <c r="N13" s="7">
        <f t="shared" si="7"/>
        <v>1319.1438575903578</v>
      </c>
      <c r="O13" s="7">
        <f t="shared" si="7"/>
        <v>1321.0115290396111</v>
      </c>
      <c r="P13" s="7">
        <f t="shared" si="7"/>
        <v>1322.8255203896997</v>
      </c>
      <c r="Q13" s="7">
        <f t="shared" si="7"/>
        <v>1324.7855610311517</v>
      </c>
      <c r="R13" s="7">
        <f t="shared" si="7"/>
        <v>1326.7964700791879</v>
      </c>
      <c r="S13" s="7">
        <f t="shared" si="7"/>
        <v>1328.7166492887673</v>
      </c>
      <c r="T13" s="7">
        <f t="shared" si="7"/>
        <v>1330.6500036473392</v>
      </c>
    </row>
    <row r="14" spans="1:20" x14ac:dyDescent="0.2">
      <c r="A14">
        <f t="shared" si="5"/>
        <v>8</v>
      </c>
      <c r="B14" t="s">
        <v>77</v>
      </c>
      <c r="C14" s="7">
        <f>C10/C12</f>
        <v>6.0794383306778693E-2</v>
      </c>
      <c r="D14" s="7">
        <f t="shared" ref="D14:I14" si="9">D10/D12</f>
        <v>6.2059020924203824E-2</v>
      </c>
      <c r="E14" s="7">
        <f t="shared" si="9"/>
        <v>6.3815878406571477E-2</v>
      </c>
      <c r="F14" s="7">
        <f t="shared" si="9"/>
        <v>6.6825358693832229E-2</v>
      </c>
      <c r="G14" s="7">
        <f t="shared" si="9"/>
        <v>7.1924365857694586E-2</v>
      </c>
      <c r="H14" s="7">
        <f t="shared" si="9"/>
        <v>7.6906247133774364E-2</v>
      </c>
      <c r="I14" s="7">
        <f t="shared" si="9"/>
        <v>8.1777384216323509E-2</v>
      </c>
      <c r="J14" s="7">
        <f t="shared" si="6"/>
        <v>8.7033172809074286E-2</v>
      </c>
      <c r="K14" s="7">
        <f t="shared" si="7"/>
        <v>9.2946262726827877E-2</v>
      </c>
      <c r="L14" s="7">
        <f t="shared" si="7"/>
        <v>9.9097564679628866E-2</v>
      </c>
      <c r="M14" s="7">
        <f t="shared" si="7"/>
        <v>0.10559105552894771</v>
      </c>
      <c r="N14" s="7">
        <f t="shared" si="7"/>
        <v>0.1125592698514046</v>
      </c>
      <c r="O14" s="7">
        <f t="shared" si="7"/>
        <v>0.1200285639670287</v>
      </c>
      <c r="P14" s="7">
        <f t="shared" si="7"/>
        <v>0.12795322526387867</v>
      </c>
      <c r="Q14" s="7">
        <f t="shared" si="7"/>
        <v>0.13639679638432706</v>
      </c>
      <c r="R14" s="7">
        <f t="shared" si="7"/>
        <v>0.14541098835096231</v>
      </c>
      <c r="S14" s="7">
        <f t="shared" si="7"/>
        <v>0.15502386208054073</v>
      </c>
      <c r="T14" s="7">
        <f t="shared" si="7"/>
        <v>0.16526397727873571</v>
      </c>
    </row>
    <row r="15" spans="1:20" x14ac:dyDescent="0.2">
      <c r="A15">
        <f t="shared" si="5"/>
        <v>9</v>
      </c>
      <c r="B15" t="s">
        <v>78</v>
      </c>
      <c r="C15" s="7">
        <f>C11/C13</f>
        <v>7.9212852155723518E-2</v>
      </c>
      <c r="D15" s="7">
        <f t="shared" ref="D15:I15" si="10">D11/D13</f>
        <v>8.2991636199314961E-2</v>
      </c>
      <c r="E15" s="7">
        <f t="shared" si="10"/>
        <v>8.4195796786217317E-2</v>
      </c>
      <c r="F15" s="7">
        <f t="shared" si="10"/>
        <v>8.9176284523481211E-2</v>
      </c>
      <c r="G15" s="7">
        <f t="shared" si="10"/>
        <v>9.2250091288977751E-2</v>
      </c>
      <c r="H15" s="7">
        <f t="shared" si="10"/>
        <v>9.5865532488224936E-2</v>
      </c>
      <c r="I15" s="7">
        <f t="shared" si="10"/>
        <v>9.948923369779096E-2</v>
      </c>
      <c r="J15" s="7">
        <f t="shared" si="6"/>
        <v>0.10369831826007835</v>
      </c>
      <c r="K15" s="7">
        <f t="shared" si="7"/>
        <v>0.10769509598683449</v>
      </c>
      <c r="L15" s="7">
        <f t="shared" si="7"/>
        <v>0.11194589528159653</v>
      </c>
      <c r="M15" s="7">
        <f t="shared" si="7"/>
        <v>0.11637155886401468</v>
      </c>
      <c r="N15" s="7">
        <f t="shared" si="7"/>
        <v>0.1210179398340694</v>
      </c>
      <c r="O15" s="7">
        <f t="shared" si="7"/>
        <v>0.12578467423218084</v>
      </c>
      <c r="P15" s="7">
        <f t="shared" si="7"/>
        <v>0.13076331735674601</v>
      </c>
      <c r="Q15" s="7">
        <f t="shared" si="7"/>
        <v>0.13594227884306948</v>
      </c>
      <c r="R15" s="7">
        <f t="shared" si="7"/>
        <v>0.1413285642027946</v>
      </c>
      <c r="S15" s="7">
        <f t="shared" si="7"/>
        <v>0.14691848725116599</v>
      </c>
      <c r="T15" s="7">
        <f t="shared" si="7"/>
        <v>0.15273496961773989</v>
      </c>
    </row>
    <row r="16" spans="1:20" x14ac:dyDescent="0.2">
      <c r="A16">
        <f t="shared" si="5"/>
        <v>10</v>
      </c>
      <c r="B16" t="s">
        <v>110</v>
      </c>
      <c r="C16" s="14" t="e">
        <f>0.001*#REF!</f>
        <v>#REF!</v>
      </c>
      <c r="D16" s="14" t="e">
        <f>C16*(1+0.01*#REF!)</f>
        <v>#REF!</v>
      </c>
      <c r="E16" s="14" t="e">
        <f>D16*(1+0.01*#REF!)</f>
        <v>#REF!</v>
      </c>
      <c r="F16" s="14" t="e">
        <f>E16*(1+0.01*#REF!)</f>
        <v>#REF!</v>
      </c>
      <c r="G16" s="14" t="e">
        <f>F16*(1+0.01*#REF!)</f>
        <v>#REF!</v>
      </c>
      <c r="H16" s="14" t="e">
        <f>G16*(1+0.01*#REF!)</f>
        <v>#REF!</v>
      </c>
      <c r="I16" s="14" t="e">
        <f>H16*(1+0.01*#REF!)</f>
        <v>#REF!</v>
      </c>
    </row>
    <row r="18" spans="1:20" x14ac:dyDescent="0.2">
      <c r="B18" t="s">
        <v>79</v>
      </c>
      <c r="C18">
        <v>2013</v>
      </c>
      <c r="D18">
        <f>C18+1</f>
        <v>2014</v>
      </c>
      <c r="E18">
        <f t="shared" ref="E18:T18" si="11">D18+1</f>
        <v>2015</v>
      </c>
      <c r="F18">
        <f t="shared" si="11"/>
        <v>2016</v>
      </c>
      <c r="G18">
        <f t="shared" si="11"/>
        <v>2017</v>
      </c>
      <c r="H18">
        <f t="shared" si="11"/>
        <v>2018</v>
      </c>
      <c r="I18">
        <f t="shared" si="11"/>
        <v>2019</v>
      </c>
      <c r="J18">
        <f t="shared" si="11"/>
        <v>2020</v>
      </c>
      <c r="K18">
        <f t="shared" si="11"/>
        <v>2021</v>
      </c>
      <c r="L18">
        <f t="shared" si="11"/>
        <v>2022</v>
      </c>
      <c r="M18">
        <f t="shared" si="11"/>
        <v>2023</v>
      </c>
      <c r="N18">
        <f t="shared" si="11"/>
        <v>2024</v>
      </c>
      <c r="O18">
        <f t="shared" si="11"/>
        <v>2025</v>
      </c>
      <c r="P18">
        <f t="shared" si="11"/>
        <v>2026</v>
      </c>
      <c r="Q18">
        <f t="shared" si="11"/>
        <v>2027</v>
      </c>
      <c r="R18">
        <f t="shared" si="11"/>
        <v>2028</v>
      </c>
      <c r="S18">
        <f t="shared" si="11"/>
        <v>2029</v>
      </c>
      <c r="T18">
        <f t="shared" si="11"/>
        <v>2030</v>
      </c>
    </row>
    <row r="19" spans="1:20" x14ac:dyDescent="0.2">
      <c r="A19">
        <v>1</v>
      </c>
      <c r="B19" t="s">
        <v>70</v>
      </c>
      <c r="C19" s="11">
        <f>C7</f>
        <v>38.202205999999997</v>
      </c>
      <c r="D19" s="11">
        <f t="shared" ref="D19:T19" si="12">D7</f>
        <v>38.548203999999998</v>
      </c>
      <c r="E19" s="11">
        <f t="shared" si="12"/>
        <v>38.896968999999999</v>
      </c>
      <c r="F19" s="11">
        <f t="shared" si="12"/>
        <v>39.242697999999997</v>
      </c>
      <c r="G19" s="11">
        <f t="shared" si="12"/>
        <v>39.589143999999997</v>
      </c>
      <c r="H19" s="11">
        <f t="shared" si="12"/>
        <v>39.933358999999996</v>
      </c>
      <c r="I19" s="11">
        <f t="shared" si="12"/>
        <v>40.275583999999995</v>
      </c>
      <c r="J19" s="11">
        <f t="shared" si="12"/>
        <v>40.619346</v>
      </c>
      <c r="K19" s="11">
        <f t="shared" si="12"/>
        <v>40.965874999999997</v>
      </c>
      <c r="L19" s="11">
        <f t="shared" si="12"/>
        <v>41.315864999999995</v>
      </c>
      <c r="M19" s="11">
        <f t="shared" si="12"/>
        <v>41.667586</v>
      </c>
      <c r="N19" s="11">
        <f t="shared" si="12"/>
        <v>42.021197000000001</v>
      </c>
      <c r="O19" s="11">
        <f t="shared" si="12"/>
        <v>42.373300999999998</v>
      </c>
      <c r="P19" s="11">
        <f t="shared" si="12"/>
        <v>42.722809999999996</v>
      </c>
      <c r="Q19" s="11">
        <f t="shared" si="12"/>
        <v>43.075669999999995</v>
      </c>
      <c r="R19" s="11">
        <f t="shared" si="12"/>
        <v>43.424439999999997</v>
      </c>
      <c r="S19" s="11">
        <f t="shared" si="12"/>
        <v>43.756526999999998</v>
      </c>
      <c r="T19" s="11">
        <f t="shared" si="12"/>
        <v>44.085599999999999</v>
      </c>
    </row>
    <row r="20" spans="1:20" x14ac:dyDescent="0.2">
      <c r="A20">
        <f>A19+1</f>
        <v>2</v>
      </c>
      <c r="B20" t="s">
        <v>71</v>
      </c>
      <c r="C20" s="9">
        <f>C8</f>
        <v>18.638458333333336</v>
      </c>
      <c r="D20" s="10" t="e">
        <f>C20*(1+0.01*#REF!)</f>
        <v>#REF!</v>
      </c>
      <c r="E20" s="10" t="e">
        <f>D20*(1+0.01*#REF!)</f>
        <v>#REF!</v>
      </c>
      <c r="F20" s="10" t="e">
        <f>E20*(1+0.01*#REF!)</f>
        <v>#REF!</v>
      </c>
      <c r="G20" s="10" t="e">
        <f>F20*(1+0.01*#REF!)</f>
        <v>#REF!</v>
      </c>
      <c r="H20" s="10" t="e">
        <f>G20*(1+0.01*#REF!)</f>
        <v>#REF!</v>
      </c>
      <c r="I20" s="10" t="e">
        <f>H20*(1+0.01*#REF!)</f>
        <v>#REF!</v>
      </c>
      <c r="J20" s="10" t="e">
        <f>I20*(1+0.01*#REF!)</f>
        <v>#REF!</v>
      </c>
      <c r="K20" s="10" t="e">
        <f>J20*(1+0.01*#REF!)</f>
        <v>#REF!</v>
      </c>
      <c r="L20" s="10" t="e">
        <f>K20*(1+0.01*#REF!)</f>
        <v>#REF!</v>
      </c>
      <c r="M20" s="10" t="e">
        <f>L20*(1+0.01*#REF!)</f>
        <v>#REF!</v>
      </c>
      <c r="N20" s="10" t="e">
        <f>M20*(1+0.01*#REF!)</f>
        <v>#REF!</v>
      </c>
      <c r="O20" s="10" t="e">
        <f>N20*(1+0.01*#REF!)</f>
        <v>#REF!</v>
      </c>
      <c r="P20" s="10" t="e">
        <f>O20*(1+0.01*#REF!)</f>
        <v>#REF!</v>
      </c>
      <c r="Q20" s="10" t="e">
        <f>P20*(1+0.01*#REF!)</f>
        <v>#REF!</v>
      </c>
      <c r="R20" s="10" t="e">
        <f>Q20*(1+0.01*#REF!)</f>
        <v>#REF!</v>
      </c>
      <c r="S20" s="10" t="e">
        <f>R20*(1+0.01*#REF!)</f>
        <v>#REF!</v>
      </c>
      <c r="T20" s="10" t="e">
        <f>S20*(1+0.01*#REF!)</f>
        <v>#REF!</v>
      </c>
    </row>
    <row r="21" spans="1:20" x14ac:dyDescent="0.2">
      <c r="A21">
        <f t="shared" ref="A21:A28" si="13">A20+1</f>
        <v>3</v>
      </c>
      <c r="B21" t="s">
        <v>72</v>
      </c>
      <c r="C21" s="9">
        <v>933.90560000000005</v>
      </c>
      <c r="D21" s="10" t="e">
        <f>C21*(1+0.01*(#REF!+#REF!))</f>
        <v>#REF!</v>
      </c>
      <c r="E21" s="10" t="e">
        <f>D21*(1+0.01*(#REF!+#REF!))</f>
        <v>#REF!</v>
      </c>
      <c r="F21" s="10" t="e">
        <f>E21*(1+0.01*(#REF!+#REF!))</f>
        <v>#REF!</v>
      </c>
      <c r="G21" s="10" t="e">
        <f>F21*(1+0.01*(#REF!+#REF!))</f>
        <v>#REF!</v>
      </c>
      <c r="H21" s="10" t="e">
        <f>G21*(1+0.01*(#REF!+#REF!))</f>
        <v>#REF!</v>
      </c>
      <c r="I21" s="10" t="e">
        <f>H21*(1+0.01*(#REF!+#REF!))</f>
        <v>#REF!</v>
      </c>
      <c r="J21" s="10" t="e">
        <f>I21*(1+0.01*(#REF!+#REF!))</f>
        <v>#REF!</v>
      </c>
      <c r="K21" s="10" t="e">
        <f>J21*(1+0.01*(#REF!+#REF!))</f>
        <v>#REF!</v>
      </c>
      <c r="L21" s="10" t="e">
        <f>K21*(1+0.01*(#REF!+#REF!))</f>
        <v>#REF!</v>
      </c>
      <c r="M21" s="10" t="e">
        <f>L21*(1+0.01*(#REF!+#REF!))</f>
        <v>#REF!</v>
      </c>
      <c r="N21" s="10" t="e">
        <f>M21*(1+0.01*(#REF!+#REF!))</f>
        <v>#REF!</v>
      </c>
      <c r="O21" s="10" t="e">
        <f>N21*(1+0.01*(#REF!+#REF!))</f>
        <v>#REF!</v>
      </c>
      <c r="P21" s="10" t="e">
        <f>O21*(1+0.01*(#REF!+#REF!))</f>
        <v>#REF!</v>
      </c>
      <c r="Q21" s="10" t="e">
        <f>P21*(1+0.01*(#REF!+#REF!))</f>
        <v>#REF!</v>
      </c>
      <c r="R21" s="10" t="e">
        <f>Q21*(1+0.01*(#REF!+#REF!))</f>
        <v>#REF!</v>
      </c>
      <c r="S21" s="10" t="e">
        <f>R21*(1+0.01*(#REF!+#REF!))</f>
        <v>#REF!</v>
      </c>
      <c r="T21" s="10" t="e">
        <f>S21*(1+0.01*(#REF!+#REF!))</f>
        <v>#REF!</v>
      </c>
    </row>
    <row r="22" spans="1:20" x14ac:dyDescent="0.2">
      <c r="A22">
        <f t="shared" si="13"/>
        <v>4</v>
      </c>
      <c r="B22" t="s">
        <v>73</v>
      </c>
      <c r="C22" s="9">
        <v>38.748584999999999</v>
      </c>
      <c r="D22" s="10" t="e">
        <f>C22*(1+0.01*(SecPct!X8+SecPct!X10))</f>
        <v>#DIV/0!</v>
      </c>
      <c r="E22" s="10" t="e">
        <f>D22*(1+0.01*(SecPct!Y8+SecPct!Y10))</f>
        <v>#DIV/0!</v>
      </c>
      <c r="F22" s="10" t="e">
        <f>E22*(1+0.01*(SecPct!Z8+SecPct!Z10))</f>
        <v>#DIV/0!</v>
      </c>
      <c r="G22" s="10" t="e">
        <f>F22*(1+0.01*(SecPct!AA8+SecPct!AA10))</f>
        <v>#DIV/0!</v>
      </c>
      <c r="H22" s="10" t="e">
        <f>G22*(1+0.01*(SecPct!AB8+SecPct!AB10))</f>
        <v>#DIV/0!</v>
      </c>
      <c r="I22" s="10" t="e">
        <f>H22*(1+0.01*(SecPct!AC8+SecPct!AC10))</f>
        <v>#DIV/0!</v>
      </c>
      <c r="J22" s="10" t="e">
        <f>I22*(1+0.01*(SecPct!AD8+SecPct!AD10))</f>
        <v>#DIV/0!</v>
      </c>
      <c r="K22" s="10" t="e">
        <f>J22*(1+0.01*(SecPct!AE8+SecPct!AE10))</f>
        <v>#DIV/0!</v>
      </c>
      <c r="L22" s="10" t="e">
        <f>K22*(1+0.01*(SecPct!AF8+SecPct!AF10))</f>
        <v>#DIV/0!</v>
      </c>
      <c r="M22" s="10" t="e">
        <f>L22*(1+0.01*(SecPct!AG8+SecPct!AG10))</f>
        <v>#DIV/0!</v>
      </c>
      <c r="N22" s="10" t="e">
        <f>M22*(1+0.01*(SecPct!AH8+SecPct!AH10))</f>
        <v>#DIV/0!</v>
      </c>
      <c r="O22" s="10" t="e">
        <f>N22*(1+0.01*(SecPct!AI8+SecPct!AI10))</f>
        <v>#DIV/0!</v>
      </c>
      <c r="P22" s="10" t="e">
        <f>O22*(1+0.01*(SecPct!AJ8+SecPct!AJ10))</f>
        <v>#DIV/0!</v>
      </c>
      <c r="Q22" s="10" t="e">
        <f>P22*(1+0.01*(SecPct!AK8+SecPct!AK10))</f>
        <v>#DIV/0!</v>
      </c>
      <c r="R22" s="10" t="e">
        <f>Q22*(1+0.01*(SecPct!AL8+SecPct!AL10))</f>
        <v>#DIV/0!</v>
      </c>
      <c r="S22" s="10" t="e">
        <f>R22*(1+0.01*(SecPct!AM8+SecPct!AM10))</f>
        <v>#DIV/0!</v>
      </c>
      <c r="T22" s="10" t="e">
        <f>S22*(1+0.01*(SecPct!AN8+SecPct!AN10))</f>
        <v>#DIV/0!</v>
      </c>
    </row>
    <row r="23" spans="1:20" x14ac:dyDescent="0.2">
      <c r="A23">
        <f t="shared" si="13"/>
        <v>5</v>
      </c>
      <c r="B23" t="s">
        <v>74</v>
      </c>
      <c r="C23" s="9">
        <v>99.516922000000008</v>
      </c>
      <c r="D23" s="10" t="e">
        <f>C23*(1+0.01*(SecPct!X9+SecPct!X11))</f>
        <v>#DIV/0!</v>
      </c>
      <c r="E23" s="10" t="e">
        <f>D23*(1+0.01*(SecPct!Y9+SecPct!Y11))</f>
        <v>#DIV/0!</v>
      </c>
      <c r="F23" s="10" t="e">
        <f>E23*(1+0.01*(SecPct!Z9+SecPct!Z11))</f>
        <v>#DIV/0!</v>
      </c>
      <c r="G23" s="10" t="e">
        <f>F23*(1+0.01*(SecPct!AA9+SecPct!AA11))</f>
        <v>#DIV/0!</v>
      </c>
      <c r="H23" s="10" t="e">
        <f>G23*(1+0.01*(SecPct!AB9+SecPct!AB11))</f>
        <v>#DIV/0!</v>
      </c>
      <c r="I23" s="10" t="e">
        <f>H23*(1+0.01*(SecPct!AC9+SecPct!AC11))</f>
        <v>#DIV/0!</v>
      </c>
      <c r="J23" s="10" t="e">
        <f>I23*(1+0.01*(SecPct!AD9+SecPct!AD11))</f>
        <v>#DIV/0!</v>
      </c>
      <c r="K23" s="10" t="e">
        <f>J23*(1+0.01*(SecPct!AE9+SecPct!AE11))</f>
        <v>#DIV/0!</v>
      </c>
      <c r="L23" s="10" t="e">
        <f>K23*(1+0.01*(SecPct!AF9+SecPct!AF11))</f>
        <v>#DIV/0!</v>
      </c>
      <c r="M23" s="10" t="e">
        <f>L23*(1+0.01*(SecPct!AG9+SecPct!AG11))</f>
        <v>#DIV/0!</v>
      </c>
      <c r="N23" s="10" t="e">
        <f>M23*(1+0.01*(SecPct!AH9+SecPct!AH11))</f>
        <v>#DIV/0!</v>
      </c>
      <c r="O23" s="10" t="e">
        <f>N23*(1+0.01*(SecPct!AI9+SecPct!AI11))</f>
        <v>#DIV/0!</v>
      </c>
      <c r="P23" s="10" t="e">
        <f>O23*(1+0.01*(SecPct!AJ9+SecPct!AJ11))</f>
        <v>#DIV/0!</v>
      </c>
      <c r="Q23" s="10" t="e">
        <f>P23*(1+0.01*(SecPct!AK9+SecPct!AK11))</f>
        <v>#DIV/0!</v>
      </c>
      <c r="R23" s="10" t="e">
        <f>Q23*(1+0.01*(SecPct!AL9+SecPct!AL11))</f>
        <v>#DIV/0!</v>
      </c>
      <c r="S23" s="10" t="e">
        <f>R23*(1+0.01*(SecPct!AM9+SecPct!AM11))</f>
        <v>#DIV/0!</v>
      </c>
      <c r="T23" s="10" t="e">
        <f>S23*(1+0.01*(SecPct!AN9+SecPct!AN11))</f>
        <v>#DIV/0!</v>
      </c>
    </row>
    <row r="24" spans="1:20" x14ac:dyDescent="0.2">
      <c r="A24">
        <f t="shared" si="13"/>
        <v>6</v>
      </c>
      <c r="B24" t="s">
        <v>75</v>
      </c>
      <c r="C24" s="9">
        <v>637.37113352179449</v>
      </c>
      <c r="D24" s="10" t="e">
        <f>C24*(1+0.01*(SecPct!X7))</f>
        <v>#DIV/0!</v>
      </c>
      <c r="E24" s="10" t="e">
        <f>D24*(1+0.01*(SecPct!Y7))</f>
        <v>#DIV/0!</v>
      </c>
      <c r="F24" s="10" t="e">
        <f>E24*(1+0.01*(SecPct!Z7))</f>
        <v>#DIV/0!</v>
      </c>
      <c r="G24" s="10" t="e">
        <f>F24*(1+0.01*(SecPct!AA7))</f>
        <v>#DIV/0!</v>
      </c>
      <c r="H24" s="10" t="e">
        <f>G24*(1+0.01*(SecPct!AB7))</f>
        <v>#DIV/0!</v>
      </c>
      <c r="I24" s="10" t="e">
        <f>H24*(1+0.01*(SecPct!AC7))</f>
        <v>#DIV/0!</v>
      </c>
      <c r="J24" s="10" t="e">
        <f>I24*(1+0.01*(SecPct!AD7))</f>
        <v>#DIV/0!</v>
      </c>
      <c r="K24" s="10" t="e">
        <f>J24*(1+0.01*(SecPct!AE7))</f>
        <v>#DIV/0!</v>
      </c>
      <c r="L24" s="10" t="e">
        <f>K24*(1+0.01*(SecPct!AF7))</f>
        <v>#DIV/0!</v>
      </c>
      <c r="M24" s="10" t="e">
        <f>L24*(1+0.01*(SecPct!AG7))</f>
        <v>#DIV/0!</v>
      </c>
      <c r="N24" s="10" t="e">
        <f>M24*(1+0.01*(SecPct!AH7))</f>
        <v>#DIV/0!</v>
      </c>
      <c r="O24" s="10" t="e">
        <f>N24*(1+0.01*(SecPct!AI7))</f>
        <v>#DIV/0!</v>
      </c>
      <c r="P24" s="10" t="e">
        <f>O24*(1+0.01*(SecPct!AJ7))</f>
        <v>#DIV/0!</v>
      </c>
      <c r="Q24" s="10" t="e">
        <f>P24*(1+0.01*(SecPct!AK7))</f>
        <v>#DIV/0!</v>
      </c>
      <c r="R24" s="10" t="e">
        <f>Q24*(1+0.01*(SecPct!AL7))</f>
        <v>#DIV/0!</v>
      </c>
      <c r="S24" s="10" t="e">
        <f>R24*(1+0.01*(SecPct!AM7))</f>
        <v>#DIV/0!</v>
      </c>
      <c r="T24" s="10" t="e">
        <f>S24*(1+0.01*(SecPct!AN7))</f>
        <v>#DIV/0!</v>
      </c>
    </row>
    <row r="25" spans="1:20" x14ac:dyDescent="0.2">
      <c r="A25">
        <f t="shared" si="13"/>
        <v>7</v>
      </c>
      <c r="B25" t="s">
        <v>76</v>
      </c>
      <c r="C25" s="9">
        <v>1256.3229235119697</v>
      </c>
      <c r="D25" s="10" t="e">
        <f>C25*(1+0.01*(SecPct!X8))</f>
        <v>#DIV/0!</v>
      </c>
      <c r="E25" s="10" t="e">
        <f>D25*(1+0.01*(SecPct!Y8))</f>
        <v>#DIV/0!</v>
      </c>
      <c r="F25" s="10" t="e">
        <f>E25*(1+0.01*(SecPct!Z8))</f>
        <v>#DIV/0!</v>
      </c>
      <c r="G25" s="10" t="e">
        <f>F25*(1+0.01*(SecPct!AA8))</f>
        <v>#DIV/0!</v>
      </c>
      <c r="H25" s="10" t="e">
        <f>G25*(1+0.01*(SecPct!AB8))</f>
        <v>#DIV/0!</v>
      </c>
      <c r="I25" s="10" t="e">
        <f>H25*(1+0.01*(SecPct!AC8))</f>
        <v>#DIV/0!</v>
      </c>
      <c r="J25" s="10" t="e">
        <f>I25*(1+0.01*(SecPct!AD8))</f>
        <v>#DIV/0!</v>
      </c>
      <c r="K25" s="10" t="e">
        <f>J25*(1+0.01*(SecPct!AE8))</f>
        <v>#DIV/0!</v>
      </c>
      <c r="L25" s="10" t="e">
        <f>K25*(1+0.01*(SecPct!AF8))</f>
        <v>#DIV/0!</v>
      </c>
      <c r="M25" s="10" t="e">
        <f>L25*(1+0.01*(SecPct!AG8))</f>
        <v>#DIV/0!</v>
      </c>
      <c r="N25" s="10" t="e">
        <f>M25*(1+0.01*(SecPct!AH8))</f>
        <v>#DIV/0!</v>
      </c>
      <c r="O25" s="10" t="e">
        <f>N25*(1+0.01*(SecPct!AI8))</f>
        <v>#DIV/0!</v>
      </c>
      <c r="P25" s="10" t="e">
        <f>O25*(1+0.01*(SecPct!AJ8))</f>
        <v>#DIV/0!</v>
      </c>
      <c r="Q25" s="10" t="e">
        <f>P25*(1+0.01*(SecPct!AK8))</f>
        <v>#DIV/0!</v>
      </c>
      <c r="R25" s="10" t="e">
        <f>Q25*(1+0.01*(SecPct!AL8))</f>
        <v>#DIV/0!</v>
      </c>
      <c r="S25" s="10" t="e">
        <f>R25*(1+0.01*(SecPct!AM8))</f>
        <v>#DIV/0!</v>
      </c>
      <c r="T25" s="10" t="e">
        <f>S25*(1+0.01*(SecPct!AN8))</f>
        <v>#DIV/0!</v>
      </c>
    </row>
    <row r="26" spans="1:20" x14ac:dyDescent="0.2">
      <c r="A26">
        <f t="shared" si="13"/>
        <v>8</v>
      </c>
      <c r="B26" t="s">
        <v>77</v>
      </c>
      <c r="C26" s="10">
        <f>C22/C24</f>
        <v>6.0794383306778693E-2</v>
      </c>
      <c r="D26" s="10" t="e">
        <f>C26*(1+0.01*(SecPct!X10))</f>
        <v>#DIV/0!</v>
      </c>
      <c r="E26" s="10" t="e">
        <f>D26*(1+0.01*(SecPct!Y10))</f>
        <v>#DIV/0!</v>
      </c>
      <c r="F26" s="10" t="e">
        <f>E26*(1+0.01*(SecPct!Z10))</f>
        <v>#DIV/0!</v>
      </c>
      <c r="G26" s="10" t="e">
        <f>F26*(1+0.01*(SecPct!AA10))</f>
        <v>#DIV/0!</v>
      </c>
      <c r="H26" s="10" t="e">
        <f>G26*(1+0.01*(SecPct!AB10))</f>
        <v>#DIV/0!</v>
      </c>
      <c r="I26" s="10" t="e">
        <f>H26*(1+0.01*(SecPct!AC10))</f>
        <v>#DIV/0!</v>
      </c>
      <c r="J26" s="10" t="e">
        <f>I26*(1+0.01*(SecPct!AD10))</f>
        <v>#DIV/0!</v>
      </c>
      <c r="K26" s="10" t="e">
        <f>J26*(1+0.01*(SecPct!AE10))</f>
        <v>#DIV/0!</v>
      </c>
      <c r="L26" s="10" t="e">
        <f>K26*(1+0.01*(SecPct!AF10))</f>
        <v>#DIV/0!</v>
      </c>
      <c r="M26" s="10" t="e">
        <f>L26*(1+0.01*(SecPct!AG10))</f>
        <v>#DIV/0!</v>
      </c>
      <c r="N26" s="10" t="e">
        <f>M26*(1+0.01*(SecPct!AH10))</f>
        <v>#DIV/0!</v>
      </c>
      <c r="O26" s="10" t="e">
        <f>N26*(1+0.01*(SecPct!AI10))</f>
        <v>#DIV/0!</v>
      </c>
      <c r="P26" s="10" t="e">
        <f>O26*(1+0.01*(SecPct!AJ10))</f>
        <v>#DIV/0!</v>
      </c>
      <c r="Q26" s="10" t="e">
        <f>P26*(1+0.01*(SecPct!AK10))</f>
        <v>#DIV/0!</v>
      </c>
      <c r="R26" s="10" t="e">
        <f>Q26*(1+0.01*(SecPct!AL10))</f>
        <v>#DIV/0!</v>
      </c>
      <c r="S26" s="10" t="e">
        <f>R26*(1+0.01*(SecPct!AM10))</f>
        <v>#DIV/0!</v>
      </c>
      <c r="T26" s="10" t="e">
        <f>S26*(1+0.01*(SecPct!AN10))</f>
        <v>#DIV/0!</v>
      </c>
    </row>
    <row r="27" spans="1:20" x14ac:dyDescent="0.2">
      <c r="A27">
        <f t="shared" si="13"/>
        <v>9</v>
      </c>
      <c r="B27" t="s">
        <v>78</v>
      </c>
      <c r="C27" s="10">
        <f>C23/C25</f>
        <v>7.9212852155723518E-2</v>
      </c>
      <c r="D27" s="10" t="e">
        <f>C27*(1+0.01*(SecPct!X11))</f>
        <v>#DIV/0!</v>
      </c>
      <c r="E27" s="10" t="e">
        <f>D27*(1+0.01*(SecPct!Y11))</f>
        <v>#DIV/0!</v>
      </c>
      <c r="F27" s="10" t="e">
        <f>E27*(1+0.01*(SecPct!Z11))</f>
        <v>#DIV/0!</v>
      </c>
      <c r="G27" s="10" t="e">
        <f>F27*(1+0.01*(SecPct!AA11))</f>
        <v>#DIV/0!</v>
      </c>
      <c r="H27" s="10" t="e">
        <f>G27*(1+0.01*(SecPct!AB11))</f>
        <v>#DIV/0!</v>
      </c>
      <c r="I27" s="10" t="e">
        <f>H27*(1+0.01*(SecPct!AC11))</f>
        <v>#DIV/0!</v>
      </c>
      <c r="J27" s="10" t="e">
        <f>I27*(1+0.01*(SecPct!AD11))</f>
        <v>#DIV/0!</v>
      </c>
      <c r="K27" s="10" t="e">
        <f>J27*(1+0.01*(SecPct!AE11))</f>
        <v>#DIV/0!</v>
      </c>
      <c r="L27" s="10" t="e">
        <f>K27*(1+0.01*(SecPct!AF11))</f>
        <v>#DIV/0!</v>
      </c>
      <c r="M27" s="10" t="e">
        <f>L27*(1+0.01*(SecPct!AG11))</f>
        <v>#DIV/0!</v>
      </c>
      <c r="N27" s="10" t="e">
        <f>M27*(1+0.01*(SecPct!AH11))</f>
        <v>#DIV/0!</v>
      </c>
      <c r="O27" s="10" t="e">
        <f>N27*(1+0.01*(SecPct!AI11))</f>
        <v>#DIV/0!</v>
      </c>
      <c r="P27" s="10" t="e">
        <f>O27*(1+0.01*(SecPct!AJ11))</f>
        <v>#DIV/0!</v>
      </c>
      <c r="Q27" s="10" t="e">
        <f>P27*(1+0.01*(SecPct!AK11))</f>
        <v>#DIV/0!</v>
      </c>
      <c r="R27" s="10" t="e">
        <f>Q27*(1+0.01*(SecPct!AL11))</f>
        <v>#DIV/0!</v>
      </c>
      <c r="S27" s="10" t="e">
        <f>R27*(1+0.01*(SecPct!AM11))</f>
        <v>#DIV/0!</v>
      </c>
      <c r="T27" s="10" t="e">
        <f>S27*(1+0.01*(SecPct!AN11))</f>
        <v>#DIV/0!</v>
      </c>
    </row>
    <row r="28" spans="1:20" x14ac:dyDescent="0.2">
      <c r="A28">
        <f t="shared" si="13"/>
        <v>10</v>
      </c>
      <c r="B28" t="str">
        <f>B16</f>
        <v>Personal Income (trillions)</v>
      </c>
      <c r="C28" s="14" t="e">
        <f>C16</f>
        <v>#REF!</v>
      </c>
      <c r="D28" s="14" t="e">
        <f>C28*(1+0.01*#REF!)</f>
        <v>#REF!</v>
      </c>
      <c r="E28" s="14" t="e">
        <f>D28*(1+0.01*#REF!)</f>
        <v>#REF!</v>
      </c>
      <c r="F28" s="14" t="e">
        <f>E28*(1+0.01*#REF!)</f>
        <v>#REF!</v>
      </c>
      <c r="G28" s="14" t="e">
        <f>F28*(1+0.01*#REF!)</f>
        <v>#REF!</v>
      </c>
      <c r="H28" s="14" t="e">
        <f>G28*(1+0.01*#REF!)</f>
        <v>#REF!</v>
      </c>
      <c r="I28" s="14" t="e">
        <f>H28*(1+0.01*#REF!)</f>
        <v>#REF!</v>
      </c>
      <c r="J28" s="14" t="e">
        <f>I28*(1+0.01*#REF!)</f>
        <v>#REF!</v>
      </c>
      <c r="K28" s="14" t="e">
        <f>J28*(1+0.01*#REF!)</f>
        <v>#REF!</v>
      </c>
      <c r="L28" s="14" t="e">
        <f>K28*(1+0.01*#REF!)</f>
        <v>#REF!</v>
      </c>
      <c r="M28" s="14" t="e">
        <f>L28*(1+0.01*#REF!)</f>
        <v>#REF!</v>
      </c>
      <c r="N28" s="14" t="e">
        <f>M28*(1+0.01*#REF!)</f>
        <v>#REF!</v>
      </c>
      <c r="O28" s="14" t="e">
        <f>N28*(1+0.01*#REF!)</f>
        <v>#REF!</v>
      </c>
      <c r="P28" s="14" t="e">
        <f>O28*(1+0.01*#REF!)</f>
        <v>#REF!</v>
      </c>
      <c r="Q28" s="14" t="e">
        <f>P28*(1+0.01*#REF!)</f>
        <v>#REF!</v>
      </c>
      <c r="R28" s="14" t="e">
        <f>Q28*(1+0.01*#REF!)</f>
        <v>#REF!</v>
      </c>
      <c r="S28" s="14" t="e">
        <f>R28*(1+0.01*#REF!)</f>
        <v>#REF!</v>
      </c>
      <c r="T28" s="14" t="e">
        <f>S28*(1+0.01*#REF!)</f>
        <v>#REF!</v>
      </c>
    </row>
    <row r="30" spans="1:20" x14ac:dyDescent="0.2">
      <c r="B30" t="str">
        <f>B28</f>
        <v>Personal Income (trillions)</v>
      </c>
      <c r="C30">
        <f>C2</f>
        <v>2013</v>
      </c>
      <c r="D30">
        <f t="shared" ref="D30:T30" si="14">D2</f>
        <v>2014</v>
      </c>
      <c r="E30">
        <f t="shared" si="14"/>
        <v>2015</v>
      </c>
      <c r="F30">
        <f t="shared" si="14"/>
        <v>2016</v>
      </c>
      <c r="G30">
        <f t="shared" si="14"/>
        <v>2017</v>
      </c>
      <c r="H30">
        <f t="shared" si="14"/>
        <v>2018</v>
      </c>
      <c r="I30">
        <f t="shared" si="14"/>
        <v>2019</v>
      </c>
      <c r="J30">
        <f t="shared" si="14"/>
        <v>2020</v>
      </c>
      <c r="K30">
        <f t="shared" si="14"/>
        <v>2021</v>
      </c>
      <c r="L30">
        <f t="shared" si="14"/>
        <v>2022</v>
      </c>
      <c r="M30">
        <f t="shared" si="14"/>
        <v>2023</v>
      </c>
      <c r="N30">
        <f t="shared" si="14"/>
        <v>2024</v>
      </c>
      <c r="O30">
        <f t="shared" si="14"/>
        <v>2025</v>
      </c>
      <c r="P30">
        <f t="shared" si="14"/>
        <v>2026</v>
      </c>
      <c r="Q30">
        <f t="shared" si="14"/>
        <v>2027</v>
      </c>
      <c r="R30">
        <f t="shared" si="14"/>
        <v>2028</v>
      </c>
      <c r="S30">
        <f t="shared" si="14"/>
        <v>2029</v>
      </c>
      <c r="T30">
        <f t="shared" si="14"/>
        <v>2030</v>
      </c>
    </row>
    <row r="31" spans="1:20" x14ac:dyDescent="0.2">
      <c r="B31" t="s">
        <v>80</v>
      </c>
      <c r="C31" s="12" t="e">
        <f>C16</f>
        <v>#REF!</v>
      </c>
      <c r="D31" s="12" t="e">
        <f t="shared" ref="D31:I31" si="15">D16</f>
        <v>#REF!</v>
      </c>
      <c r="E31" s="12" t="e">
        <f t="shared" si="15"/>
        <v>#REF!</v>
      </c>
      <c r="F31" s="12" t="e">
        <f t="shared" si="15"/>
        <v>#REF!</v>
      </c>
      <c r="G31" s="12" t="e">
        <f t="shared" si="15"/>
        <v>#REF!</v>
      </c>
      <c r="H31" s="12" t="e">
        <f t="shared" si="15"/>
        <v>#REF!</v>
      </c>
      <c r="I31" s="12" t="e">
        <f t="shared" si="15"/>
        <v>#REF!</v>
      </c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 x14ac:dyDescent="0.2">
      <c r="B32" t="s">
        <v>79</v>
      </c>
      <c r="C32" s="12" t="e">
        <f>C28</f>
        <v>#REF!</v>
      </c>
      <c r="D32" s="12" t="e">
        <f t="shared" ref="D32:T32" si="16">D28</f>
        <v>#REF!</v>
      </c>
      <c r="E32" s="12" t="e">
        <f t="shared" si="16"/>
        <v>#REF!</v>
      </c>
      <c r="F32" s="12" t="e">
        <f t="shared" si="16"/>
        <v>#REF!</v>
      </c>
      <c r="G32" s="12" t="e">
        <f t="shared" si="16"/>
        <v>#REF!</v>
      </c>
      <c r="H32" s="12" t="e">
        <f t="shared" si="16"/>
        <v>#REF!</v>
      </c>
      <c r="I32" s="12" t="e">
        <f t="shared" si="16"/>
        <v>#REF!</v>
      </c>
      <c r="J32" s="12" t="e">
        <f t="shared" si="16"/>
        <v>#REF!</v>
      </c>
      <c r="K32" s="12" t="e">
        <f t="shared" si="16"/>
        <v>#REF!</v>
      </c>
      <c r="L32" s="12" t="e">
        <f t="shared" si="16"/>
        <v>#REF!</v>
      </c>
      <c r="M32" s="12" t="e">
        <f t="shared" si="16"/>
        <v>#REF!</v>
      </c>
      <c r="N32" s="12" t="e">
        <f t="shared" si="16"/>
        <v>#REF!</v>
      </c>
      <c r="O32" s="12" t="e">
        <f t="shared" si="16"/>
        <v>#REF!</v>
      </c>
      <c r="P32" s="12" t="e">
        <f t="shared" si="16"/>
        <v>#REF!</v>
      </c>
      <c r="Q32" s="12" t="e">
        <f t="shared" si="16"/>
        <v>#REF!</v>
      </c>
      <c r="R32" s="12" t="e">
        <f t="shared" si="16"/>
        <v>#REF!</v>
      </c>
      <c r="S32" s="12" t="e">
        <f t="shared" si="16"/>
        <v>#REF!</v>
      </c>
      <c r="T32" s="12" t="e">
        <f t="shared" si="16"/>
        <v>#REF!</v>
      </c>
    </row>
    <row r="34" spans="3:9" x14ac:dyDescent="0.2">
      <c r="C34" s="7"/>
      <c r="D34" s="7"/>
      <c r="E34" s="7"/>
      <c r="F34" s="7"/>
      <c r="G34" s="7"/>
      <c r="H34" s="7"/>
      <c r="I34" s="7"/>
    </row>
    <row r="35" spans="3:9" x14ac:dyDescent="0.2">
      <c r="C35" s="5"/>
      <c r="D35" s="5"/>
      <c r="E35" s="5"/>
      <c r="F35" s="5"/>
      <c r="G35" s="5"/>
      <c r="H35" s="5"/>
      <c r="I35" s="5"/>
    </row>
    <row r="38" spans="3:9" x14ac:dyDescent="0.2">
      <c r="C38" s="7"/>
      <c r="D38" s="7"/>
      <c r="E38" s="7"/>
      <c r="F38" s="7"/>
      <c r="G38" s="7"/>
      <c r="H38" s="7"/>
      <c r="I38" s="7"/>
    </row>
    <row r="39" spans="3:9" x14ac:dyDescent="0.2">
      <c r="C39" s="5"/>
      <c r="D39" s="5"/>
      <c r="E39" s="5"/>
      <c r="F39" s="5"/>
      <c r="G39" s="5"/>
      <c r="H39" s="5"/>
      <c r="I39" s="5"/>
    </row>
    <row r="42" spans="3:9" x14ac:dyDescent="0.2">
      <c r="C42" s="7"/>
      <c r="D42" s="7"/>
      <c r="E42" s="7"/>
      <c r="F42" s="7"/>
      <c r="G42" s="7"/>
      <c r="H42" s="7"/>
      <c r="I42" s="7"/>
    </row>
    <row r="43" spans="3:9" x14ac:dyDescent="0.2">
      <c r="C43" s="5"/>
      <c r="D43" s="5"/>
      <c r="E43" s="5"/>
      <c r="F43" s="5"/>
      <c r="G43" s="5"/>
      <c r="H43" s="5"/>
      <c r="I43" s="5"/>
    </row>
  </sheetData>
  <pageMargins left="0.7" right="0.7" top="0.75" bottom="0.75" header="0.3" footer="0.3"/>
  <ignoredErrors>
    <ignoredError sqref="J11:T11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8"/>
  <sheetViews>
    <sheetView zoomScale="93" workbookViewId="0">
      <selection activeCell="C40" sqref="C40"/>
    </sheetView>
  </sheetViews>
  <sheetFormatPr baseColWidth="10" defaultRowHeight="16" x14ac:dyDescent="0.2"/>
  <cols>
    <col min="1" max="1" width="17.33203125" customWidth="1"/>
    <col min="2" max="19" width="11.33203125" bestFit="1" customWidth="1"/>
  </cols>
  <sheetData>
    <row r="1" spans="1:20" x14ac:dyDescent="0.2">
      <c r="A1">
        <v>1</v>
      </c>
    </row>
    <row r="2" spans="1:20" x14ac:dyDescent="0.2">
      <c r="A2" t="e">
        <f>VLOOKUP(INDEX(SecPct!V7:V18,A1),Labels!$A$2:$B$13,2,0)</f>
        <v>#N/A</v>
      </c>
      <c r="B2" t="s">
        <v>92</v>
      </c>
      <c r="C2" t="e">
        <f>B2&amp;": "&amp;A2&amp;" (thousands)"</f>
        <v>#N/A</v>
      </c>
    </row>
    <row r="3" spans="1:20" x14ac:dyDescent="0.2">
      <c r="B3">
        <v>2013</v>
      </c>
      <c r="C3">
        <v>2014</v>
      </c>
      <c r="D3">
        <v>2015</v>
      </c>
      <c r="E3">
        <v>2016</v>
      </c>
      <c r="F3">
        <v>2017</v>
      </c>
      <c r="G3">
        <v>2018</v>
      </c>
      <c r="H3">
        <v>2019</v>
      </c>
      <c r="I3">
        <v>2020</v>
      </c>
      <c r="J3">
        <v>2021</v>
      </c>
      <c r="K3">
        <v>2022</v>
      </c>
      <c r="L3">
        <v>2023</v>
      </c>
      <c r="M3">
        <v>2024</v>
      </c>
      <c r="N3">
        <v>2025</v>
      </c>
      <c r="O3">
        <v>2026</v>
      </c>
      <c r="P3">
        <v>2027</v>
      </c>
      <c r="Q3">
        <v>2028</v>
      </c>
      <c r="R3">
        <v>2029</v>
      </c>
      <c r="S3">
        <v>2030</v>
      </c>
    </row>
    <row r="4" spans="1:20" x14ac:dyDescent="0.2">
      <c r="A4" t="s">
        <v>80</v>
      </c>
      <c r="B4" s="12" t="e">
        <f>INDEX(#REF!,A1)</f>
        <v>#REF!</v>
      </c>
      <c r="C4" s="12" t="e">
        <f>B4*(1+0.01*INDEX(SecPct!X35:X47,$A1))</f>
        <v>#REF!</v>
      </c>
      <c r="D4" s="12" t="e">
        <f>C4*(1+0.01*INDEX(SecPct!Y35:Y46,$A1))</f>
        <v>#REF!</v>
      </c>
      <c r="E4" s="12" t="e">
        <f>D4*(1+0.01*INDEX(SecPct!Z35:Z46,$A1))</f>
        <v>#REF!</v>
      </c>
      <c r="F4" s="12" t="e">
        <f>E4*(1+0.01*INDEX(SecPct!AA35:AA46,$A1))</f>
        <v>#REF!</v>
      </c>
      <c r="G4" s="12" t="e">
        <f>F4*(1+0.01*INDEX(SecPct!AB35:AB46,$A1))</f>
        <v>#REF!</v>
      </c>
      <c r="H4" s="12" t="e">
        <f>G4*(1+0.01*INDEX(SecPct!AC35:AC46,$A1))</f>
        <v>#REF!</v>
      </c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</row>
    <row r="5" spans="1:20" x14ac:dyDescent="0.2">
      <c r="A5" t="s">
        <v>79</v>
      </c>
      <c r="B5" s="12" t="e">
        <f>B4</f>
        <v>#REF!</v>
      </c>
      <c r="C5" s="12" t="e">
        <f>B5*(1+0.01*INDEX(SecPct!X7:X18,$A1))</f>
        <v>#REF!</v>
      </c>
      <c r="D5" s="12" t="e">
        <f>C5*(1+0.01*INDEX(SecPct!Y7:Y18,$A1))</f>
        <v>#REF!</v>
      </c>
      <c r="E5" s="12" t="e">
        <f>D5*(1+0.01*INDEX(SecPct!Z7:Z18,$A1))</f>
        <v>#REF!</v>
      </c>
      <c r="F5" s="12" t="e">
        <f>E5*(1+0.01*INDEX(SecPct!AA7:AA18,$A1))</f>
        <v>#REF!</v>
      </c>
      <c r="G5" s="12" t="e">
        <f>F5*(1+0.01*INDEX(SecPct!AB7:AB18,$A1))</f>
        <v>#REF!</v>
      </c>
      <c r="H5" s="12" t="e">
        <f>G5*(1+0.01*INDEX(SecPct!AC7:AC18,$A1))</f>
        <v>#REF!</v>
      </c>
      <c r="I5" s="12" t="e">
        <f>H5*(1+0.01*INDEX(SecPct!AD7:AD18,$A1))</f>
        <v>#REF!</v>
      </c>
      <c r="J5" s="12" t="e">
        <f>I5*(1+0.01*INDEX(SecPct!AE7:AE18,$A1))</f>
        <v>#REF!</v>
      </c>
      <c r="K5" s="12" t="e">
        <f>J5*(1+0.01*INDEX(SecPct!AF7:AF18,$A1))</f>
        <v>#REF!</v>
      </c>
      <c r="L5" s="12" t="e">
        <f>K5*(1+0.01*INDEX(SecPct!AG7:AG18,$A1))</f>
        <v>#REF!</v>
      </c>
      <c r="M5" s="12" t="e">
        <f>L5*(1+0.01*INDEX(SecPct!AH7:AH18,$A1))</f>
        <v>#REF!</v>
      </c>
      <c r="N5" s="12" t="e">
        <f>M5*(1+0.01*INDEX(SecPct!AI7:AI18,$A1))</f>
        <v>#REF!</v>
      </c>
      <c r="O5" s="12" t="e">
        <f>N5*(1+0.01*INDEX(SecPct!AJ7:AJ18,$A1))</f>
        <v>#REF!</v>
      </c>
      <c r="P5" s="12" t="e">
        <f>O5*(1+0.01*INDEX(SecPct!AK7:AK18,$A1))</f>
        <v>#REF!</v>
      </c>
      <c r="Q5" s="12" t="e">
        <f>P5*(1+0.01*INDEX(SecPct!AL7:AL18,$A1))</f>
        <v>#REF!</v>
      </c>
      <c r="R5" s="12" t="e">
        <f>Q5*(1+0.01*INDEX(SecPct!AM7:AM18,$A1))</f>
        <v>#REF!</v>
      </c>
      <c r="S5" s="12" t="e">
        <f>R5*(1+0.01*INDEX(SecPct!AN7:AN18,$A1))</f>
        <v>#REF!</v>
      </c>
    </row>
    <row r="7" spans="1:20" x14ac:dyDescent="0.2">
      <c r="A7" t="e">
        <f>A2</f>
        <v>#N/A</v>
      </c>
      <c r="B7" t="s">
        <v>97</v>
      </c>
      <c r="C7" t="e">
        <f>B7&amp;": "&amp;A7&amp;" (annual thousands)"</f>
        <v>#N/A</v>
      </c>
    </row>
    <row r="8" spans="1:20" x14ac:dyDescent="0.2">
      <c r="B8">
        <v>2013</v>
      </c>
      <c r="C8">
        <v>2014</v>
      </c>
      <c r="D8">
        <v>2015</v>
      </c>
      <c r="E8">
        <v>2016</v>
      </c>
      <c r="F8">
        <v>2017</v>
      </c>
      <c r="G8">
        <v>2018</v>
      </c>
      <c r="H8">
        <v>2019</v>
      </c>
      <c r="I8">
        <v>2020</v>
      </c>
      <c r="J8">
        <v>2021</v>
      </c>
      <c r="K8">
        <v>2022</v>
      </c>
      <c r="L8">
        <v>2023</v>
      </c>
      <c r="M8">
        <v>2024</v>
      </c>
      <c r="N8">
        <v>2025</v>
      </c>
      <c r="O8">
        <v>2026</v>
      </c>
      <c r="P8">
        <v>2027</v>
      </c>
      <c r="Q8">
        <v>2028</v>
      </c>
      <c r="R8">
        <v>2029</v>
      </c>
      <c r="S8">
        <v>2030</v>
      </c>
    </row>
    <row r="9" spans="1:20" x14ac:dyDescent="0.2">
      <c r="A9" t="s">
        <v>80</v>
      </c>
      <c r="B9" s="15" t="e">
        <f>INDEX(#REF!,A1)</f>
        <v>#REF!</v>
      </c>
      <c r="C9" s="15" t="e">
        <f>B9*(1+0.01*INDEX(SecPct!X48:X60,$A1))</f>
        <v>#REF!</v>
      </c>
      <c r="D9" s="15" t="e">
        <f>C9*(1+0.01*INDEX(SecPct!Y48:Y59,$A1))</f>
        <v>#REF!</v>
      </c>
      <c r="E9" s="15" t="e">
        <f>D9*(1+0.01*INDEX(SecPct!Z48:Z59,$A1))</f>
        <v>#REF!</v>
      </c>
      <c r="F9" s="15" t="e">
        <f>E9*(1+0.01*INDEX(SecPct!AA48:AA59,$A1))</f>
        <v>#REF!</v>
      </c>
      <c r="G9" s="15" t="e">
        <f>F9*(1+0.01*INDEX(SecPct!AB48:AB59,$A1))</f>
        <v>#REF!</v>
      </c>
      <c r="H9" s="15" t="e">
        <f>G9*(1+0.01*INDEX(SecPct!AC48:AC59,$A1))</f>
        <v>#REF!</v>
      </c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 x14ac:dyDescent="0.2">
      <c r="A10" t="s">
        <v>79</v>
      </c>
      <c r="B10" s="15" t="e">
        <f>B9</f>
        <v>#REF!</v>
      </c>
      <c r="C10" s="15" t="e">
        <f>B10*(1+0.01*INDEX(SecPct!X20:X31,$A1))</f>
        <v>#REF!</v>
      </c>
      <c r="D10" s="15" t="e">
        <f>C10*(1+0.01*INDEX(SecPct!Y20:Y31,$A1))</f>
        <v>#REF!</v>
      </c>
      <c r="E10" s="15" t="e">
        <f>D10*(1+0.01*INDEX(SecPct!Z20:Z31,$A1))</f>
        <v>#REF!</v>
      </c>
      <c r="F10" s="15" t="e">
        <f>E10*(1+0.01*INDEX(SecPct!AA20:AA31,$A1))</f>
        <v>#REF!</v>
      </c>
      <c r="G10" s="15" t="e">
        <f>F10*(1+0.01*INDEX(SecPct!AB20:AB31,$A1))</f>
        <v>#REF!</v>
      </c>
      <c r="H10" s="15" t="e">
        <f>G10*(1+0.01*INDEX(SecPct!AC20:AC31,$A1))</f>
        <v>#REF!</v>
      </c>
      <c r="I10" s="15" t="e">
        <f>H10*(1+0.01*INDEX(SecPct!AD20:AD31,$A1))</f>
        <v>#REF!</v>
      </c>
      <c r="J10" s="15" t="e">
        <f>I10*(1+0.01*INDEX(SecPct!AE20:AE31,$A1))</f>
        <v>#REF!</v>
      </c>
      <c r="K10" s="15" t="e">
        <f>J10*(1+0.01*INDEX(SecPct!AF20:AF31,$A1))</f>
        <v>#REF!</v>
      </c>
      <c r="L10" s="15" t="e">
        <f>K10*(1+0.01*INDEX(SecPct!AG20:AG31,$A1))</f>
        <v>#REF!</v>
      </c>
      <c r="M10" s="15" t="e">
        <f>L10*(1+0.01*INDEX(SecPct!AH20:AH31,$A1))</f>
        <v>#REF!</v>
      </c>
      <c r="N10" s="15" t="e">
        <f>M10*(1+0.01*INDEX(SecPct!AI20:AI31,$A1))</f>
        <v>#REF!</v>
      </c>
      <c r="O10" s="15" t="e">
        <f>N10*(1+0.01*INDEX(SecPct!AJ20:AJ31,$A1))</f>
        <v>#REF!</v>
      </c>
      <c r="P10" s="15" t="e">
        <f>O10*(1+0.01*INDEX(SecPct!AK20:AK31,$A1))</f>
        <v>#REF!</v>
      </c>
      <c r="Q10" s="15" t="e">
        <f>P10*(1+0.01*INDEX(SecPct!AL20:AL31,$A1))</f>
        <v>#REF!</v>
      </c>
      <c r="R10" s="15" t="e">
        <f>Q10*(1+0.01*INDEX(SecPct!AM20:AM31,$A1))</f>
        <v>#REF!</v>
      </c>
      <c r="S10" s="15" t="e">
        <f>R10*(1+0.01*INDEX(SecPct!AN20:AN31,$A1))</f>
        <v>#REF!</v>
      </c>
      <c r="T10" s="15"/>
    </row>
    <row r="11" spans="1:20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 x14ac:dyDescent="0.2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 x14ac:dyDescent="0.2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 x14ac:dyDescent="0.2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 x14ac:dyDescent="0.2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20" spans="1:20" x14ac:dyDescent="0.2">
      <c r="A20" t="s">
        <v>96</v>
      </c>
      <c r="B20" t="s">
        <v>92</v>
      </c>
      <c r="C20" t="str">
        <f>B20&amp;": "&amp;A20&amp;" (thousands)"</f>
        <v>Employment: All Sectors (thousands)</v>
      </c>
    </row>
    <row r="21" spans="1:20" x14ac:dyDescent="0.2">
      <c r="B21">
        <v>2013</v>
      </c>
      <c r="C21">
        <v>2014</v>
      </c>
      <c r="D21">
        <v>2015</v>
      </c>
      <c r="E21">
        <v>2016</v>
      </c>
      <c r="F21">
        <v>2017</v>
      </c>
      <c r="G21">
        <v>2018</v>
      </c>
      <c r="H21">
        <v>2019</v>
      </c>
      <c r="I21">
        <v>2020</v>
      </c>
      <c r="J21">
        <v>2021</v>
      </c>
      <c r="K21">
        <v>2022</v>
      </c>
      <c r="L21">
        <v>2023</v>
      </c>
      <c r="M21">
        <v>2024</v>
      </c>
      <c r="N21">
        <v>2025</v>
      </c>
      <c r="O21">
        <v>2026</v>
      </c>
      <c r="P21">
        <v>2027</v>
      </c>
      <c r="Q21">
        <v>2028</v>
      </c>
      <c r="R21">
        <v>2029</v>
      </c>
      <c r="S21">
        <v>2030</v>
      </c>
    </row>
    <row r="22" spans="1:20" x14ac:dyDescent="0.2">
      <c r="A22" t="s">
        <v>80</v>
      </c>
      <c r="B22" s="12">
        <f>SecPct!D47</f>
        <v>0</v>
      </c>
      <c r="C22" s="12" t="e">
        <f>B22*(1+0.01*SecPct!X47)</f>
        <v>#DIV/0!</v>
      </c>
      <c r="D22" s="12" t="e">
        <f>C22*(1+0.01*SecPct!Y47)</f>
        <v>#DIV/0!</v>
      </c>
      <c r="E22" s="12" t="e">
        <f>D22*(1+0.01*SecPct!Z47)</f>
        <v>#DIV/0!</v>
      </c>
      <c r="F22" s="12" t="e">
        <f>E22*(1+0.01*SecPct!AA47)</f>
        <v>#DIV/0!</v>
      </c>
      <c r="G22" s="12" t="e">
        <f>F22*(1+0.01*SecPct!AB47)</f>
        <v>#DIV/0!</v>
      </c>
      <c r="H22" s="12" t="e">
        <f>G22*(1+0.01*SecPct!AC47)</f>
        <v>#DIV/0!</v>
      </c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20" x14ac:dyDescent="0.2">
      <c r="A23" t="s">
        <v>79</v>
      </c>
      <c r="B23" s="12">
        <f>B22</f>
        <v>0</v>
      </c>
      <c r="C23" s="12" t="e">
        <f>B23*(1+0.01*SecPct!X6)</f>
        <v>#VALUE!</v>
      </c>
      <c r="D23" s="12" t="e">
        <f>C23*(1+0.01*SecPct!Y6)</f>
        <v>#VALUE!</v>
      </c>
      <c r="E23" s="12" t="e">
        <f>D23*(1+0.01*SecPct!Z6)</f>
        <v>#VALUE!</v>
      </c>
      <c r="F23" s="12" t="e">
        <f>E23*(1+0.01*SecPct!AA6)</f>
        <v>#VALUE!</v>
      </c>
      <c r="G23" s="12" t="e">
        <f>F23*(1+0.01*SecPct!AB6)</f>
        <v>#VALUE!</v>
      </c>
      <c r="H23" s="12" t="e">
        <f>G23*(1+0.01*SecPct!AC6)</f>
        <v>#VALUE!</v>
      </c>
      <c r="I23" s="12" t="e">
        <f>H23*(1+0.01*SecPct!AD6)</f>
        <v>#VALUE!</v>
      </c>
      <c r="J23" s="12" t="e">
        <f>I23*(1+0.01*SecPct!AE6)</f>
        <v>#VALUE!</v>
      </c>
      <c r="K23" s="12" t="e">
        <f>J23*(1+0.01*SecPct!AF6)</f>
        <v>#VALUE!</v>
      </c>
      <c r="L23" s="12" t="e">
        <f>K23*(1+0.01*SecPct!AG6)</f>
        <v>#VALUE!</v>
      </c>
      <c r="M23" s="12" t="e">
        <f>L23*(1+0.01*SecPct!AH6)</f>
        <v>#VALUE!</v>
      </c>
      <c r="N23" s="12" t="e">
        <f>M23*(1+0.01*SecPct!AI6)</f>
        <v>#VALUE!</v>
      </c>
      <c r="O23" s="12" t="e">
        <f>N23*(1+0.01*SecPct!AJ6)</f>
        <v>#VALUE!</v>
      </c>
      <c r="P23" s="12" t="e">
        <f>O23*(1+0.01*SecPct!AK6)</f>
        <v>#VALUE!</v>
      </c>
      <c r="Q23" s="12" t="e">
        <f>P23*(1+0.01*SecPct!AL6)</f>
        <v>#VALUE!</v>
      </c>
      <c r="R23" s="12" t="e">
        <f>Q23*(1+0.01*SecPct!AM6)</f>
        <v>#VALUE!</v>
      </c>
      <c r="S23" s="12" t="e">
        <f>R23*(1+0.01*SecPct!AN6)</f>
        <v>#VALUE!</v>
      </c>
    </row>
    <row r="25" spans="1:20" x14ac:dyDescent="0.2">
      <c r="A25" t="str">
        <f>A20</f>
        <v>All Sectors</v>
      </c>
      <c r="B25" t="s">
        <v>97</v>
      </c>
      <c r="C25" t="str">
        <f>B25&amp;": "&amp;A25&amp;" (annual thousands)"</f>
        <v>Average Wage: All Sectors (annual thousands)</v>
      </c>
    </row>
    <row r="26" spans="1:20" x14ac:dyDescent="0.2">
      <c r="B26">
        <v>2013</v>
      </c>
      <c r="C26">
        <v>2014</v>
      </c>
      <c r="D26">
        <v>2015</v>
      </c>
      <c r="E26">
        <v>2016</v>
      </c>
      <c r="F26">
        <v>2017</v>
      </c>
      <c r="G26">
        <v>2018</v>
      </c>
      <c r="H26">
        <v>2019</v>
      </c>
      <c r="I26">
        <v>2020</v>
      </c>
      <c r="J26">
        <v>2021</v>
      </c>
      <c r="K26">
        <v>2022</v>
      </c>
      <c r="L26">
        <v>2023</v>
      </c>
      <c r="M26">
        <v>2024</v>
      </c>
      <c r="N26">
        <v>2025</v>
      </c>
      <c r="O26">
        <v>2026</v>
      </c>
      <c r="P26">
        <v>2027</v>
      </c>
      <c r="Q26">
        <v>2028</v>
      </c>
      <c r="R26">
        <v>2029</v>
      </c>
      <c r="S26">
        <v>2030</v>
      </c>
    </row>
    <row r="27" spans="1:20" x14ac:dyDescent="0.2">
      <c r="A27" t="s">
        <v>80</v>
      </c>
      <c r="B27" s="15">
        <f>SecPct!C60</f>
        <v>0</v>
      </c>
      <c r="C27" s="15" t="e">
        <f>B27*(1+0.01*SecPct!X60)</f>
        <v>#DIV/0!</v>
      </c>
      <c r="D27" s="15" t="e">
        <f>C27*(1+0.01*SecPct!Y60)</f>
        <v>#DIV/0!</v>
      </c>
      <c r="E27" s="15" t="e">
        <f>D27*(1+0.01*SecPct!Z60)</f>
        <v>#DIV/0!</v>
      </c>
      <c r="F27" s="15" t="e">
        <f>E27*(1+0.01*SecPct!AA60)</f>
        <v>#DIV/0!</v>
      </c>
      <c r="G27" s="15" t="e">
        <f>F27*(1+0.01*SecPct!AB60)</f>
        <v>#DIV/0!</v>
      </c>
      <c r="H27" s="15" t="e">
        <f>G27*(1+0.01*SecPct!AC60)</f>
        <v>#DIV/0!</v>
      </c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x14ac:dyDescent="0.2">
      <c r="A28" t="s">
        <v>79</v>
      </c>
      <c r="B28" s="15">
        <f>B27</f>
        <v>0</v>
      </c>
      <c r="C28" s="15" t="e">
        <f>B28*(1+0.01*SecPct!X19)</f>
        <v>#DIV/0!</v>
      </c>
      <c r="D28" s="15" t="e">
        <f>C28*(1+0.01*SecPct!Y19)</f>
        <v>#DIV/0!</v>
      </c>
      <c r="E28" s="15" t="e">
        <f>D28*(1+0.01*SecPct!Z19)</f>
        <v>#DIV/0!</v>
      </c>
      <c r="F28" s="15" t="e">
        <f>E28*(1+0.01*SecPct!AA19)</f>
        <v>#DIV/0!</v>
      </c>
      <c r="G28" s="15" t="e">
        <f>F28*(1+0.01*SecPct!AB19)</f>
        <v>#DIV/0!</v>
      </c>
      <c r="H28" s="15" t="e">
        <f>G28*(1+0.01*SecPct!AC19)</f>
        <v>#DIV/0!</v>
      </c>
      <c r="I28" s="15" t="e">
        <f>H28*(1+0.01*SecPct!AD19)</f>
        <v>#DIV/0!</v>
      </c>
      <c r="J28" s="15" t="e">
        <f>I28*(1+0.01*SecPct!AE19)</f>
        <v>#DIV/0!</v>
      </c>
      <c r="K28" s="15" t="e">
        <f>J28*(1+0.01*SecPct!AF19)</f>
        <v>#DIV/0!</v>
      </c>
      <c r="L28" s="15" t="e">
        <f>K28*(1+0.01*SecPct!AG19)</f>
        <v>#DIV/0!</v>
      </c>
      <c r="M28" s="15" t="e">
        <f>L28*(1+0.01*SecPct!AH19)</f>
        <v>#DIV/0!</v>
      </c>
      <c r="N28" s="15" t="e">
        <f>M28*(1+0.01*SecPct!AI19)</f>
        <v>#DIV/0!</v>
      </c>
      <c r="O28" s="15" t="e">
        <f>N28*(1+0.01*SecPct!AJ19)</f>
        <v>#DIV/0!</v>
      </c>
      <c r="P28" s="15" t="e">
        <f>O28*(1+0.01*SecPct!AK19)</f>
        <v>#DIV/0!</v>
      </c>
      <c r="Q28" s="15" t="e">
        <f>P28*(1+0.01*SecPct!AL19)</f>
        <v>#DIV/0!</v>
      </c>
      <c r="R28" s="15" t="e">
        <f>Q28*(1+0.01*SecPct!AM19)</f>
        <v>#DIV/0!</v>
      </c>
      <c r="S28" s="15" t="e">
        <f>R28*(1+0.01*SecPct!AN19)</f>
        <v>#DIV/0!</v>
      </c>
      <c r="T28" s="15"/>
    </row>
    <row r="29" spans="1:20" x14ac:dyDescent="0.2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 x14ac:dyDescent="0.2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6" spans="1:20" x14ac:dyDescent="0.2">
      <c r="A36" t="str">
        <f>SecPct!V27</f>
        <v>PrecInst</v>
      </c>
      <c r="B36" t="s">
        <v>92</v>
      </c>
      <c r="C36" t="str">
        <f>B36&amp;": "&amp;A36&amp;" (thousands)"</f>
        <v>Employment: PrecInst (thousands)</v>
      </c>
    </row>
    <row r="37" spans="1:20" x14ac:dyDescent="0.2">
      <c r="B37">
        <v>2013</v>
      </c>
      <c r="C37">
        <v>2014</v>
      </c>
      <c r="D37">
        <v>2015</v>
      </c>
      <c r="E37">
        <v>2016</v>
      </c>
      <c r="F37">
        <v>2017</v>
      </c>
      <c r="G37">
        <v>2018</v>
      </c>
      <c r="H37">
        <v>2019</v>
      </c>
      <c r="I37">
        <v>2020</v>
      </c>
      <c r="J37">
        <v>2021</v>
      </c>
      <c r="K37">
        <v>2022</v>
      </c>
      <c r="L37">
        <v>2023</v>
      </c>
      <c r="M37">
        <v>2024</v>
      </c>
      <c r="N37">
        <v>2025</v>
      </c>
      <c r="O37">
        <v>2026</v>
      </c>
      <c r="P37">
        <v>2027</v>
      </c>
      <c r="Q37">
        <v>2028</v>
      </c>
      <c r="R37">
        <v>2029</v>
      </c>
      <c r="S37">
        <v>2030</v>
      </c>
    </row>
    <row r="38" spans="1:20" x14ac:dyDescent="0.2">
      <c r="A38" t="s">
        <v>80</v>
      </c>
      <c r="B38" s="12" t="e">
        <f>#REF!</f>
        <v>#REF!</v>
      </c>
      <c r="C38" s="12" t="e">
        <f>B38*(1+0.01*SecPct!X55)</f>
        <v>#REF!</v>
      </c>
      <c r="D38" s="12" t="e">
        <f>C38*(1+0.01*SecPct!Y55)</f>
        <v>#REF!</v>
      </c>
      <c r="E38" s="12" t="e">
        <f>D38*(1+0.01*SecPct!Z55)</f>
        <v>#REF!</v>
      </c>
      <c r="F38" s="12" t="e">
        <f>E38*(1+0.01*SecPct!AA55)</f>
        <v>#REF!</v>
      </c>
      <c r="G38" s="12" t="e">
        <f>F38*(1+0.01*SecPct!AB55)</f>
        <v>#REF!</v>
      </c>
      <c r="H38" s="12" t="e">
        <f>G38*(1+0.01*SecPct!AC55)</f>
        <v>#REF!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20" x14ac:dyDescent="0.2">
      <c r="A39" t="s">
        <v>79</v>
      </c>
      <c r="B39" s="12" t="e">
        <f>#REF!</f>
        <v>#REF!</v>
      </c>
      <c r="C39" s="12" t="e">
        <f>B39*(1+0.01*SecPct!X27)</f>
        <v>#REF!</v>
      </c>
      <c r="D39" s="12" t="e">
        <f>C39*(1+0.01*SecPct!Y27)</f>
        <v>#REF!</v>
      </c>
      <c r="E39" s="12" t="e">
        <f>D39*(1+0.01*SecPct!Z27)</f>
        <v>#REF!</v>
      </c>
      <c r="F39" s="12" t="e">
        <f>E39*(1+0.01*SecPct!AA27)</f>
        <v>#REF!</v>
      </c>
      <c r="G39" s="12" t="e">
        <f>F39*(1+0.01*SecPct!AB27)</f>
        <v>#REF!</v>
      </c>
      <c r="H39" s="12" t="e">
        <f>G39*(1+0.01*SecPct!AC27)</f>
        <v>#REF!</v>
      </c>
      <c r="I39" s="12" t="e">
        <f>H39*(1+0.01*SecPct!AD27)</f>
        <v>#REF!</v>
      </c>
      <c r="J39" s="12" t="e">
        <f>I39*(1+0.01*SecPct!AE27)</f>
        <v>#REF!</v>
      </c>
      <c r="K39" s="12" t="e">
        <f>J39*(1+0.01*SecPct!AF27)</f>
        <v>#REF!</v>
      </c>
      <c r="L39" s="12" t="e">
        <f>K39*(1+0.01*SecPct!AG27)</f>
        <v>#REF!</v>
      </c>
      <c r="M39" s="12" t="e">
        <f>L39*(1+0.01*SecPct!AH27)</f>
        <v>#REF!</v>
      </c>
      <c r="N39" s="12" t="e">
        <f>M39*(1+0.01*SecPct!AI27)</f>
        <v>#REF!</v>
      </c>
      <c r="O39" s="12" t="e">
        <f>N39*(1+0.01*SecPct!AJ27)</f>
        <v>#REF!</v>
      </c>
      <c r="P39" s="12" t="e">
        <f>O39*(1+0.01*SecPct!AK27)</f>
        <v>#REF!</v>
      </c>
      <c r="Q39" s="12" t="e">
        <f>P39*(1+0.01*SecPct!AL27)</f>
        <v>#REF!</v>
      </c>
      <c r="R39" s="12" t="e">
        <f>Q39*(1+0.01*SecPct!AM27)</f>
        <v>#REF!</v>
      </c>
      <c r="S39" s="12" t="e">
        <f>R39*(1+0.01*SecPct!AN27)</f>
        <v>#REF!</v>
      </c>
    </row>
    <row r="41" spans="1:20" x14ac:dyDescent="0.2">
      <c r="A41">
        <f>SecPct!V32</f>
        <v>0</v>
      </c>
      <c r="B41" t="s">
        <v>97</v>
      </c>
      <c r="C41" t="str">
        <f>B41&amp;": "&amp;A41&amp;" (annual)"</f>
        <v>Average Wage: 0 (annual)</v>
      </c>
    </row>
    <row r="42" spans="1:20" x14ac:dyDescent="0.2">
      <c r="B42">
        <v>2013</v>
      </c>
      <c r="C42">
        <v>2014</v>
      </c>
      <c r="D42">
        <v>2015</v>
      </c>
      <c r="E42">
        <v>2016</v>
      </c>
      <c r="F42">
        <v>2017</v>
      </c>
      <c r="G42">
        <v>2018</v>
      </c>
      <c r="H42">
        <v>2019</v>
      </c>
      <c r="I42">
        <v>2020</v>
      </c>
      <c r="J42">
        <v>2021</v>
      </c>
      <c r="K42">
        <v>2022</v>
      </c>
      <c r="L42">
        <v>2023</v>
      </c>
      <c r="M42">
        <v>2024</v>
      </c>
      <c r="N42">
        <v>2025</v>
      </c>
      <c r="O42">
        <v>2026</v>
      </c>
      <c r="P42">
        <v>2027</v>
      </c>
      <c r="Q42">
        <v>2028</v>
      </c>
      <c r="R42">
        <v>2029</v>
      </c>
      <c r="S42">
        <v>2030</v>
      </c>
    </row>
    <row r="43" spans="1:20" x14ac:dyDescent="0.2">
      <c r="A43" t="s">
        <v>80</v>
      </c>
      <c r="B43" s="15" t="e">
        <f>#REF!</f>
        <v>#REF!</v>
      </c>
      <c r="C43" s="15" t="e">
        <f>B43*(1+0.01*SecPct!X68)</f>
        <v>#REF!</v>
      </c>
      <c r="D43" s="15" t="e">
        <f>C43*(1+0.01*SecPct!Y68)</f>
        <v>#REF!</v>
      </c>
      <c r="E43" s="15" t="e">
        <f>D43*(1+0.01*SecPct!Z68)</f>
        <v>#REF!</v>
      </c>
      <c r="F43" s="15" t="e">
        <f>E43*(1+0.01*SecPct!AA68)</f>
        <v>#REF!</v>
      </c>
      <c r="G43" s="15" t="e">
        <f>F43*(1+0.01*SecPct!AB68)</f>
        <v>#REF!</v>
      </c>
      <c r="H43" s="15" t="e">
        <f>G43*(1+0.01*SecPct!AC68)</f>
        <v>#REF!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</row>
    <row r="44" spans="1:20" x14ac:dyDescent="0.2">
      <c r="A44" t="s">
        <v>79</v>
      </c>
      <c r="B44" s="15" t="e">
        <f>B43</f>
        <v>#REF!</v>
      </c>
      <c r="C44" s="15" t="e">
        <f>B44*(1+0.01*SecPct!X40)</f>
        <v>#REF!</v>
      </c>
      <c r="D44" s="15" t="e">
        <f>C44*(1+0.01*SecPct!Y40)</f>
        <v>#REF!</v>
      </c>
      <c r="E44" s="15" t="e">
        <f>D44*(1+0.01*SecPct!Z40)</f>
        <v>#REF!</v>
      </c>
      <c r="F44" s="15" t="e">
        <f>E44*(1+0.01*SecPct!AA40)</f>
        <v>#REF!</v>
      </c>
      <c r="G44" s="15" t="e">
        <f>F44*(1+0.01*SecPct!AB40)</f>
        <v>#REF!</v>
      </c>
      <c r="H44" s="15" t="e">
        <f>G44*(1+0.01*SecPct!AC40)</f>
        <v>#REF!</v>
      </c>
      <c r="I44" s="15" t="e">
        <f>H44*(1+0.01*SecPct!AD40)</f>
        <v>#REF!</v>
      </c>
      <c r="J44" s="15" t="e">
        <f>I44*(1+0.01*SecPct!AE40)</f>
        <v>#REF!</v>
      </c>
      <c r="K44" s="15" t="e">
        <f>J44*(1+0.01*SecPct!AF40)</f>
        <v>#REF!</v>
      </c>
      <c r="L44" s="15" t="e">
        <f>K44*(1+0.01*SecPct!AG40)</f>
        <v>#REF!</v>
      </c>
      <c r="M44" s="15" t="e">
        <f>L44*(1+0.01*SecPct!AH40)</f>
        <v>#REF!</v>
      </c>
      <c r="N44" s="15" t="e">
        <f>M44*(1+0.01*SecPct!AI40)</f>
        <v>#REF!</v>
      </c>
      <c r="O44" s="15" t="e">
        <f>N44*(1+0.01*SecPct!AJ40)</f>
        <v>#REF!</v>
      </c>
      <c r="P44" s="15" t="e">
        <f>O44*(1+0.01*SecPct!AK40)</f>
        <v>#REF!</v>
      </c>
      <c r="Q44" s="15" t="e">
        <f>P44*(1+0.01*SecPct!AL40)</f>
        <v>#REF!</v>
      </c>
      <c r="R44" s="15" t="e">
        <f>Q44*(1+0.01*SecPct!AM40)</f>
        <v>#REF!</v>
      </c>
      <c r="S44" s="15" t="e">
        <f>R44*(1+0.01*SecPct!AN40)</f>
        <v>#REF!</v>
      </c>
      <c r="T44" s="15"/>
    </row>
    <row r="50" spans="1:20" x14ac:dyDescent="0.2">
      <c r="A50" t="str">
        <f>SecPct!V37</f>
        <v>HotRest</v>
      </c>
      <c r="B50" t="s">
        <v>92</v>
      </c>
      <c r="C50" t="str">
        <f>B50&amp;": "&amp;A50&amp;" (thousands)"</f>
        <v>Employment: HotRest (thousands)</v>
      </c>
    </row>
    <row r="51" spans="1:20" x14ac:dyDescent="0.2">
      <c r="B51">
        <v>2013</v>
      </c>
      <c r="C51">
        <v>2014</v>
      </c>
      <c r="D51">
        <v>2015</v>
      </c>
      <c r="E51">
        <v>2016</v>
      </c>
      <c r="F51">
        <v>2017</v>
      </c>
      <c r="G51">
        <v>2018</v>
      </c>
      <c r="H51">
        <v>2019</v>
      </c>
      <c r="I51">
        <v>2020</v>
      </c>
      <c r="J51">
        <v>2021</v>
      </c>
      <c r="K51">
        <v>2022</v>
      </c>
      <c r="L51">
        <v>2023</v>
      </c>
      <c r="M51">
        <v>2024</v>
      </c>
      <c r="N51">
        <v>2025</v>
      </c>
      <c r="O51">
        <v>2026</v>
      </c>
      <c r="P51">
        <v>2027</v>
      </c>
      <c r="Q51">
        <v>2028</v>
      </c>
      <c r="R51">
        <v>2029</v>
      </c>
      <c r="S51">
        <v>2030</v>
      </c>
    </row>
    <row r="52" spans="1:20" x14ac:dyDescent="0.2">
      <c r="A52" t="s">
        <v>80</v>
      </c>
      <c r="B52" s="12" t="e">
        <f>#REF!</f>
        <v>#REF!</v>
      </c>
      <c r="C52" s="12" t="e">
        <f>B52*(1+0.01*SecPct!X65)</f>
        <v>#REF!</v>
      </c>
      <c r="D52" s="12" t="e">
        <f>C52*(1+0.01*SecPct!Y65)</f>
        <v>#REF!</v>
      </c>
      <c r="E52" s="12" t="e">
        <f>D52*(1+0.01*SecPct!Z65)</f>
        <v>#REF!</v>
      </c>
      <c r="F52" s="12" t="e">
        <f>E52*(1+0.01*SecPct!AA65)</f>
        <v>#REF!</v>
      </c>
      <c r="G52" s="12" t="e">
        <f>F52*(1+0.01*SecPct!AB65)</f>
        <v>#REF!</v>
      </c>
      <c r="H52" s="12" t="e">
        <f>G52*(1+0.01*SecPct!AC65)</f>
        <v>#REF!</v>
      </c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20" x14ac:dyDescent="0.2">
      <c r="A53" t="s">
        <v>79</v>
      </c>
      <c r="B53" s="12" t="e">
        <f>#REF!</f>
        <v>#REF!</v>
      </c>
      <c r="C53" s="12" t="e">
        <f>B53*(1+0.01*SecPct!X37)</f>
        <v>#REF!</v>
      </c>
      <c r="D53" s="12" t="e">
        <f>C53*(1+0.01*SecPct!Y37)</f>
        <v>#REF!</v>
      </c>
      <c r="E53" s="12" t="e">
        <f>D53*(1+0.01*SecPct!Z37)</f>
        <v>#REF!</v>
      </c>
      <c r="F53" s="12" t="e">
        <f>E53*(1+0.01*SecPct!AA37)</f>
        <v>#REF!</v>
      </c>
      <c r="G53" s="12" t="e">
        <f>F53*(1+0.01*SecPct!AB37)</f>
        <v>#REF!</v>
      </c>
      <c r="H53" s="12" t="e">
        <f>G53*(1+0.01*SecPct!AC37)</f>
        <v>#REF!</v>
      </c>
      <c r="I53" s="12" t="e">
        <f>H53*(1+0.01*SecPct!AD37)</f>
        <v>#REF!</v>
      </c>
      <c r="J53" s="12" t="e">
        <f>I53*(1+0.01*SecPct!AE37)</f>
        <v>#REF!</v>
      </c>
      <c r="K53" s="12" t="e">
        <f>J53*(1+0.01*SecPct!AF37)</f>
        <v>#REF!</v>
      </c>
      <c r="L53" s="12" t="e">
        <f>K53*(1+0.01*SecPct!AG37)</f>
        <v>#REF!</v>
      </c>
      <c r="M53" s="12" t="e">
        <f>L53*(1+0.01*SecPct!AH37)</f>
        <v>#REF!</v>
      </c>
      <c r="N53" s="12" t="e">
        <f>M53*(1+0.01*SecPct!AI37)</f>
        <v>#REF!</v>
      </c>
      <c r="O53" s="12" t="e">
        <f>N53*(1+0.01*SecPct!AJ37)</f>
        <v>#REF!</v>
      </c>
      <c r="P53" s="12" t="e">
        <f>O53*(1+0.01*SecPct!AK37)</f>
        <v>#REF!</v>
      </c>
      <c r="Q53" s="12" t="e">
        <f>P53*(1+0.01*SecPct!AL37)</f>
        <v>#REF!</v>
      </c>
      <c r="R53" s="12" t="e">
        <f>Q53*(1+0.01*SecPct!AM37)</f>
        <v>#REF!</v>
      </c>
      <c r="S53" s="12" t="e">
        <f>R53*(1+0.01*SecPct!AN37)</f>
        <v>#REF!</v>
      </c>
    </row>
    <row r="55" spans="1:20" x14ac:dyDescent="0.2">
      <c r="A55" t="str">
        <f>SecPct!V42</f>
        <v>ResTech</v>
      </c>
      <c r="B55" t="s">
        <v>97</v>
      </c>
      <c r="C55" t="str">
        <f>B55&amp;": "&amp;A55&amp;" (annual)"</f>
        <v>Average Wage: ResTech (annual)</v>
      </c>
    </row>
    <row r="56" spans="1:20" x14ac:dyDescent="0.2">
      <c r="B56">
        <v>2013</v>
      </c>
      <c r="C56">
        <v>2014</v>
      </c>
      <c r="D56">
        <v>2015</v>
      </c>
      <c r="E56">
        <v>2016</v>
      </c>
      <c r="F56">
        <v>2017</v>
      </c>
      <c r="G56">
        <v>2018</v>
      </c>
      <c r="H56">
        <v>2019</v>
      </c>
      <c r="I56">
        <v>2020</v>
      </c>
      <c r="J56">
        <v>2021</v>
      </c>
      <c r="K56">
        <v>2022</v>
      </c>
      <c r="L56">
        <v>2023</v>
      </c>
      <c r="M56">
        <v>2024</v>
      </c>
      <c r="N56">
        <v>2025</v>
      </c>
      <c r="O56">
        <v>2026</v>
      </c>
      <c r="P56">
        <v>2027</v>
      </c>
      <c r="Q56">
        <v>2028</v>
      </c>
      <c r="R56">
        <v>2029</v>
      </c>
      <c r="S56">
        <v>2030</v>
      </c>
    </row>
    <row r="57" spans="1:20" x14ac:dyDescent="0.2">
      <c r="A57" t="s">
        <v>80</v>
      </c>
      <c r="B57" s="15" t="e">
        <f>#REF!</f>
        <v>#REF!</v>
      </c>
      <c r="C57" s="15" t="e">
        <f>B57*(1+0.01*SecPct!X78)</f>
        <v>#REF!</v>
      </c>
      <c r="D57" s="15" t="e">
        <f>C57*(1+0.01*SecPct!Y78)</f>
        <v>#REF!</v>
      </c>
      <c r="E57" s="15" t="e">
        <f>D57*(1+0.01*SecPct!Z78)</f>
        <v>#REF!</v>
      </c>
      <c r="F57" s="15" t="e">
        <f>E57*(1+0.01*SecPct!AA78)</f>
        <v>#REF!</v>
      </c>
      <c r="G57" s="15" t="e">
        <f>F57*(1+0.01*SecPct!AB78)</f>
        <v>#REF!</v>
      </c>
      <c r="H57" s="15" t="e">
        <f>G57*(1+0.01*SecPct!AC78)</f>
        <v>#REF!</v>
      </c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</row>
    <row r="58" spans="1:20" x14ac:dyDescent="0.2">
      <c r="A58" t="s">
        <v>79</v>
      </c>
      <c r="B58" s="15" t="e">
        <f>B57</f>
        <v>#REF!</v>
      </c>
      <c r="C58" s="15" t="e">
        <f>B58*(1+0.01*SecPct!X50)</f>
        <v>#REF!</v>
      </c>
      <c r="D58" s="15" t="e">
        <f>C58*(1+0.01*SecPct!Y50)</f>
        <v>#REF!</v>
      </c>
      <c r="E58" s="15" t="e">
        <f>D58*(1+0.01*SecPct!Z50)</f>
        <v>#REF!</v>
      </c>
      <c r="F58" s="15" t="e">
        <f>E58*(1+0.01*SecPct!AA50)</f>
        <v>#REF!</v>
      </c>
      <c r="G58" s="15" t="e">
        <f>F58*(1+0.01*SecPct!AB50)</f>
        <v>#REF!</v>
      </c>
      <c r="H58" s="15" t="e">
        <f>G58*(1+0.01*SecPct!AC50)</f>
        <v>#REF!</v>
      </c>
      <c r="I58" s="15" t="e">
        <f>H58*(1+0.01*SecPct!AD50)</f>
        <v>#REF!</v>
      </c>
      <c r="J58" s="15" t="e">
        <f>I58*(1+0.01*SecPct!AE50)</f>
        <v>#REF!</v>
      </c>
      <c r="K58" s="15" t="e">
        <f>J58*(1+0.01*SecPct!AF50)</f>
        <v>#REF!</v>
      </c>
      <c r="L58" s="15" t="e">
        <f>K58*(1+0.01*SecPct!AG50)</f>
        <v>#REF!</v>
      </c>
      <c r="M58" s="15" t="e">
        <f>L58*(1+0.01*SecPct!AH50)</f>
        <v>#REF!</v>
      </c>
      <c r="N58" s="15" t="e">
        <f>M58*(1+0.01*SecPct!AI50)</f>
        <v>#REF!</v>
      </c>
      <c r="O58" s="15" t="e">
        <f>N58*(1+0.01*SecPct!AJ50)</f>
        <v>#REF!</v>
      </c>
      <c r="P58" s="15" t="e">
        <f>O58*(1+0.01*SecPct!AK50)</f>
        <v>#REF!</v>
      </c>
      <c r="Q58" s="15" t="e">
        <f>P58*(1+0.01*SecPct!AL50)</f>
        <v>#REF!</v>
      </c>
      <c r="R58" s="15" t="e">
        <f>Q58*(1+0.01*SecPct!AM50)</f>
        <v>#REF!</v>
      </c>
      <c r="S58" s="15" t="e">
        <f>R58*(1+0.01*SecPct!AN50)</f>
        <v>#REF!</v>
      </c>
      <c r="T58" s="15"/>
    </row>
    <row r="60" spans="1:20" x14ac:dyDescent="0.2">
      <c r="A60" t="str">
        <f>SecPct!V47</f>
        <v>RecEnt</v>
      </c>
      <c r="B60" t="s">
        <v>92</v>
      </c>
      <c r="C60" t="str">
        <f>B60&amp;": "&amp;A60&amp;" (thousands)"</f>
        <v>Employment: RecEnt (thousands)</v>
      </c>
    </row>
    <row r="61" spans="1:20" x14ac:dyDescent="0.2">
      <c r="B61">
        <v>2013</v>
      </c>
      <c r="C61">
        <v>2014</v>
      </c>
      <c r="D61">
        <v>2015</v>
      </c>
      <c r="E61">
        <v>2016</v>
      </c>
      <c r="F61">
        <v>2017</v>
      </c>
      <c r="G61">
        <v>2018</v>
      </c>
      <c r="H61">
        <v>2019</v>
      </c>
      <c r="I61">
        <v>2020</v>
      </c>
      <c r="J61">
        <v>2021</v>
      </c>
      <c r="K61">
        <v>2022</v>
      </c>
      <c r="L61">
        <v>2023</v>
      </c>
      <c r="M61">
        <v>2024</v>
      </c>
      <c r="N61">
        <v>2025</v>
      </c>
      <c r="O61">
        <v>2026</v>
      </c>
      <c r="P61">
        <v>2027</v>
      </c>
      <c r="Q61">
        <v>2028</v>
      </c>
      <c r="R61">
        <v>2029</v>
      </c>
      <c r="S61">
        <v>2030</v>
      </c>
    </row>
    <row r="62" spans="1:20" x14ac:dyDescent="0.2">
      <c r="A62" t="s">
        <v>80</v>
      </c>
      <c r="B62" s="12" t="e">
        <f>#REF!</f>
        <v>#REF!</v>
      </c>
      <c r="C62" s="12" t="e">
        <f>B62*(1+0.01*SecPct!X75)</f>
        <v>#REF!</v>
      </c>
      <c r="D62" s="12" t="e">
        <f>C62*(1+0.01*SecPct!Y75)</f>
        <v>#REF!</v>
      </c>
      <c r="E62" s="12" t="e">
        <f>D62*(1+0.01*SecPct!Z75)</f>
        <v>#REF!</v>
      </c>
      <c r="F62" s="12" t="e">
        <f>E62*(1+0.01*SecPct!AA75)</f>
        <v>#REF!</v>
      </c>
      <c r="G62" s="12" t="e">
        <f>F62*(1+0.01*SecPct!AB75)</f>
        <v>#REF!</v>
      </c>
      <c r="H62" s="12" t="e">
        <f>G62*(1+0.01*SecPct!AC75)</f>
        <v>#REF!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20" x14ac:dyDescent="0.2">
      <c r="A63" t="s">
        <v>79</v>
      </c>
      <c r="B63" s="12" t="e">
        <f>#REF!</f>
        <v>#REF!</v>
      </c>
      <c r="C63" s="12" t="e">
        <f>B63*(1+0.01*SecPct!X47)</f>
        <v>#REF!</v>
      </c>
      <c r="D63" s="12" t="e">
        <f>C63*(1+0.01*SecPct!Y47)</f>
        <v>#REF!</v>
      </c>
      <c r="E63" s="12" t="e">
        <f>D63*(1+0.01*SecPct!Z47)</f>
        <v>#REF!</v>
      </c>
      <c r="F63" s="12" t="e">
        <f>E63*(1+0.01*SecPct!AA47)</f>
        <v>#REF!</v>
      </c>
      <c r="G63" s="12" t="e">
        <f>F63*(1+0.01*SecPct!AB47)</f>
        <v>#REF!</v>
      </c>
      <c r="H63" s="12" t="e">
        <f>G63*(1+0.01*SecPct!AC47)</f>
        <v>#REF!</v>
      </c>
      <c r="I63" s="12" t="e">
        <f>H63*(1+0.01*SecPct!AD47)</f>
        <v>#REF!</v>
      </c>
      <c r="J63" s="12" t="e">
        <f>I63*(1+0.01*SecPct!AE47)</f>
        <v>#REF!</v>
      </c>
      <c r="K63" s="12" t="e">
        <f>J63*(1+0.01*SecPct!AF47)</f>
        <v>#REF!</v>
      </c>
      <c r="L63" s="12" t="e">
        <f>K63*(1+0.01*SecPct!AG47)</f>
        <v>#REF!</v>
      </c>
      <c r="M63" s="12" t="e">
        <f>L63*(1+0.01*SecPct!AH47)</f>
        <v>#REF!</v>
      </c>
      <c r="N63" s="12" t="e">
        <f>M63*(1+0.01*SecPct!AI47)</f>
        <v>#REF!</v>
      </c>
      <c r="O63" s="12" t="e">
        <f>N63*(1+0.01*SecPct!AJ47)</f>
        <v>#REF!</v>
      </c>
      <c r="P63" s="12" t="e">
        <f>O63*(1+0.01*SecPct!AK47)</f>
        <v>#REF!</v>
      </c>
      <c r="Q63" s="12" t="e">
        <f>P63*(1+0.01*SecPct!AL47)</f>
        <v>#REF!</v>
      </c>
      <c r="R63" s="12" t="e">
        <f>Q63*(1+0.01*SecPct!AM47)</f>
        <v>#REF!</v>
      </c>
      <c r="S63" s="12" t="e">
        <f>R63*(1+0.01*SecPct!AN47)</f>
        <v>#REF!</v>
      </c>
    </row>
    <row r="65" spans="1:20" x14ac:dyDescent="0.2">
      <c r="A65">
        <f>SecPct!V52</f>
        <v>0</v>
      </c>
      <c r="B65" t="s">
        <v>97</v>
      </c>
      <c r="C65" t="str">
        <f>B65&amp;": "&amp;A65&amp;" (annual)"</f>
        <v>Average Wage: 0 (annual)</v>
      </c>
    </row>
    <row r="66" spans="1:20" x14ac:dyDescent="0.2">
      <c r="B66">
        <v>2013</v>
      </c>
      <c r="C66">
        <v>2014</v>
      </c>
      <c r="D66">
        <v>2015</v>
      </c>
      <c r="E66">
        <v>2016</v>
      </c>
      <c r="F66">
        <v>2017</v>
      </c>
      <c r="G66">
        <v>2018</v>
      </c>
      <c r="H66">
        <v>2019</v>
      </c>
      <c r="I66">
        <v>2020</v>
      </c>
      <c r="J66">
        <v>2021</v>
      </c>
      <c r="K66">
        <v>2022</v>
      </c>
      <c r="L66">
        <v>2023</v>
      </c>
      <c r="M66">
        <v>2024</v>
      </c>
      <c r="N66">
        <v>2025</v>
      </c>
      <c r="O66">
        <v>2026</v>
      </c>
      <c r="P66">
        <v>2027</v>
      </c>
      <c r="Q66">
        <v>2028</v>
      </c>
      <c r="R66">
        <v>2029</v>
      </c>
      <c r="S66">
        <v>2030</v>
      </c>
    </row>
    <row r="67" spans="1:20" x14ac:dyDescent="0.2">
      <c r="A67" t="s">
        <v>80</v>
      </c>
      <c r="B67" s="15" t="e">
        <f>#REF!</f>
        <v>#REF!</v>
      </c>
      <c r="C67" s="15" t="e">
        <f>B67*(1+0.01*SecPct!X88)</f>
        <v>#REF!</v>
      </c>
      <c r="D67" s="15" t="e">
        <f>C67*(1+0.01*SecPct!Y88)</f>
        <v>#REF!</v>
      </c>
      <c r="E67" s="15" t="e">
        <f>D67*(1+0.01*SecPct!Z88)</f>
        <v>#REF!</v>
      </c>
      <c r="F67" s="15" t="e">
        <f>E67*(1+0.01*SecPct!AA88)</f>
        <v>#REF!</v>
      </c>
      <c r="G67" s="15" t="e">
        <f>F67*(1+0.01*SecPct!AB88)</f>
        <v>#REF!</v>
      </c>
      <c r="H67" s="15" t="e">
        <f>G67*(1+0.01*SecPct!AC88)</f>
        <v>#REF!</v>
      </c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</row>
    <row r="68" spans="1:20" x14ac:dyDescent="0.2">
      <c r="A68" t="s">
        <v>79</v>
      </c>
      <c r="B68" s="15" t="e">
        <f>B67</f>
        <v>#REF!</v>
      </c>
      <c r="C68" s="15" t="e">
        <f>B68*(1+0.01*SecPct!X60)</f>
        <v>#REF!</v>
      </c>
      <c r="D68" s="15" t="e">
        <f>C68*(1+0.01*SecPct!Y60)</f>
        <v>#REF!</v>
      </c>
      <c r="E68" s="15" t="e">
        <f>D68*(1+0.01*SecPct!Z60)</f>
        <v>#REF!</v>
      </c>
      <c r="F68" s="15" t="e">
        <f>E68*(1+0.01*SecPct!AA60)</f>
        <v>#REF!</v>
      </c>
      <c r="G68" s="15" t="e">
        <f>F68*(1+0.01*SecPct!AB60)</f>
        <v>#REF!</v>
      </c>
      <c r="H68" s="15" t="e">
        <f>G68*(1+0.01*SecPct!AC60)</f>
        <v>#REF!</v>
      </c>
      <c r="I68" s="15" t="e">
        <f>H68*(1+0.01*SecPct!AD60)</f>
        <v>#REF!</v>
      </c>
      <c r="J68" s="15" t="e">
        <f>I68*(1+0.01*SecPct!AE60)</f>
        <v>#REF!</v>
      </c>
      <c r="K68" s="15" t="e">
        <f>J68*(1+0.01*SecPct!AF60)</f>
        <v>#REF!</v>
      </c>
      <c r="L68" s="15" t="e">
        <f>K68*(1+0.01*SecPct!AG60)</f>
        <v>#REF!</v>
      </c>
      <c r="M68" s="15" t="e">
        <f>L68*(1+0.01*SecPct!AH60)</f>
        <v>#REF!</v>
      </c>
      <c r="N68" s="15" t="e">
        <f>M68*(1+0.01*SecPct!AI60)</f>
        <v>#REF!</v>
      </c>
      <c r="O68" s="15" t="e">
        <f>N68*(1+0.01*SecPct!AJ60)</f>
        <v>#REF!</v>
      </c>
      <c r="P68" s="15" t="e">
        <f>O68*(1+0.01*SecPct!AK60)</f>
        <v>#REF!</v>
      </c>
      <c r="Q68" s="15" t="e">
        <f>P68*(1+0.01*SecPct!AL60)</f>
        <v>#REF!</v>
      </c>
      <c r="R68" s="15" t="e">
        <f>Q68*(1+0.01*SecPct!AM60)</f>
        <v>#REF!</v>
      </c>
      <c r="S68" s="15" t="e">
        <f>R68*(1+0.01*SecPct!AN60)</f>
        <v>#REF!</v>
      </c>
      <c r="T68" s="15"/>
    </row>
    <row r="70" spans="1:20" x14ac:dyDescent="0.2">
      <c r="A70">
        <f>SecPct!V57</f>
        <v>0</v>
      </c>
      <c r="B70" t="s">
        <v>92</v>
      </c>
      <c r="C70" t="str">
        <f>B70&amp;": "&amp;A70&amp;" (thousands)"</f>
        <v>Employment: 0 (thousands)</v>
      </c>
    </row>
    <row r="71" spans="1:20" x14ac:dyDescent="0.2">
      <c r="B71">
        <v>2013</v>
      </c>
      <c r="C71">
        <v>2014</v>
      </c>
      <c r="D71">
        <v>2015</v>
      </c>
      <c r="E71">
        <v>2016</v>
      </c>
      <c r="F71">
        <v>2017</v>
      </c>
      <c r="G71">
        <v>2018</v>
      </c>
      <c r="H71">
        <v>2019</v>
      </c>
      <c r="I71">
        <v>2020</v>
      </c>
      <c r="J71">
        <v>2021</v>
      </c>
      <c r="K71">
        <v>2022</v>
      </c>
      <c r="L71">
        <v>2023</v>
      </c>
      <c r="M71">
        <v>2024</v>
      </c>
      <c r="N71">
        <v>2025</v>
      </c>
      <c r="O71">
        <v>2026</v>
      </c>
      <c r="P71">
        <v>2027</v>
      </c>
      <c r="Q71">
        <v>2028</v>
      </c>
      <c r="R71">
        <v>2029</v>
      </c>
      <c r="S71">
        <v>2030</v>
      </c>
    </row>
    <row r="72" spans="1:20" x14ac:dyDescent="0.2">
      <c r="A72" t="s">
        <v>80</v>
      </c>
      <c r="B72" s="12" t="e">
        <f>#REF!</f>
        <v>#REF!</v>
      </c>
      <c r="C72" s="12" t="e">
        <f>B72*(1+0.01*SecPct!X85)</f>
        <v>#REF!</v>
      </c>
      <c r="D72" s="12" t="e">
        <f>C72*(1+0.01*SecPct!Y85)</f>
        <v>#REF!</v>
      </c>
      <c r="E72" s="12" t="e">
        <f>D72*(1+0.01*SecPct!Z85)</f>
        <v>#REF!</v>
      </c>
      <c r="F72" s="12" t="e">
        <f>E72*(1+0.01*SecPct!AA85)</f>
        <v>#REF!</v>
      </c>
      <c r="G72" s="12" t="e">
        <f>F72*(1+0.01*SecPct!AB85)</f>
        <v>#REF!</v>
      </c>
      <c r="H72" s="12" t="e">
        <f>G72*(1+0.01*SecPct!AC85)</f>
        <v>#REF!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20" x14ac:dyDescent="0.2">
      <c r="A73" t="s">
        <v>79</v>
      </c>
      <c r="B73" s="12" t="e">
        <f>#REF!</f>
        <v>#REF!</v>
      </c>
      <c r="C73" s="12" t="e">
        <f>B73*(1+0.01*SecPct!X57)</f>
        <v>#REF!</v>
      </c>
      <c r="D73" s="12" t="e">
        <f>C73*(1+0.01*SecPct!Y57)</f>
        <v>#REF!</v>
      </c>
      <c r="E73" s="12" t="e">
        <f>D73*(1+0.01*SecPct!Z57)</f>
        <v>#REF!</v>
      </c>
      <c r="F73" s="12" t="e">
        <f>E73*(1+0.01*SecPct!AA57)</f>
        <v>#REF!</v>
      </c>
      <c r="G73" s="12" t="e">
        <f>F73*(1+0.01*SecPct!AB57)</f>
        <v>#REF!</v>
      </c>
      <c r="H73" s="12" t="e">
        <f>G73*(1+0.01*SecPct!AC57)</f>
        <v>#REF!</v>
      </c>
      <c r="I73" s="12" t="e">
        <f>H73*(1+0.01*SecPct!AD57)</f>
        <v>#REF!</v>
      </c>
      <c r="J73" s="12" t="e">
        <f>I73*(1+0.01*SecPct!AE57)</f>
        <v>#REF!</v>
      </c>
      <c r="K73" s="12" t="e">
        <f>J73*(1+0.01*SecPct!AF57)</f>
        <v>#REF!</v>
      </c>
      <c r="L73" s="12" t="e">
        <f>K73*(1+0.01*SecPct!AG57)</f>
        <v>#REF!</v>
      </c>
      <c r="M73" s="12" t="e">
        <f>L73*(1+0.01*SecPct!AH57)</f>
        <v>#REF!</v>
      </c>
      <c r="N73" s="12" t="e">
        <f>M73*(1+0.01*SecPct!AI57)</f>
        <v>#REF!</v>
      </c>
      <c r="O73" s="12" t="e">
        <f>N73*(1+0.01*SecPct!AJ57)</f>
        <v>#REF!</v>
      </c>
      <c r="P73" s="12" t="e">
        <f>O73*(1+0.01*SecPct!AK57)</f>
        <v>#REF!</v>
      </c>
      <c r="Q73" s="12" t="e">
        <f>P73*(1+0.01*SecPct!AL57)</f>
        <v>#REF!</v>
      </c>
      <c r="R73" s="12" t="e">
        <f>Q73*(1+0.01*SecPct!AM57)</f>
        <v>#REF!</v>
      </c>
      <c r="S73" s="12" t="e">
        <f>R73*(1+0.01*SecPct!AN57)</f>
        <v>#REF!</v>
      </c>
    </row>
    <row r="75" spans="1:20" x14ac:dyDescent="0.2">
      <c r="A75">
        <f>SecPct!V62</f>
        <v>0</v>
      </c>
      <c r="B75" t="s">
        <v>97</v>
      </c>
      <c r="C75" t="str">
        <f>B75&amp;": "&amp;A75&amp;" (annual)"</f>
        <v>Average Wage: 0 (annual)</v>
      </c>
    </row>
    <row r="76" spans="1:20" x14ac:dyDescent="0.2">
      <c r="B76">
        <v>2013</v>
      </c>
      <c r="C76">
        <v>2014</v>
      </c>
      <c r="D76">
        <v>2015</v>
      </c>
      <c r="E76">
        <v>2016</v>
      </c>
      <c r="F76">
        <v>2017</v>
      </c>
      <c r="G76">
        <v>2018</v>
      </c>
      <c r="H76">
        <v>2019</v>
      </c>
      <c r="I76">
        <v>2020</v>
      </c>
      <c r="J76">
        <v>2021</v>
      </c>
      <c r="K76">
        <v>2022</v>
      </c>
      <c r="L76">
        <v>2023</v>
      </c>
      <c r="M76">
        <v>2024</v>
      </c>
      <c r="N76">
        <v>2025</v>
      </c>
      <c r="O76">
        <v>2026</v>
      </c>
      <c r="P76">
        <v>2027</v>
      </c>
      <c r="Q76">
        <v>2028</v>
      </c>
      <c r="R76">
        <v>2029</v>
      </c>
      <c r="S76">
        <v>2030</v>
      </c>
    </row>
    <row r="77" spans="1:20" x14ac:dyDescent="0.2">
      <c r="A77" t="s">
        <v>80</v>
      </c>
      <c r="B77" s="15" t="e">
        <f>#REF!</f>
        <v>#REF!</v>
      </c>
      <c r="C77" s="15" t="e">
        <f>B77*(1+0.01*SecPct!X98)</f>
        <v>#REF!</v>
      </c>
      <c r="D77" s="15" t="e">
        <f>C77*(1+0.01*SecPct!Y98)</f>
        <v>#REF!</v>
      </c>
      <c r="E77" s="15" t="e">
        <f>D77*(1+0.01*SecPct!Z98)</f>
        <v>#REF!</v>
      </c>
      <c r="F77" s="15" t="e">
        <f>E77*(1+0.01*SecPct!AA98)</f>
        <v>#REF!</v>
      </c>
      <c r="G77" s="15" t="e">
        <f>F77*(1+0.01*SecPct!AB98)</f>
        <v>#REF!</v>
      </c>
      <c r="H77" s="15" t="e">
        <f>G77*(1+0.01*SecPct!AC98)</f>
        <v>#REF!</v>
      </c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</row>
    <row r="78" spans="1:20" x14ac:dyDescent="0.2">
      <c r="A78" t="s">
        <v>79</v>
      </c>
      <c r="B78" s="15" t="e">
        <f>B77</f>
        <v>#REF!</v>
      </c>
      <c r="C78" s="15" t="e">
        <f>B78*(1+0.01*SecPct!X70)</f>
        <v>#REF!</v>
      </c>
      <c r="D78" s="15" t="e">
        <f>C78*(1+0.01*SecPct!Y70)</f>
        <v>#REF!</v>
      </c>
      <c r="E78" s="15" t="e">
        <f>D78*(1+0.01*SecPct!Z70)</f>
        <v>#REF!</v>
      </c>
      <c r="F78" s="15" t="e">
        <f>E78*(1+0.01*SecPct!AA70)</f>
        <v>#REF!</v>
      </c>
      <c r="G78" s="15" t="e">
        <f>F78*(1+0.01*SecPct!AB70)</f>
        <v>#REF!</v>
      </c>
      <c r="H78" s="15" t="e">
        <f>G78*(1+0.01*SecPct!AC70)</f>
        <v>#REF!</v>
      </c>
      <c r="I78" s="15" t="e">
        <f>H78*(1+0.01*SecPct!AD70)</f>
        <v>#REF!</v>
      </c>
      <c r="J78" s="15" t="e">
        <f>I78*(1+0.01*SecPct!AE70)</f>
        <v>#REF!</v>
      </c>
      <c r="K78" s="15" t="e">
        <f>J78*(1+0.01*SecPct!AF70)</f>
        <v>#REF!</v>
      </c>
      <c r="L78" s="15" t="e">
        <f>K78*(1+0.01*SecPct!AG70)</f>
        <v>#REF!</v>
      </c>
      <c r="M78" s="15" t="e">
        <f>L78*(1+0.01*SecPct!AH70)</f>
        <v>#REF!</v>
      </c>
      <c r="N78" s="15" t="e">
        <f>M78*(1+0.01*SecPct!AI70)</f>
        <v>#REF!</v>
      </c>
      <c r="O78" s="15" t="e">
        <f>N78*(1+0.01*SecPct!AJ70)</f>
        <v>#REF!</v>
      </c>
      <c r="P78" s="15" t="e">
        <f>O78*(1+0.01*SecPct!AK70)</f>
        <v>#REF!</v>
      </c>
      <c r="Q78" s="15" t="e">
        <f>P78*(1+0.01*SecPct!AL70)</f>
        <v>#REF!</v>
      </c>
      <c r="R78" s="15" t="e">
        <f>Q78*(1+0.01*SecPct!AM70)</f>
        <v>#REF!</v>
      </c>
      <c r="S78" s="15" t="e">
        <f>R78*(1+0.01*SecPct!AN70)</f>
        <v>#REF!</v>
      </c>
      <c r="T78" s="1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2"/>
  <sheetViews>
    <sheetView topLeftCell="A73" workbookViewId="0">
      <selection activeCell="B88" sqref="B88"/>
    </sheetView>
  </sheetViews>
  <sheetFormatPr baseColWidth="10" defaultRowHeight="16" x14ac:dyDescent="0.2"/>
  <sheetData>
    <row r="1" spans="1:2" x14ac:dyDescent="0.2">
      <c r="A1" t="s">
        <v>98</v>
      </c>
    </row>
    <row r="2" spans="1:2" x14ac:dyDescent="0.2">
      <c r="A2" t="s">
        <v>1</v>
      </c>
      <c r="B2" t="s">
        <v>99</v>
      </c>
    </row>
    <row r="3" spans="1:2" x14ac:dyDescent="0.2">
      <c r="A3" t="s">
        <v>81</v>
      </c>
      <c r="B3" t="s">
        <v>100</v>
      </c>
    </row>
    <row r="4" spans="1:2" x14ac:dyDescent="0.2">
      <c r="A4" t="s">
        <v>82</v>
      </c>
      <c r="B4" t="s">
        <v>93</v>
      </c>
    </row>
    <row r="5" spans="1:2" x14ac:dyDescent="0.2">
      <c r="A5" t="s">
        <v>83</v>
      </c>
      <c r="B5" t="s">
        <v>94</v>
      </c>
    </row>
    <row r="6" spans="1:2" x14ac:dyDescent="0.2">
      <c r="A6" t="s">
        <v>84</v>
      </c>
      <c r="B6" t="s">
        <v>101</v>
      </c>
    </row>
    <row r="7" spans="1:2" x14ac:dyDescent="0.2">
      <c r="A7" t="s">
        <v>85</v>
      </c>
      <c r="B7" t="s">
        <v>107</v>
      </c>
    </row>
    <row r="8" spans="1:2" x14ac:dyDescent="0.2">
      <c r="A8" t="s">
        <v>86</v>
      </c>
      <c r="B8" t="s">
        <v>106</v>
      </c>
    </row>
    <row r="9" spans="1:2" x14ac:dyDescent="0.2">
      <c r="A9" t="s">
        <v>87</v>
      </c>
      <c r="B9" t="s">
        <v>102</v>
      </c>
    </row>
    <row r="10" spans="1:2" x14ac:dyDescent="0.2">
      <c r="A10" t="s">
        <v>88</v>
      </c>
      <c r="B10" t="s">
        <v>103</v>
      </c>
    </row>
    <row r="11" spans="1:2" x14ac:dyDescent="0.2">
      <c r="A11" t="s">
        <v>89</v>
      </c>
      <c r="B11" t="s">
        <v>104</v>
      </c>
    </row>
    <row r="12" spans="1:2" x14ac:dyDescent="0.2">
      <c r="A12" t="s">
        <v>90</v>
      </c>
      <c r="B12" t="s">
        <v>95</v>
      </c>
    </row>
    <row r="13" spans="1:2" x14ac:dyDescent="0.2">
      <c r="A13" t="s">
        <v>91</v>
      </c>
      <c r="B13" t="s">
        <v>105</v>
      </c>
    </row>
    <row r="16" spans="1:2" x14ac:dyDescent="0.2">
      <c r="A16" t="s">
        <v>137</v>
      </c>
    </row>
    <row r="18" spans="1:2" x14ac:dyDescent="0.2">
      <c r="A18" t="s">
        <v>138</v>
      </c>
      <c r="B18" t="s">
        <v>321</v>
      </c>
    </row>
    <row r="20" spans="1:2" x14ac:dyDescent="0.2">
      <c r="A20" t="s">
        <v>139</v>
      </c>
      <c r="B20" t="s">
        <v>322</v>
      </c>
    </row>
    <row r="21" spans="1:2" x14ac:dyDescent="0.2">
      <c r="A21" t="s">
        <v>140</v>
      </c>
      <c r="B21" t="s">
        <v>323</v>
      </c>
    </row>
    <row r="22" spans="1:2" x14ac:dyDescent="0.2">
      <c r="A22" t="s">
        <v>141</v>
      </c>
      <c r="B22" t="s">
        <v>324</v>
      </c>
    </row>
    <row r="23" spans="1:2" x14ac:dyDescent="0.2">
      <c r="A23" t="s">
        <v>142</v>
      </c>
      <c r="B23" t="s">
        <v>325</v>
      </c>
    </row>
    <row r="24" spans="1:2" x14ac:dyDescent="0.2">
      <c r="A24" t="s">
        <v>143</v>
      </c>
      <c r="B24" t="s">
        <v>326</v>
      </c>
    </row>
    <row r="25" spans="1:2" x14ac:dyDescent="0.2">
      <c r="A25" t="s">
        <v>144</v>
      </c>
      <c r="B25" t="s">
        <v>327</v>
      </c>
    </row>
    <row r="27" spans="1:2" x14ac:dyDescent="0.2">
      <c r="A27" t="s">
        <v>145</v>
      </c>
      <c r="B27" t="s">
        <v>328</v>
      </c>
    </row>
    <row r="28" spans="1:2" x14ac:dyDescent="0.2">
      <c r="A28" t="s">
        <v>146</v>
      </c>
      <c r="B28" t="s">
        <v>329</v>
      </c>
    </row>
    <row r="30" spans="1:2" x14ac:dyDescent="0.2">
      <c r="A30" t="s">
        <v>147</v>
      </c>
      <c r="B30" t="s">
        <v>330</v>
      </c>
    </row>
    <row r="31" spans="1:2" x14ac:dyDescent="0.2">
      <c r="A31" t="s">
        <v>148</v>
      </c>
      <c r="B31" t="s">
        <v>331</v>
      </c>
    </row>
    <row r="32" spans="1:2" x14ac:dyDescent="0.2">
      <c r="A32" t="s">
        <v>149</v>
      </c>
      <c r="B32" t="s">
        <v>332</v>
      </c>
    </row>
    <row r="33" spans="1:2" x14ac:dyDescent="0.2">
      <c r="A33" t="s">
        <v>150</v>
      </c>
      <c r="B33" t="s">
        <v>333</v>
      </c>
    </row>
    <row r="35" spans="1:2" x14ac:dyDescent="0.2">
      <c r="A35" t="s">
        <v>151</v>
      </c>
      <c r="B35" t="s">
        <v>334</v>
      </c>
    </row>
    <row r="36" spans="1:2" x14ac:dyDescent="0.2">
      <c r="A36" t="s">
        <v>152</v>
      </c>
      <c r="B36" t="s">
        <v>335</v>
      </c>
    </row>
    <row r="37" spans="1:2" x14ac:dyDescent="0.2">
      <c r="A37" t="s">
        <v>153</v>
      </c>
      <c r="B37" t="s">
        <v>336</v>
      </c>
    </row>
    <row r="39" spans="1:2" x14ac:dyDescent="0.2">
      <c r="A39" t="s">
        <v>154</v>
      </c>
      <c r="B39" t="s">
        <v>337</v>
      </c>
    </row>
    <row r="40" spans="1:2" x14ac:dyDescent="0.2">
      <c r="A40" t="s">
        <v>155</v>
      </c>
      <c r="B40" t="s">
        <v>338</v>
      </c>
    </row>
    <row r="41" spans="1:2" x14ac:dyDescent="0.2">
      <c r="A41" t="s">
        <v>156</v>
      </c>
      <c r="B41" t="s">
        <v>339</v>
      </c>
    </row>
    <row r="43" spans="1:2" x14ac:dyDescent="0.2">
      <c r="A43" t="s">
        <v>157</v>
      </c>
      <c r="B43" t="s">
        <v>340</v>
      </c>
    </row>
    <row r="44" spans="1:2" x14ac:dyDescent="0.2">
      <c r="A44" t="s">
        <v>158</v>
      </c>
      <c r="B44" t="s">
        <v>341</v>
      </c>
    </row>
    <row r="45" spans="1:2" x14ac:dyDescent="0.2">
      <c r="A45" t="s">
        <v>159</v>
      </c>
      <c r="B45" t="s">
        <v>342</v>
      </c>
    </row>
    <row r="47" spans="1:2" x14ac:dyDescent="0.2">
      <c r="A47" t="s">
        <v>160</v>
      </c>
      <c r="B47" t="s">
        <v>343</v>
      </c>
    </row>
    <row r="48" spans="1:2" x14ac:dyDescent="0.2">
      <c r="A48" t="s">
        <v>161</v>
      </c>
      <c r="B48" t="s">
        <v>344</v>
      </c>
    </row>
    <row r="49" spans="1:2" x14ac:dyDescent="0.2">
      <c r="A49" t="s">
        <v>162</v>
      </c>
      <c r="B49" t="s">
        <v>345</v>
      </c>
    </row>
    <row r="50" spans="1:2" x14ac:dyDescent="0.2">
      <c r="A50" t="s">
        <v>163</v>
      </c>
      <c r="B50" t="s">
        <v>346</v>
      </c>
    </row>
    <row r="52" spans="1:2" x14ac:dyDescent="0.2">
      <c r="A52" t="s">
        <v>164</v>
      </c>
      <c r="B52" t="s">
        <v>347</v>
      </c>
    </row>
    <row r="53" spans="1:2" x14ac:dyDescent="0.2">
      <c r="A53" t="s">
        <v>165</v>
      </c>
      <c r="B53" t="s">
        <v>348</v>
      </c>
    </row>
    <row r="55" spans="1:2" x14ac:dyDescent="0.2">
      <c r="A55" t="s">
        <v>166</v>
      </c>
      <c r="B55" t="s">
        <v>349</v>
      </c>
    </row>
    <row r="57" spans="1:2" x14ac:dyDescent="0.2">
      <c r="A57" t="s">
        <v>167</v>
      </c>
      <c r="B57" t="s">
        <v>350</v>
      </c>
    </row>
    <row r="58" spans="1:2" x14ac:dyDescent="0.2">
      <c r="A58" t="s">
        <v>168</v>
      </c>
      <c r="B58" t="s">
        <v>351</v>
      </c>
    </row>
    <row r="59" spans="1:2" x14ac:dyDescent="0.2">
      <c r="A59" t="s">
        <v>169</v>
      </c>
      <c r="B59" t="s">
        <v>352</v>
      </c>
    </row>
    <row r="60" spans="1:2" x14ac:dyDescent="0.2">
      <c r="A60" t="s">
        <v>170</v>
      </c>
      <c r="B60" t="s">
        <v>353</v>
      </c>
    </row>
    <row r="61" spans="1:2" x14ac:dyDescent="0.2">
      <c r="A61" t="s">
        <v>171</v>
      </c>
      <c r="B61" t="s">
        <v>354</v>
      </c>
    </row>
    <row r="62" spans="1:2" x14ac:dyDescent="0.2">
      <c r="A62" t="s">
        <v>172</v>
      </c>
      <c r="B62" t="s">
        <v>355</v>
      </c>
    </row>
    <row r="64" spans="1:2" x14ac:dyDescent="0.2">
      <c r="A64" t="s">
        <v>173</v>
      </c>
      <c r="B64" t="s">
        <v>356</v>
      </c>
    </row>
    <row r="65" spans="1:2" x14ac:dyDescent="0.2">
      <c r="A65" t="s">
        <v>174</v>
      </c>
      <c r="B65" t="s">
        <v>357</v>
      </c>
    </row>
    <row r="66" spans="1:2" x14ac:dyDescent="0.2">
      <c r="A66" t="s">
        <v>175</v>
      </c>
      <c r="B66" t="s">
        <v>435</v>
      </c>
    </row>
    <row r="68" spans="1:2" x14ac:dyDescent="0.2">
      <c r="A68" t="s">
        <v>176</v>
      </c>
      <c r="B68" t="s">
        <v>358</v>
      </c>
    </row>
    <row r="69" spans="1:2" x14ac:dyDescent="0.2">
      <c r="A69" t="s">
        <v>177</v>
      </c>
      <c r="B69" t="s">
        <v>359</v>
      </c>
    </row>
    <row r="70" spans="1:2" x14ac:dyDescent="0.2">
      <c r="A70" t="s">
        <v>178</v>
      </c>
      <c r="B70" t="s">
        <v>360</v>
      </c>
    </row>
    <row r="71" spans="1:2" x14ac:dyDescent="0.2">
      <c r="A71" t="s">
        <v>179</v>
      </c>
      <c r="B71" t="s">
        <v>436</v>
      </c>
    </row>
    <row r="73" spans="1:2" x14ac:dyDescent="0.2">
      <c r="A73" t="s">
        <v>180</v>
      </c>
      <c r="B73" t="s">
        <v>361</v>
      </c>
    </row>
    <row r="74" spans="1:2" x14ac:dyDescent="0.2">
      <c r="A74" t="s">
        <v>181</v>
      </c>
      <c r="B74" t="s">
        <v>362</v>
      </c>
    </row>
    <row r="75" spans="1:2" x14ac:dyDescent="0.2">
      <c r="A75" t="s">
        <v>182</v>
      </c>
      <c r="B75" t="s">
        <v>363</v>
      </c>
    </row>
    <row r="76" spans="1:2" x14ac:dyDescent="0.2">
      <c r="A76" t="s">
        <v>183</v>
      </c>
      <c r="B76" t="s">
        <v>364</v>
      </c>
    </row>
    <row r="77" spans="1:2" x14ac:dyDescent="0.2">
      <c r="A77" t="s">
        <v>184</v>
      </c>
      <c r="B77" t="s">
        <v>437</v>
      </c>
    </row>
    <row r="79" spans="1:2" x14ac:dyDescent="0.2">
      <c r="B79" t="s">
        <v>438</v>
      </c>
    </row>
    <row r="81" spans="1:2" x14ac:dyDescent="0.2">
      <c r="A81" t="s">
        <v>185</v>
      </c>
      <c r="B81" t="s">
        <v>349</v>
      </c>
    </row>
    <row r="83" spans="1:2" x14ac:dyDescent="0.2">
      <c r="A83" t="s">
        <v>186</v>
      </c>
      <c r="B83" t="s">
        <v>365</v>
      </c>
    </row>
    <row r="84" spans="1:2" x14ac:dyDescent="0.2">
      <c r="A84" t="s">
        <v>187</v>
      </c>
      <c r="B84" t="s">
        <v>366</v>
      </c>
    </row>
    <row r="85" spans="1:2" x14ac:dyDescent="0.2">
      <c r="A85" t="s">
        <v>188</v>
      </c>
      <c r="B85" t="s">
        <v>367</v>
      </c>
    </row>
    <row r="86" spans="1:2" x14ac:dyDescent="0.2">
      <c r="A86" t="s">
        <v>189</v>
      </c>
      <c r="B86" t="s">
        <v>368</v>
      </c>
    </row>
    <row r="87" spans="1:2" x14ac:dyDescent="0.2">
      <c r="A87" t="s">
        <v>190</v>
      </c>
      <c r="B87" t="s">
        <v>369</v>
      </c>
    </row>
    <row r="88" spans="1:2" x14ac:dyDescent="0.2">
      <c r="A88" t="s">
        <v>191</v>
      </c>
      <c r="B88" t="s">
        <v>370</v>
      </c>
    </row>
    <row r="89" spans="1:2" x14ac:dyDescent="0.2">
      <c r="A89" t="s">
        <v>192</v>
      </c>
      <c r="B89" t="s">
        <v>371</v>
      </c>
    </row>
    <row r="90" spans="1:2" x14ac:dyDescent="0.2">
      <c r="A90" t="s">
        <v>193</v>
      </c>
      <c r="B90" t="s">
        <v>502</v>
      </c>
    </row>
    <row r="92" spans="1:2" x14ac:dyDescent="0.2">
      <c r="A92" t="s">
        <v>194</v>
      </c>
      <c r="B92" t="s">
        <v>373</v>
      </c>
    </row>
    <row r="93" spans="1:2" x14ac:dyDescent="0.2">
      <c r="A93" t="s">
        <v>195</v>
      </c>
      <c r="B93" t="s">
        <v>374</v>
      </c>
    </row>
    <row r="94" spans="1:2" x14ac:dyDescent="0.2">
      <c r="A94" t="s">
        <v>196</v>
      </c>
      <c r="B94" t="s">
        <v>375</v>
      </c>
    </row>
    <row r="96" spans="1:2" x14ac:dyDescent="0.2">
      <c r="A96" t="s">
        <v>197</v>
      </c>
      <c r="B96" t="s">
        <v>376</v>
      </c>
    </row>
    <row r="98" spans="1:2" x14ac:dyDescent="0.2">
      <c r="A98" t="s">
        <v>198</v>
      </c>
      <c r="B98" t="s">
        <v>377</v>
      </c>
    </row>
    <row r="99" spans="1:2" x14ac:dyDescent="0.2">
      <c r="A99" t="s">
        <v>199</v>
      </c>
      <c r="B99" t="s">
        <v>378</v>
      </c>
    </row>
    <row r="100" spans="1:2" x14ac:dyDescent="0.2">
      <c r="A100" t="s">
        <v>200</v>
      </c>
      <c r="B100" t="s">
        <v>379</v>
      </c>
    </row>
    <row r="101" spans="1:2" x14ac:dyDescent="0.2">
      <c r="A101" t="s">
        <v>201</v>
      </c>
      <c r="B101" t="s">
        <v>380</v>
      </c>
    </row>
    <row r="103" spans="1:2" x14ac:dyDescent="0.2">
      <c r="A103" t="s">
        <v>202</v>
      </c>
      <c r="B103" t="s">
        <v>381</v>
      </c>
    </row>
    <row r="104" spans="1:2" x14ac:dyDescent="0.2">
      <c r="A104" t="s">
        <v>203</v>
      </c>
      <c r="B104" t="s">
        <v>382</v>
      </c>
    </row>
    <row r="105" spans="1:2" x14ac:dyDescent="0.2">
      <c r="A105" t="s">
        <v>204</v>
      </c>
      <c r="B105" t="s">
        <v>383</v>
      </c>
    </row>
    <row r="107" spans="1:2" x14ac:dyDescent="0.2">
      <c r="A107" t="s">
        <v>205</v>
      </c>
      <c r="B107" t="s">
        <v>384</v>
      </c>
    </row>
    <row r="108" spans="1:2" x14ac:dyDescent="0.2">
      <c r="A108" t="s">
        <v>206</v>
      </c>
      <c r="B108" t="s">
        <v>385</v>
      </c>
    </row>
    <row r="109" spans="1:2" x14ac:dyDescent="0.2">
      <c r="A109" t="s">
        <v>207</v>
      </c>
      <c r="B109" t="s">
        <v>386</v>
      </c>
    </row>
    <row r="110" spans="1:2" x14ac:dyDescent="0.2">
      <c r="A110" t="s">
        <v>208</v>
      </c>
      <c r="B110" t="s">
        <v>387</v>
      </c>
    </row>
    <row r="112" spans="1:2" x14ac:dyDescent="0.2">
      <c r="A112" t="s">
        <v>209</v>
      </c>
      <c r="B112" t="s">
        <v>388</v>
      </c>
    </row>
    <row r="113" spans="1:2" x14ac:dyDescent="0.2">
      <c r="A113" t="s">
        <v>210</v>
      </c>
      <c r="B113" t="s">
        <v>389</v>
      </c>
    </row>
    <row r="115" spans="1:2" x14ac:dyDescent="0.2">
      <c r="A115" t="s">
        <v>211</v>
      </c>
      <c r="B115" t="s">
        <v>390</v>
      </c>
    </row>
    <row r="117" spans="1:2" x14ac:dyDescent="0.2">
      <c r="A117" t="s">
        <v>212</v>
      </c>
      <c r="B117" t="s">
        <v>391</v>
      </c>
    </row>
    <row r="119" spans="1:2" x14ac:dyDescent="0.2">
      <c r="A119" t="s">
        <v>213</v>
      </c>
      <c r="B119" t="s">
        <v>439</v>
      </c>
    </row>
    <row r="120" spans="1:2" x14ac:dyDescent="0.2">
      <c r="A120" t="s">
        <v>214</v>
      </c>
      <c r="B120" t="s">
        <v>440</v>
      </c>
    </row>
    <row r="121" spans="1:2" x14ac:dyDescent="0.2">
      <c r="A121" t="s">
        <v>215</v>
      </c>
      <c r="B121" t="s">
        <v>441</v>
      </c>
    </row>
    <row r="122" spans="1:2" x14ac:dyDescent="0.2">
      <c r="A122" t="s">
        <v>216</v>
      </c>
      <c r="B122" t="s">
        <v>442</v>
      </c>
    </row>
    <row r="124" spans="1:2" x14ac:dyDescent="0.2">
      <c r="A124" t="s">
        <v>217</v>
      </c>
      <c r="B124" t="s">
        <v>392</v>
      </c>
    </row>
    <row r="126" spans="1:2" x14ac:dyDescent="0.2">
      <c r="A126" t="s">
        <v>218</v>
      </c>
      <c r="B126" t="s">
        <v>393</v>
      </c>
    </row>
    <row r="127" spans="1:2" x14ac:dyDescent="0.2">
      <c r="A127" t="s">
        <v>219</v>
      </c>
      <c r="B127" t="s">
        <v>394</v>
      </c>
    </row>
    <row r="129" spans="1:5" x14ac:dyDescent="0.2">
      <c r="A129" t="s">
        <v>220</v>
      </c>
      <c r="B129" t="s">
        <v>395</v>
      </c>
    </row>
    <row r="131" spans="1:5" x14ac:dyDescent="0.2">
      <c r="A131" t="s">
        <v>221</v>
      </c>
      <c r="B131" t="s">
        <v>443</v>
      </c>
    </row>
    <row r="132" spans="1:5" x14ac:dyDescent="0.2">
      <c r="A132" t="s">
        <v>222</v>
      </c>
      <c r="B132" t="s">
        <v>444</v>
      </c>
    </row>
    <row r="133" spans="1:5" x14ac:dyDescent="0.2">
      <c r="A133" t="s">
        <v>223</v>
      </c>
      <c r="B133" t="s">
        <v>445</v>
      </c>
    </row>
    <row r="134" spans="1:5" x14ac:dyDescent="0.2">
      <c r="A134" t="s">
        <v>224</v>
      </c>
      <c r="B134" t="s">
        <v>446</v>
      </c>
    </row>
    <row r="135" spans="1:5" x14ac:dyDescent="0.2">
      <c r="A135" t="s">
        <v>225</v>
      </c>
      <c r="B135" t="s">
        <v>447</v>
      </c>
    </row>
    <row r="136" spans="1:5" x14ac:dyDescent="0.2">
      <c r="A136" t="s">
        <v>226</v>
      </c>
      <c r="B136" t="s">
        <v>448</v>
      </c>
    </row>
    <row r="137" spans="1:5" x14ac:dyDescent="0.2">
      <c r="A137" t="s">
        <v>227</v>
      </c>
      <c r="E137" t="s">
        <v>396</v>
      </c>
    </row>
    <row r="139" spans="1:5" x14ac:dyDescent="0.2">
      <c r="A139" t="s">
        <v>228</v>
      </c>
    </row>
    <row r="141" spans="1:5" x14ac:dyDescent="0.2">
      <c r="A141" t="s">
        <v>229</v>
      </c>
      <c r="B141" t="s">
        <v>397</v>
      </c>
    </row>
    <row r="142" spans="1:5" x14ac:dyDescent="0.2">
      <c r="A142" t="s">
        <v>230</v>
      </c>
      <c r="B142" t="s">
        <v>398</v>
      </c>
    </row>
    <row r="144" spans="1:5" x14ac:dyDescent="0.2">
      <c r="A144" t="s">
        <v>231</v>
      </c>
      <c r="B144" t="s">
        <v>349</v>
      </c>
    </row>
    <row r="146" spans="1:2" x14ac:dyDescent="0.2">
      <c r="A146" t="s">
        <v>232</v>
      </c>
      <c r="B146" t="s">
        <v>449</v>
      </c>
    </row>
    <row r="147" spans="1:2" x14ac:dyDescent="0.2">
      <c r="A147" t="s">
        <v>233</v>
      </c>
      <c r="B147" t="s">
        <v>450</v>
      </c>
    </row>
    <row r="148" spans="1:2" x14ac:dyDescent="0.2">
      <c r="A148" t="s">
        <v>234</v>
      </c>
      <c r="B148" t="s">
        <v>451</v>
      </c>
    </row>
    <row r="150" spans="1:2" x14ac:dyDescent="0.2">
      <c r="A150" t="s">
        <v>235</v>
      </c>
      <c r="B150" t="s">
        <v>399</v>
      </c>
    </row>
    <row r="152" spans="1:2" x14ac:dyDescent="0.2">
      <c r="A152" t="s">
        <v>236</v>
      </c>
      <c r="B152" t="s">
        <v>452</v>
      </c>
    </row>
    <row r="153" spans="1:2" x14ac:dyDescent="0.2">
      <c r="A153" t="s">
        <v>237</v>
      </c>
      <c r="B153" t="s">
        <v>453</v>
      </c>
    </row>
    <row r="155" spans="1:2" x14ac:dyDescent="0.2">
      <c r="A155" t="s">
        <v>238</v>
      </c>
      <c r="B155" t="s">
        <v>454</v>
      </c>
    </row>
    <row r="156" spans="1:2" x14ac:dyDescent="0.2">
      <c r="A156" t="s">
        <v>239</v>
      </c>
      <c r="B156" t="s">
        <v>455</v>
      </c>
    </row>
    <row r="158" spans="1:2" x14ac:dyDescent="0.2">
      <c r="A158" t="s">
        <v>240</v>
      </c>
      <c r="B158" t="s">
        <v>455</v>
      </c>
    </row>
    <row r="159" spans="1:2" x14ac:dyDescent="0.2">
      <c r="A159" t="s">
        <v>241</v>
      </c>
      <c r="B159" t="s">
        <v>456</v>
      </c>
    </row>
    <row r="160" spans="1:2" x14ac:dyDescent="0.2">
      <c r="A160" t="s">
        <v>242</v>
      </c>
      <c r="B160" t="s">
        <v>457</v>
      </c>
    </row>
    <row r="162" spans="1:2" x14ac:dyDescent="0.2">
      <c r="A162" t="s">
        <v>243</v>
      </c>
      <c r="B162" t="s">
        <v>458</v>
      </c>
    </row>
    <row r="163" spans="1:2" x14ac:dyDescent="0.2">
      <c r="A163" t="s">
        <v>244</v>
      </c>
      <c r="B163" t="s">
        <v>459</v>
      </c>
    </row>
    <row r="165" spans="1:2" x14ac:dyDescent="0.2">
      <c r="A165" t="s">
        <v>245</v>
      </c>
      <c r="B165" t="s">
        <v>460</v>
      </c>
    </row>
    <row r="166" spans="1:2" x14ac:dyDescent="0.2">
      <c r="A166" t="s">
        <v>246</v>
      </c>
      <c r="B166" t="s">
        <v>461</v>
      </c>
    </row>
    <row r="167" spans="1:2" x14ac:dyDescent="0.2">
      <c r="A167" t="s">
        <v>247</v>
      </c>
      <c r="B167" t="s">
        <v>462</v>
      </c>
    </row>
    <row r="169" spans="1:2" x14ac:dyDescent="0.2">
      <c r="A169" t="s">
        <v>248</v>
      </c>
      <c r="B169" t="s">
        <v>463</v>
      </c>
    </row>
    <row r="170" spans="1:2" x14ac:dyDescent="0.2">
      <c r="A170" t="s">
        <v>249</v>
      </c>
      <c r="B170" t="s">
        <v>464</v>
      </c>
    </row>
    <row r="172" spans="1:2" x14ac:dyDescent="0.2">
      <c r="A172" t="s">
        <v>250</v>
      </c>
      <c r="B172" t="s">
        <v>400</v>
      </c>
    </row>
    <row r="174" spans="1:2" x14ac:dyDescent="0.2">
      <c r="A174" t="s">
        <v>251</v>
      </c>
      <c r="B174" t="s">
        <v>401</v>
      </c>
    </row>
    <row r="175" spans="1:2" x14ac:dyDescent="0.2">
      <c r="A175" t="s">
        <v>252</v>
      </c>
      <c r="B175" t="s">
        <v>402</v>
      </c>
    </row>
    <row r="176" spans="1:2" x14ac:dyDescent="0.2">
      <c r="A176" t="s">
        <v>253</v>
      </c>
      <c r="B176" t="s">
        <v>403</v>
      </c>
    </row>
    <row r="178" spans="1:2" x14ac:dyDescent="0.2">
      <c r="A178" t="s">
        <v>254</v>
      </c>
      <c r="B178" t="s">
        <v>404</v>
      </c>
    </row>
    <row r="179" spans="1:2" x14ac:dyDescent="0.2">
      <c r="A179" t="s">
        <v>255</v>
      </c>
      <c r="B179" t="s">
        <v>405</v>
      </c>
    </row>
    <row r="180" spans="1:2" x14ac:dyDescent="0.2">
      <c r="A180" t="s">
        <v>256</v>
      </c>
      <c r="B180" t="s">
        <v>406</v>
      </c>
    </row>
    <row r="182" spans="1:2" x14ac:dyDescent="0.2">
      <c r="A182" t="s">
        <v>257</v>
      </c>
      <c r="B182" t="s">
        <v>407</v>
      </c>
    </row>
    <row r="184" spans="1:2" x14ac:dyDescent="0.2">
      <c r="A184" t="s">
        <v>258</v>
      </c>
      <c r="B184" t="s">
        <v>408</v>
      </c>
    </row>
    <row r="185" spans="1:2" x14ac:dyDescent="0.2">
      <c r="A185" t="s">
        <v>259</v>
      </c>
      <c r="B185" t="s">
        <v>409</v>
      </c>
    </row>
    <row r="187" spans="1:2" x14ac:dyDescent="0.2">
      <c r="A187" t="s">
        <v>260</v>
      </c>
      <c r="B187" t="s">
        <v>410</v>
      </c>
    </row>
    <row r="189" spans="1:2" x14ac:dyDescent="0.2">
      <c r="A189" t="s">
        <v>261</v>
      </c>
      <c r="B189" t="s">
        <v>411</v>
      </c>
    </row>
    <row r="190" spans="1:2" x14ac:dyDescent="0.2">
      <c r="A190" t="s">
        <v>262</v>
      </c>
      <c r="B190" t="s">
        <v>412</v>
      </c>
    </row>
    <row r="191" spans="1:2" x14ac:dyDescent="0.2">
      <c r="A191" t="s">
        <v>263</v>
      </c>
      <c r="B191" t="s">
        <v>413</v>
      </c>
    </row>
    <row r="192" spans="1:2" x14ac:dyDescent="0.2">
      <c r="A192" t="s">
        <v>264</v>
      </c>
      <c r="B192" t="s">
        <v>414</v>
      </c>
    </row>
    <row r="193" spans="1:2" x14ac:dyDescent="0.2">
      <c r="A193" t="s">
        <v>265</v>
      </c>
      <c r="B193" t="s">
        <v>415</v>
      </c>
    </row>
    <row r="194" spans="1:2" x14ac:dyDescent="0.2">
      <c r="A194" t="s">
        <v>266</v>
      </c>
      <c r="B194" t="s">
        <v>416</v>
      </c>
    </row>
    <row r="195" spans="1:2" x14ac:dyDescent="0.2">
      <c r="A195" t="s">
        <v>267</v>
      </c>
      <c r="B195" t="s">
        <v>417</v>
      </c>
    </row>
    <row r="196" spans="1:2" x14ac:dyDescent="0.2">
      <c r="A196" t="s">
        <v>268</v>
      </c>
      <c r="B196" t="s">
        <v>418</v>
      </c>
    </row>
    <row r="197" spans="1:2" x14ac:dyDescent="0.2">
      <c r="A197" t="s">
        <v>269</v>
      </c>
      <c r="B197" t="s">
        <v>419</v>
      </c>
    </row>
    <row r="199" spans="1:2" x14ac:dyDescent="0.2">
      <c r="A199" t="s">
        <v>270</v>
      </c>
      <c r="B199" t="s">
        <v>420</v>
      </c>
    </row>
    <row r="201" spans="1:2" x14ac:dyDescent="0.2">
      <c r="A201" t="s">
        <v>271</v>
      </c>
      <c r="B201" t="s">
        <v>421</v>
      </c>
    </row>
    <row r="202" spans="1:2" x14ac:dyDescent="0.2">
      <c r="A202" t="s">
        <v>272</v>
      </c>
      <c r="B202" t="s">
        <v>422</v>
      </c>
    </row>
    <row r="203" spans="1:2" x14ac:dyDescent="0.2">
      <c r="A203" t="s">
        <v>273</v>
      </c>
      <c r="B203" t="s">
        <v>465</v>
      </c>
    </row>
    <row r="205" spans="1:2" x14ac:dyDescent="0.2">
      <c r="A205" t="s">
        <v>274</v>
      </c>
      <c r="B205" t="s">
        <v>407</v>
      </c>
    </row>
    <row r="207" spans="1:2" x14ac:dyDescent="0.2">
      <c r="A207" t="s">
        <v>275</v>
      </c>
      <c r="B207" t="s">
        <v>466</v>
      </c>
    </row>
    <row r="208" spans="1:2" x14ac:dyDescent="0.2">
      <c r="A208" t="s">
        <v>276</v>
      </c>
      <c r="B208" t="s">
        <v>467</v>
      </c>
    </row>
    <row r="209" spans="1:3" x14ac:dyDescent="0.2">
      <c r="A209" t="s">
        <v>277</v>
      </c>
      <c r="B209" t="s">
        <v>468</v>
      </c>
    </row>
    <row r="210" spans="1:3" x14ac:dyDescent="0.2">
      <c r="A210" t="s">
        <v>278</v>
      </c>
      <c r="B210" t="s">
        <v>469</v>
      </c>
    </row>
    <row r="211" spans="1:3" x14ac:dyDescent="0.2">
      <c r="A211" t="s">
        <v>279</v>
      </c>
      <c r="B211" t="s">
        <v>470</v>
      </c>
    </row>
    <row r="212" spans="1:3" x14ac:dyDescent="0.2">
      <c r="A212" t="s">
        <v>280</v>
      </c>
      <c r="B212" t="s">
        <v>471</v>
      </c>
    </row>
    <row r="213" spans="1:3" x14ac:dyDescent="0.2">
      <c r="A213" t="s">
        <v>281</v>
      </c>
      <c r="B213" t="s">
        <v>472</v>
      </c>
    </row>
    <row r="214" spans="1:3" x14ac:dyDescent="0.2">
      <c r="A214" t="s">
        <v>282</v>
      </c>
      <c r="B214" t="s">
        <v>473</v>
      </c>
    </row>
    <row r="215" spans="1:3" x14ac:dyDescent="0.2">
      <c r="A215" t="s">
        <v>283</v>
      </c>
      <c r="B215" t="s">
        <v>474</v>
      </c>
    </row>
    <row r="216" spans="1:3" x14ac:dyDescent="0.2">
      <c r="A216" t="s">
        <v>284</v>
      </c>
      <c r="B216" t="s">
        <v>475</v>
      </c>
    </row>
    <row r="217" spans="1:3" x14ac:dyDescent="0.2">
      <c r="A217" t="s">
        <v>285</v>
      </c>
      <c r="B217" t="s">
        <v>423</v>
      </c>
    </row>
    <row r="219" spans="1:3" x14ac:dyDescent="0.2">
      <c r="A219" t="s">
        <v>286</v>
      </c>
      <c r="C219" t="s">
        <v>424</v>
      </c>
    </row>
    <row r="220" spans="1:3" x14ac:dyDescent="0.2">
      <c r="A220" t="s">
        <v>287</v>
      </c>
      <c r="B220" t="s">
        <v>476</v>
      </c>
    </row>
    <row r="221" spans="1:3" x14ac:dyDescent="0.2">
      <c r="A221" t="s">
        <v>288</v>
      </c>
      <c r="B221" t="s">
        <v>477</v>
      </c>
    </row>
    <row r="223" spans="1:3" x14ac:dyDescent="0.2">
      <c r="A223" t="s">
        <v>289</v>
      </c>
      <c r="B223" t="s">
        <v>478</v>
      </c>
    </row>
    <row r="224" spans="1:3" x14ac:dyDescent="0.2">
      <c r="A224" t="s">
        <v>290</v>
      </c>
      <c r="B224" t="s">
        <v>479</v>
      </c>
    </row>
    <row r="225" spans="1:2" x14ac:dyDescent="0.2">
      <c r="A225" t="s">
        <v>291</v>
      </c>
      <c r="B225" t="s">
        <v>480</v>
      </c>
    </row>
    <row r="226" spans="1:2" x14ac:dyDescent="0.2">
      <c r="A226" t="s">
        <v>292</v>
      </c>
      <c r="B226" t="s">
        <v>481</v>
      </c>
    </row>
    <row r="227" spans="1:2" x14ac:dyDescent="0.2">
      <c r="A227" t="s">
        <v>293</v>
      </c>
      <c r="B227" t="s">
        <v>482</v>
      </c>
    </row>
    <row r="228" spans="1:2" x14ac:dyDescent="0.2">
      <c r="A228" t="s">
        <v>294</v>
      </c>
      <c r="B228" t="s">
        <v>483</v>
      </c>
    </row>
    <row r="230" spans="1:2" x14ac:dyDescent="0.2">
      <c r="A230" t="s">
        <v>295</v>
      </c>
      <c r="B230" t="s">
        <v>425</v>
      </c>
    </row>
    <row r="232" spans="1:2" x14ac:dyDescent="0.2">
      <c r="A232" t="s">
        <v>296</v>
      </c>
      <c r="B232" t="s">
        <v>484</v>
      </c>
    </row>
    <row r="233" spans="1:2" x14ac:dyDescent="0.2">
      <c r="A233" t="s">
        <v>297</v>
      </c>
      <c r="B233" t="s">
        <v>485</v>
      </c>
    </row>
    <row r="234" spans="1:2" x14ac:dyDescent="0.2">
      <c r="A234" t="s">
        <v>298</v>
      </c>
      <c r="B234" t="s">
        <v>486</v>
      </c>
    </row>
    <row r="235" spans="1:2" x14ac:dyDescent="0.2">
      <c r="A235" t="s">
        <v>299</v>
      </c>
      <c r="B235" t="s">
        <v>487</v>
      </c>
    </row>
    <row r="236" spans="1:2" x14ac:dyDescent="0.2">
      <c r="A236" t="s">
        <v>300</v>
      </c>
      <c r="B236" t="s">
        <v>426</v>
      </c>
    </row>
    <row r="237" spans="1:2" x14ac:dyDescent="0.2">
      <c r="A237" t="s">
        <v>301</v>
      </c>
      <c r="B237" t="s">
        <v>427</v>
      </c>
    </row>
    <row r="239" spans="1:2" x14ac:dyDescent="0.2">
      <c r="A239" t="s">
        <v>302</v>
      </c>
      <c r="B239" t="s">
        <v>428</v>
      </c>
    </row>
    <row r="241" spans="1:2" x14ac:dyDescent="0.2">
      <c r="A241" t="s">
        <v>303</v>
      </c>
      <c r="B241" t="s">
        <v>429</v>
      </c>
    </row>
    <row r="242" spans="1:2" x14ac:dyDescent="0.2">
      <c r="A242" t="s">
        <v>304</v>
      </c>
      <c r="B242" t="s">
        <v>488</v>
      </c>
    </row>
    <row r="243" spans="1:2" x14ac:dyDescent="0.2">
      <c r="A243" t="s">
        <v>305</v>
      </c>
      <c r="B243" t="s">
        <v>489</v>
      </c>
    </row>
    <row r="244" spans="1:2" x14ac:dyDescent="0.2">
      <c r="A244" t="s">
        <v>306</v>
      </c>
      <c r="B244" t="s">
        <v>490</v>
      </c>
    </row>
    <row r="245" spans="1:2" x14ac:dyDescent="0.2">
      <c r="A245" t="s">
        <v>307</v>
      </c>
      <c r="B245" t="s">
        <v>491</v>
      </c>
    </row>
    <row r="246" spans="1:2" x14ac:dyDescent="0.2">
      <c r="A246" t="s">
        <v>308</v>
      </c>
      <c r="B246" t="s">
        <v>430</v>
      </c>
    </row>
    <row r="247" spans="1:2" x14ac:dyDescent="0.2">
      <c r="A247" t="s">
        <v>309</v>
      </c>
      <c r="B247" t="s">
        <v>492</v>
      </c>
    </row>
    <row r="248" spans="1:2" x14ac:dyDescent="0.2">
      <c r="A248" t="s">
        <v>310</v>
      </c>
      <c r="B248" t="s">
        <v>493</v>
      </c>
    </row>
    <row r="249" spans="1:2" x14ac:dyDescent="0.2">
      <c r="A249" t="s">
        <v>311</v>
      </c>
      <c r="B249" t="s">
        <v>431</v>
      </c>
    </row>
    <row r="250" spans="1:2" x14ac:dyDescent="0.2">
      <c r="A250" t="s">
        <v>312</v>
      </c>
      <c r="B250" t="s">
        <v>432</v>
      </c>
    </row>
    <row r="251" spans="1:2" x14ac:dyDescent="0.2">
      <c r="A251" t="s">
        <v>313</v>
      </c>
      <c r="B251" t="s">
        <v>494</v>
      </c>
    </row>
    <row r="252" spans="1:2" x14ac:dyDescent="0.2">
      <c r="A252" t="s">
        <v>314</v>
      </c>
      <c r="B252" t="s">
        <v>433</v>
      </c>
    </row>
    <row r="253" spans="1:2" x14ac:dyDescent="0.2">
      <c r="A253" t="s">
        <v>315</v>
      </c>
      <c r="B253" t="s">
        <v>434</v>
      </c>
    </row>
    <row r="254" spans="1:2" x14ac:dyDescent="0.2">
      <c r="A254" t="s">
        <v>316</v>
      </c>
      <c r="B254" t="s">
        <v>495</v>
      </c>
    </row>
    <row r="255" spans="1:2" x14ac:dyDescent="0.2">
      <c r="A255" t="s">
        <v>317</v>
      </c>
      <c r="B255" t="s">
        <v>496</v>
      </c>
    </row>
    <row r="256" spans="1:2" x14ac:dyDescent="0.2">
      <c r="A256" t="s">
        <v>318</v>
      </c>
      <c r="B256" t="s">
        <v>497</v>
      </c>
    </row>
    <row r="257" spans="1:2" x14ac:dyDescent="0.2">
      <c r="A257" t="s">
        <v>319</v>
      </c>
      <c r="B257" t="s">
        <v>498</v>
      </c>
    </row>
    <row r="258" spans="1:2" x14ac:dyDescent="0.2">
      <c r="A258" t="s">
        <v>320</v>
      </c>
      <c r="B258" t="s">
        <v>499</v>
      </c>
    </row>
    <row r="260" spans="1:2" x14ac:dyDescent="0.2">
      <c r="B260" t="s">
        <v>500</v>
      </c>
    </row>
    <row r="261" spans="1:2" x14ac:dyDescent="0.2">
      <c r="B261" t="s">
        <v>501</v>
      </c>
    </row>
    <row r="262" spans="1:2" x14ac:dyDescent="0.2">
      <c r="B262" t="s">
        <v>372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VarPCt</vt:lpstr>
      <vt:lpstr>VarLvl</vt:lpstr>
      <vt:lpstr>SecPct</vt:lpstr>
      <vt:lpstr>SecDif</vt:lpstr>
      <vt:lpstr>ComPct</vt:lpstr>
      <vt:lpstr>HHPct</vt:lpstr>
      <vt:lpstr>HHLvl</vt:lpstr>
      <vt:lpstr>Projections</vt:lpstr>
      <vt:lpstr>Trends</vt:lpstr>
      <vt:lpstr>Labels</vt:lpstr>
    </vt:vector>
  </TitlesOfParts>
  <Company>UC Berkeley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DRH</dc:creator>
  <cp:lastModifiedBy>DRH</cp:lastModifiedBy>
  <dcterms:created xsi:type="dcterms:W3CDTF">2016-04-29T02:52:38Z</dcterms:created>
  <dcterms:modified xsi:type="dcterms:W3CDTF">2016-10-08T23:34:33Z</dcterms:modified>
</cp:coreProperties>
</file>